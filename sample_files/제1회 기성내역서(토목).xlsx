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projects\construction-erp\sample_files\"/>
    </mc:Choice>
  </mc:AlternateContent>
  <xr:revisionPtr revIDLastSave="0" documentId="13_ncr:1_{5C7DE1BF-DB18-49F4-B949-342DFC5CC52A}" xr6:coauthVersionLast="47" xr6:coauthVersionMax="47" xr10:uidLastSave="{00000000-0000-0000-0000-000000000000}"/>
  <bookViews>
    <workbookView xWindow="-120" yWindow="-120" windowWidth="29040" windowHeight="15720" tabRatio="851" xr2:uid="{00000000-000D-0000-FFFF-FFFF00000000}"/>
  </bookViews>
  <sheets>
    <sheet name="갑지" sheetId="31" r:id="rId1"/>
    <sheet name="토목원가계산서" sheetId="16" r:id="rId2"/>
    <sheet name="내역서" sheetId="17" r:id="rId3"/>
    <sheet name="일위대가목록(신규)" sheetId="32" state="hidden" r:id="rId4"/>
    <sheet name="일위대가_호표(신규)" sheetId="33" state="hidden" r:id="rId5"/>
    <sheet name="일위대가_산근 (신규)" sheetId="34" state="hidden" r:id="rId6"/>
    <sheet name="중기사용료목록 (신규)" sheetId="35" state="hidden" r:id="rId7"/>
    <sheet name="중기사용료 (신규)" sheetId="36" state="hidden" r:id="rId8"/>
    <sheet name="중기기초자료 (신규)" sheetId="37" state="hidden" r:id="rId9"/>
    <sheet name="노임 (신규)" sheetId="39" state="hidden" r:id="rId10"/>
    <sheet name="자재 (신규)" sheetId="38" state="hidden" r:id="rId11"/>
    <sheet name="자재조서 (신규)" sheetId="40" state="hidden" r:id="rId12"/>
    <sheet name="전역변수 (신규)" sheetId="41" state="hidden" r:id="rId13"/>
    <sheet name="중기전역변수 (신규)" sheetId="42" state="hidden" r:id="rId14"/>
    <sheet name="노임" sheetId="26" state="hidden" r:id="rId15"/>
    <sheet name="일위대가목록" sheetId="18" state="hidden" r:id="rId16"/>
    <sheet name="일위대가_호표" sheetId="19" state="hidden" r:id="rId17"/>
    <sheet name="일위대가_별표" sheetId="20" state="hidden" r:id="rId18"/>
    <sheet name="일위대가_산근" sheetId="21" state="hidden" r:id="rId19"/>
    <sheet name="중기사용료목록" sheetId="22" state="hidden" r:id="rId20"/>
    <sheet name="중기사용료" sheetId="23" state="hidden" r:id="rId21"/>
    <sheet name="중기기초자료" sheetId="24" state="hidden" r:id="rId22"/>
    <sheet name="자재" sheetId="25" state="hidden" r:id="rId23"/>
    <sheet name="경비" sheetId="27" state="hidden" r:id="rId24"/>
    <sheet name="자재조서" sheetId="28" state="hidden" r:id="rId25"/>
    <sheet name="전역변수" sheetId="29" state="hidden" r:id="rId26"/>
    <sheet name="중기전역변수" sheetId="30" state="hidden" r:id="rId27"/>
  </sheets>
  <externalReferences>
    <externalReference r:id="rId28"/>
    <externalReference r:id="rId29"/>
    <externalReference r:id="rId30"/>
    <externalReference r:id="rId31"/>
  </externalReferences>
  <definedNames>
    <definedName name="_xlnm.Print_Area" localSheetId="0">갑지!$A$1:$J$19</definedName>
    <definedName name="_xlnm.Print_Area" localSheetId="2">내역서!$A$1:$Y$130</definedName>
    <definedName name="_xlnm.Print_Area" localSheetId="18">일위대가_산근!$A$80:$AH$163</definedName>
    <definedName name="_xlnm.Print_Area" localSheetId="5">'일위대가_산근 (신규)'!$A$2:$F$208</definedName>
    <definedName name="_xlnm.Print_Area" localSheetId="4">'일위대가_호표(신규)'!$A$1:$M$33</definedName>
    <definedName name="_xlnm.Print_Area" localSheetId="3">'일위대가목록(신규)'!$A$1:$W$29</definedName>
    <definedName name="_xlnm.Print_Area" localSheetId="1">토목원가계산서!$A$1:$L$32</definedName>
    <definedName name="_xlnm.Print_Titles" localSheetId="0">갑지!$1:$2</definedName>
    <definedName name="_xlnm.Print_Titles" localSheetId="23">경비!$1:$2</definedName>
    <definedName name="_xlnm.Print_Titles" localSheetId="2">내역서!$1:$3</definedName>
    <definedName name="_xlnm.Print_Titles" localSheetId="14">노임!$1:$2</definedName>
    <definedName name="_xlnm.Print_Titles" localSheetId="9">'노임 (신규)'!$1:$2</definedName>
    <definedName name="_xlnm.Print_Titles" localSheetId="17">일위대가_별표!$1:$2</definedName>
    <definedName name="_xlnm.Print_Titles" localSheetId="18">일위대가_산근!$1:$2</definedName>
    <definedName name="_xlnm.Print_Titles" localSheetId="5">'일위대가_산근 (신규)'!$1:$2</definedName>
    <definedName name="_xlnm.Print_Titles" localSheetId="16">일위대가_호표!$1:$3</definedName>
    <definedName name="_xlnm.Print_Titles" localSheetId="4">'일위대가_호표(신규)'!$1:$2</definedName>
    <definedName name="_xlnm.Print_Titles" localSheetId="15">일위대가목록!$1:$2</definedName>
    <definedName name="_xlnm.Print_Titles" localSheetId="3">'일위대가목록(신규)'!$1:$2</definedName>
    <definedName name="_xlnm.Print_Titles" localSheetId="22">자재!$1:$2</definedName>
    <definedName name="_xlnm.Print_Titles" localSheetId="10">'자재 (신규)'!$1:$2</definedName>
    <definedName name="_xlnm.Print_Titles" localSheetId="24">자재조서!$1:$3</definedName>
    <definedName name="_xlnm.Print_Titles" localSheetId="11">'자재조서 (신규)'!$1:$3</definedName>
    <definedName name="_xlnm.Print_Titles" localSheetId="25">전역변수!$1:$2</definedName>
    <definedName name="_xlnm.Print_Titles" localSheetId="12">'전역변수 (신규)'!$1:$2</definedName>
    <definedName name="_xlnm.Print_Titles" localSheetId="21">중기기초자료!$1:$2</definedName>
    <definedName name="_xlnm.Print_Titles" localSheetId="8">'중기기초자료 (신규)'!$1:$2</definedName>
    <definedName name="_xlnm.Print_Titles" localSheetId="20">중기기초자료!$1:$2</definedName>
    <definedName name="_xlnm.Print_Titles" localSheetId="6">'중기사용료목록 (신규)'!$1:$2</definedName>
    <definedName name="_xlnm.Print_Titles" localSheetId="26">중기전역변수!$1:$2</definedName>
    <definedName name="_xlnm.Print_Titles" localSheetId="13">'중기전역변수 (신규)'!$1:$2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6" l="1"/>
  <c r="P53" i="17"/>
  <c r="P52" i="17"/>
  <c r="P50" i="17"/>
  <c r="P51" i="17"/>
  <c r="P49" i="17"/>
  <c r="P48" i="17"/>
  <c r="P47" i="17"/>
  <c r="P46" i="17"/>
  <c r="P45" i="17"/>
  <c r="P44" i="17"/>
  <c r="P43" i="17"/>
  <c r="P42" i="17"/>
  <c r="P41" i="17"/>
  <c r="P40" i="17"/>
  <c r="P39" i="17"/>
  <c r="P38" i="17"/>
  <c r="P37" i="17"/>
  <c r="P36" i="17"/>
  <c r="P35" i="17"/>
  <c r="P34" i="17"/>
  <c r="P33" i="17"/>
  <c r="P32" i="17"/>
  <c r="P31" i="17"/>
  <c r="D25" i="16"/>
  <c r="D11" i="16"/>
  <c r="D8" i="16"/>
  <c r="D26" i="16" s="1"/>
  <c r="D28" i="16" s="1"/>
  <c r="D30" i="16" s="1"/>
  <c r="D32" i="16" s="1"/>
  <c r="P28" i="17"/>
  <c r="P20" i="17"/>
  <c r="P21" i="17"/>
  <c r="P22" i="17"/>
  <c r="P23" i="17"/>
  <c r="P24" i="17"/>
  <c r="P25" i="17"/>
  <c r="P26" i="17"/>
  <c r="P19" i="17" l="1"/>
  <c r="P18" i="17"/>
  <c r="P17" i="17"/>
  <c r="P16" i="17"/>
  <c r="P15" i="17"/>
  <c r="P14" i="17"/>
  <c r="P27" i="17"/>
  <c r="H12" i="31"/>
  <c r="H11" i="31"/>
  <c r="D11" i="31" s="1"/>
  <c r="D12" i="31"/>
  <c r="I24" i="16" l="1"/>
  <c r="J24" i="16" s="1"/>
  <c r="I22" i="16"/>
  <c r="J22" i="16" s="1"/>
  <c r="I21" i="16"/>
  <c r="J21" i="16" s="1"/>
  <c r="I20" i="16"/>
  <c r="I19" i="16"/>
  <c r="J19" i="16" s="1"/>
  <c r="I18" i="16"/>
  <c r="J18" i="16" s="1"/>
  <c r="I17" i="16"/>
  <c r="J17" i="16" s="1"/>
  <c r="I16" i="16"/>
  <c r="I12" i="16"/>
  <c r="I7" i="16"/>
  <c r="J7" i="16" s="1"/>
  <c r="I6" i="16"/>
  <c r="J6" i="16" s="1"/>
  <c r="J20" i="16"/>
  <c r="J16" i="16"/>
  <c r="J12" i="16"/>
  <c r="H24" i="16"/>
  <c r="H22" i="16"/>
  <c r="H21" i="16"/>
  <c r="H20" i="16"/>
  <c r="H19" i="16"/>
  <c r="H18" i="16"/>
  <c r="H17" i="16"/>
  <c r="H16" i="16"/>
  <c r="H12" i="16"/>
  <c r="H7" i="16"/>
  <c r="H6" i="16"/>
  <c r="F36" i="16" l="1"/>
  <c r="F35" i="16"/>
  <c r="F34" i="16"/>
  <c r="F33" i="16"/>
  <c r="F32" i="16"/>
  <c r="F31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11" i="16"/>
  <c r="F10" i="16"/>
  <c r="F9" i="16"/>
  <c r="F8" i="16"/>
  <c r="F7" i="16"/>
  <c r="F6" i="16"/>
  <c r="F5" i="16"/>
  <c r="V4" i="17" l="1"/>
  <c r="U130" i="17"/>
  <c r="T130" i="17"/>
  <c r="S130" i="17"/>
  <c r="U129" i="17"/>
  <c r="T129" i="17"/>
  <c r="S129" i="17"/>
  <c r="U128" i="17"/>
  <c r="T128" i="17"/>
  <c r="S128" i="17"/>
  <c r="Q128" i="17" s="1"/>
  <c r="U127" i="17"/>
  <c r="T127" i="17"/>
  <c r="S127" i="17"/>
  <c r="U126" i="17"/>
  <c r="T126" i="17"/>
  <c r="S126" i="17"/>
  <c r="U125" i="17"/>
  <c r="T125" i="17"/>
  <c r="S125" i="17"/>
  <c r="U124" i="17"/>
  <c r="T124" i="17"/>
  <c r="S124" i="17"/>
  <c r="Q124" i="17" s="1"/>
  <c r="U123" i="17"/>
  <c r="T123" i="17"/>
  <c r="S123" i="17"/>
  <c r="Q123" i="17" s="1"/>
  <c r="U122" i="17"/>
  <c r="T122" i="17"/>
  <c r="S122" i="17"/>
  <c r="U121" i="17"/>
  <c r="T121" i="17"/>
  <c r="S121" i="17"/>
  <c r="Q121" i="17" s="1"/>
  <c r="U120" i="17"/>
  <c r="T120" i="17"/>
  <c r="S120" i="17"/>
  <c r="U119" i="17"/>
  <c r="T119" i="17"/>
  <c r="S119" i="17"/>
  <c r="Q119" i="17" s="1"/>
  <c r="U118" i="17"/>
  <c r="T118" i="17"/>
  <c r="S118" i="17"/>
  <c r="Q118" i="17" s="1"/>
  <c r="U117" i="17"/>
  <c r="T117" i="17"/>
  <c r="S117" i="17"/>
  <c r="U116" i="17"/>
  <c r="T116" i="17"/>
  <c r="S116" i="17"/>
  <c r="U115" i="17"/>
  <c r="T115" i="17"/>
  <c r="S115" i="17"/>
  <c r="U114" i="17"/>
  <c r="T114" i="17"/>
  <c r="S114" i="17"/>
  <c r="U113" i="17"/>
  <c r="T113" i="17"/>
  <c r="S113" i="17"/>
  <c r="U112" i="17"/>
  <c r="T112" i="17"/>
  <c r="S112" i="17"/>
  <c r="Q112" i="17" s="1"/>
  <c r="U111" i="17"/>
  <c r="T111" i="17"/>
  <c r="S111" i="17"/>
  <c r="U110" i="17"/>
  <c r="T110" i="17"/>
  <c r="S110" i="17"/>
  <c r="U109" i="17"/>
  <c r="T109" i="17"/>
  <c r="S109" i="17"/>
  <c r="U108" i="17"/>
  <c r="T108" i="17"/>
  <c r="S108" i="17"/>
  <c r="U106" i="17"/>
  <c r="T106" i="17"/>
  <c r="S106" i="17"/>
  <c r="U105" i="17"/>
  <c r="T105" i="17"/>
  <c r="S105" i="17"/>
  <c r="U104" i="17"/>
  <c r="T104" i="17"/>
  <c r="S104" i="17"/>
  <c r="Q104" i="17" s="1"/>
  <c r="U103" i="17"/>
  <c r="T103" i="17"/>
  <c r="S103" i="17"/>
  <c r="U102" i="17"/>
  <c r="T102" i="17"/>
  <c r="S102" i="17"/>
  <c r="U101" i="17"/>
  <c r="T101" i="17"/>
  <c r="S101" i="17"/>
  <c r="Q101" i="17" s="1"/>
  <c r="U100" i="17"/>
  <c r="T100" i="17"/>
  <c r="S100" i="17"/>
  <c r="U99" i="17"/>
  <c r="T99" i="17"/>
  <c r="S99" i="17"/>
  <c r="Q99" i="17" s="1"/>
  <c r="U98" i="17"/>
  <c r="T98" i="17"/>
  <c r="S98" i="17"/>
  <c r="U97" i="17"/>
  <c r="T97" i="17"/>
  <c r="S97" i="17"/>
  <c r="U94" i="17"/>
  <c r="T94" i="17"/>
  <c r="S94" i="17"/>
  <c r="Q94" i="17" s="1"/>
  <c r="U93" i="17"/>
  <c r="T93" i="17"/>
  <c r="S93" i="17"/>
  <c r="Q93" i="17" s="1"/>
  <c r="U92" i="17"/>
  <c r="T92" i="17"/>
  <c r="S92" i="17"/>
  <c r="U91" i="17"/>
  <c r="T91" i="17"/>
  <c r="S91" i="17"/>
  <c r="U90" i="17"/>
  <c r="T90" i="17"/>
  <c r="S90" i="17"/>
  <c r="U89" i="17"/>
  <c r="T89" i="17"/>
  <c r="S89" i="17"/>
  <c r="U88" i="17"/>
  <c r="T88" i="17"/>
  <c r="S88" i="17"/>
  <c r="Q88" i="17" s="1"/>
  <c r="U87" i="17"/>
  <c r="T87" i="17"/>
  <c r="S87" i="17"/>
  <c r="U86" i="17"/>
  <c r="T86" i="17"/>
  <c r="S86" i="17"/>
  <c r="Q86" i="17" s="1"/>
  <c r="U85" i="17"/>
  <c r="T85" i="17"/>
  <c r="S85" i="17"/>
  <c r="U84" i="17"/>
  <c r="T84" i="17"/>
  <c r="S84" i="17"/>
  <c r="U83" i="17"/>
  <c r="T83" i="17"/>
  <c r="S83" i="17"/>
  <c r="Q83" i="17" s="1"/>
  <c r="U82" i="17"/>
  <c r="T82" i="17"/>
  <c r="S82" i="17"/>
  <c r="U81" i="17"/>
  <c r="T81" i="17"/>
  <c r="S81" i="17"/>
  <c r="Q81" i="17" s="1"/>
  <c r="U80" i="17"/>
  <c r="T80" i="17"/>
  <c r="S80" i="17"/>
  <c r="U79" i="17"/>
  <c r="T79" i="17"/>
  <c r="S79" i="17"/>
  <c r="U78" i="17"/>
  <c r="T78" i="17"/>
  <c r="S78" i="17"/>
  <c r="Q78" i="17" s="1"/>
  <c r="U77" i="17"/>
  <c r="T77" i="17"/>
  <c r="S77" i="17"/>
  <c r="Q77" i="17" s="1"/>
  <c r="U76" i="17"/>
  <c r="T76" i="17"/>
  <c r="S76" i="17"/>
  <c r="U74" i="17"/>
  <c r="T74" i="17"/>
  <c r="S74" i="17"/>
  <c r="U73" i="17"/>
  <c r="T73" i="17"/>
  <c r="S73" i="17"/>
  <c r="U72" i="17"/>
  <c r="T72" i="17"/>
  <c r="S72" i="17"/>
  <c r="U71" i="17"/>
  <c r="T71" i="17"/>
  <c r="S71" i="17"/>
  <c r="Q71" i="17" s="1"/>
  <c r="U70" i="17"/>
  <c r="T70" i="17"/>
  <c r="S70" i="17"/>
  <c r="U69" i="17"/>
  <c r="T69" i="17"/>
  <c r="S69" i="17"/>
  <c r="U68" i="17"/>
  <c r="T68" i="17"/>
  <c r="S68" i="17"/>
  <c r="U67" i="17"/>
  <c r="T67" i="17"/>
  <c r="S67" i="17"/>
  <c r="Q67" i="17" s="1"/>
  <c r="U66" i="17"/>
  <c r="T66" i="17"/>
  <c r="S66" i="17"/>
  <c r="Q66" i="17" s="1"/>
  <c r="U65" i="17"/>
  <c r="T65" i="17"/>
  <c r="S65" i="17"/>
  <c r="U64" i="17"/>
  <c r="T64" i="17"/>
  <c r="S64" i="17"/>
  <c r="U63" i="17"/>
  <c r="T63" i="17"/>
  <c r="S63" i="17"/>
  <c r="U62" i="17"/>
  <c r="T62" i="17"/>
  <c r="S62" i="17"/>
  <c r="U61" i="17"/>
  <c r="T61" i="17"/>
  <c r="S61" i="17"/>
  <c r="Q61" i="17" s="1"/>
  <c r="U60" i="17"/>
  <c r="T60" i="17"/>
  <c r="S60" i="17"/>
  <c r="Q60" i="17" s="1"/>
  <c r="U59" i="17"/>
  <c r="T59" i="17"/>
  <c r="S59" i="17"/>
  <c r="U58" i="17"/>
  <c r="T58" i="17"/>
  <c r="S58" i="17"/>
  <c r="U57" i="17"/>
  <c r="T57" i="17"/>
  <c r="S57" i="17"/>
  <c r="U56" i="17"/>
  <c r="T56" i="17"/>
  <c r="S56" i="17"/>
  <c r="U55" i="17"/>
  <c r="T55" i="17"/>
  <c r="S55" i="17"/>
  <c r="Q55" i="17" s="1"/>
  <c r="U54" i="17"/>
  <c r="T54" i="17"/>
  <c r="S54" i="17"/>
  <c r="U53" i="17"/>
  <c r="T53" i="17"/>
  <c r="S53" i="17"/>
  <c r="U52" i="17"/>
  <c r="T52" i="17"/>
  <c r="S52" i="17"/>
  <c r="U51" i="17"/>
  <c r="T51" i="17"/>
  <c r="S51" i="17"/>
  <c r="Q51" i="17" s="1"/>
  <c r="U50" i="17"/>
  <c r="T50" i="17"/>
  <c r="S50" i="17"/>
  <c r="Q50" i="17" s="1"/>
  <c r="U49" i="17"/>
  <c r="T49" i="17"/>
  <c r="S49" i="17"/>
  <c r="U48" i="17"/>
  <c r="T48" i="17"/>
  <c r="S48" i="17"/>
  <c r="U47" i="17"/>
  <c r="T47" i="17"/>
  <c r="S47" i="17"/>
  <c r="U46" i="17"/>
  <c r="T46" i="17"/>
  <c r="S46" i="17"/>
  <c r="U45" i="17"/>
  <c r="T45" i="17"/>
  <c r="S45" i="17"/>
  <c r="Q45" i="17" s="1"/>
  <c r="U44" i="17"/>
  <c r="T44" i="17"/>
  <c r="S44" i="17"/>
  <c r="Q44" i="17" s="1"/>
  <c r="U43" i="17"/>
  <c r="T43" i="17"/>
  <c r="S43" i="17"/>
  <c r="U42" i="17"/>
  <c r="T42" i="17"/>
  <c r="S42" i="17"/>
  <c r="U41" i="17"/>
  <c r="T41" i="17"/>
  <c r="S41" i="17"/>
  <c r="U40" i="17"/>
  <c r="T40" i="17"/>
  <c r="S40" i="17"/>
  <c r="U39" i="17"/>
  <c r="T39" i="17"/>
  <c r="S39" i="17"/>
  <c r="Q39" i="17" s="1"/>
  <c r="U38" i="17"/>
  <c r="T38" i="17"/>
  <c r="S38" i="17"/>
  <c r="U37" i="17"/>
  <c r="T37" i="17"/>
  <c r="S37" i="17"/>
  <c r="U36" i="17"/>
  <c r="T36" i="17"/>
  <c r="S36" i="17"/>
  <c r="U35" i="17"/>
  <c r="T35" i="17"/>
  <c r="S35" i="17"/>
  <c r="Q35" i="17" s="1"/>
  <c r="U34" i="17"/>
  <c r="T34" i="17"/>
  <c r="S34" i="17"/>
  <c r="Q34" i="17" s="1"/>
  <c r="U33" i="17"/>
  <c r="T33" i="17"/>
  <c r="S33" i="17"/>
  <c r="U32" i="17"/>
  <c r="T32" i="17"/>
  <c r="S32" i="17"/>
  <c r="U31" i="17"/>
  <c r="T31" i="17"/>
  <c r="S31" i="17"/>
  <c r="U29" i="17"/>
  <c r="T29" i="17"/>
  <c r="S29" i="17"/>
  <c r="U28" i="17"/>
  <c r="T28" i="17"/>
  <c r="S28" i="17"/>
  <c r="Q28" i="17" s="1"/>
  <c r="U27" i="17"/>
  <c r="T27" i="17"/>
  <c r="S27" i="17"/>
  <c r="Q27" i="17" s="1"/>
  <c r="U26" i="17"/>
  <c r="T26" i="17"/>
  <c r="S26" i="17"/>
  <c r="U25" i="17"/>
  <c r="T25" i="17"/>
  <c r="S25" i="17"/>
  <c r="U24" i="17"/>
  <c r="T24" i="17"/>
  <c r="S24" i="17"/>
  <c r="U23" i="17"/>
  <c r="T23" i="17"/>
  <c r="S23" i="17"/>
  <c r="Q23" i="17" s="1"/>
  <c r="U22" i="17"/>
  <c r="T22" i="17"/>
  <c r="S22" i="17"/>
  <c r="Q22" i="17" s="1"/>
  <c r="U21" i="17"/>
  <c r="T21" i="17"/>
  <c r="S21" i="17"/>
  <c r="U20" i="17"/>
  <c r="T20" i="17"/>
  <c r="S20" i="17"/>
  <c r="U19" i="17"/>
  <c r="T19" i="17"/>
  <c r="S19" i="17"/>
  <c r="U18" i="17"/>
  <c r="T18" i="17"/>
  <c r="S18" i="17"/>
  <c r="U17" i="17"/>
  <c r="T17" i="17"/>
  <c r="S17" i="17"/>
  <c r="Q17" i="17" s="1"/>
  <c r="U16" i="17"/>
  <c r="T16" i="17"/>
  <c r="S16" i="17"/>
  <c r="U15" i="17"/>
  <c r="T15" i="17"/>
  <c r="S15" i="17"/>
  <c r="U14" i="17"/>
  <c r="T14" i="17"/>
  <c r="S14" i="17"/>
  <c r="Q95" i="17"/>
  <c r="Q12" i="17"/>
  <c r="Q11" i="17"/>
  <c r="Q10" i="17"/>
  <c r="Q4" i="17"/>
  <c r="W4" i="17" s="1"/>
  <c r="E163" i="34"/>
  <c r="B145" i="34"/>
  <c r="C146" i="34"/>
  <c r="D146" i="34"/>
  <c r="C204" i="34"/>
  <c r="D204" i="34"/>
  <c r="C198" i="34"/>
  <c r="E198" i="34"/>
  <c r="E189" i="34"/>
  <c r="E172" i="34"/>
  <c r="A9" i="38"/>
  <c r="B9" i="38"/>
  <c r="C9" i="38"/>
  <c r="E9" i="38"/>
  <c r="A10" i="38"/>
  <c r="B10" i="38"/>
  <c r="C10" i="38"/>
  <c r="E10" i="38"/>
  <c r="A11" i="38"/>
  <c r="B11" i="38"/>
  <c r="C11" i="38"/>
  <c r="E11" i="38"/>
  <c r="A12" i="38"/>
  <c r="B12" i="38"/>
  <c r="C12" i="38"/>
  <c r="E12" i="38"/>
  <c r="A13" i="38"/>
  <c r="B13" i="38"/>
  <c r="C13" i="38"/>
  <c r="E13" i="38"/>
  <c r="A14" i="38"/>
  <c r="B14" i="38"/>
  <c r="C14" i="38"/>
  <c r="E14" i="38"/>
  <c r="E8" i="38"/>
  <c r="D8" i="38"/>
  <c r="AB132" i="34" s="1"/>
  <c r="A132" i="34" s="1"/>
  <c r="C8" i="38"/>
  <c r="B8" i="38"/>
  <c r="A8" i="38"/>
  <c r="E10" i="40"/>
  <c r="D9" i="38" s="1"/>
  <c r="AB134" i="34" s="1"/>
  <c r="A134" i="34" s="1"/>
  <c r="E15" i="40"/>
  <c r="D14" i="38" s="1"/>
  <c r="AB144" i="34" s="1"/>
  <c r="A144" i="34" s="1"/>
  <c r="E14" i="40"/>
  <c r="D13" i="38" s="1"/>
  <c r="AB142" i="34" s="1"/>
  <c r="A142" i="34" s="1"/>
  <c r="E13" i="40"/>
  <c r="D12" i="38" s="1"/>
  <c r="AB140" i="34" s="1"/>
  <c r="A140" i="34" s="1"/>
  <c r="E12" i="40"/>
  <c r="D11" i="38" s="1"/>
  <c r="AB138" i="34" s="1"/>
  <c r="A138" i="34" s="1"/>
  <c r="E11" i="40"/>
  <c r="D10" i="38" s="1"/>
  <c r="AB136" i="34" s="1"/>
  <c r="A136" i="34" s="1"/>
  <c r="E9" i="40"/>
  <c r="Q41" i="17" l="1"/>
  <c r="Q73" i="17"/>
  <c r="Q25" i="17"/>
  <c r="Q74" i="17"/>
  <c r="Q91" i="17"/>
  <c r="Q110" i="17"/>
  <c r="Q126" i="17"/>
  <c r="Q40" i="17"/>
  <c r="Q56" i="17"/>
  <c r="Q72" i="17"/>
  <c r="Q42" i="17"/>
  <c r="Q58" i="17"/>
  <c r="Q57" i="17"/>
  <c r="Q82" i="17"/>
  <c r="Q20" i="17"/>
  <c r="Q15" i="17"/>
  <c r="Q116" i="17"/>
  <c r="Q26" i="17"/>
  <c r="Q43" i="17"/>
  <c r="Q59" i="17"/>
  <c r="Q92" i="17"/>
  <c r="Q111" i="17"/>
  <c r="Q127" i="17"/>
  <c r="Q76" i="17"/>
  <c r="Q21" i="17"/>
  <c r="Q38" i="17"/>
  <c r="Q54" i="17"/>
  <c r="Q70" i="17"/>
  <c r="Q87" i="17"/>
  <c r="Q105" i="17"/>
  <c r="Q122" i="17"/>
  <c r="Q16" i="17"/>
  <c r="Q49" i="17"/>
  <c r="Q65" i="17"/>
  <c r="Q100" i="17"/>
  <c r="Q117" i="17"/>
  <c r="Q36" i="17"/>
  <c r="Q46" i="17"/>
  <c r="Q52" i="17"/>
  <c r="Q62" i="17"/>
  <c r="Q68" i="17"/>
  <c r="Q79" i="17"/>
  <c r="Q85" i="17"/>
  <c r="U96" i="17"/>
  <c r="U8" i="17" s="1"/>
  <c r="Q19" i="17"/>
  <c r="Q31" i="17"/>
  <c r="Q47" i="17"/>
  <c r="Q63" i="17"/>
  <c r="Q80" i="17"/>
  <c r="S13" i="17"/>
  <c r="S5" i="17" s="1"/>
  <c r="Q120" i="17"/>
  <c r="Q24" i="17"/>
  <c r="U107" i="17"/>
  <c r="Q98" i="17"/>
  <c r="T13" i="17"/>
  <c r="T5" i="17" s="1"/>
  <c r="Q37" i="17"/>
  <c r="U30" i="17"/>
  <c r="U6" i="17" s="1"/>
  <c r="S30" i="17"/>
  <c r="S6" i="17" s="1"/>
  <c r="Q106" i="17"/>
  <c r="Q115" i="17"/>
  <c r="Q32" i="17"/>
  <c r="Q53" i="17"/>
  <c r="T75" i="17"/>
  <c r="T7" i="17" s="1"/>
  <c r="S107" i="17"/>
  <c r="Q113" i="17"/>
  <c r="Q129" i="17"/>
  <c r="Q48" i="17"/>
  <c r="Q64" i="17"/>
  <c r="U75" i="17"/>
  <c r="U7" i="17" s="1"/>
  <c r="Q18" i="17"/>
  <c r="Q84" i="17"/>
  <c r="Q89" i="17"/>
  <c r="Q102" i="17"/>
  <c r="T107" i="17"/>
  <c r="Q97" i="17"/>
  <c r="Q103" i="17"/>
  <c r="Q69" i="17"/>
  <c r="Q29" i="17"/>
  <c r="Q90" i="17"/>
  <c r="T96" i="17"/>
  <c r="T8" i="17" s="1"/>
  <c r="Q109" i="17"/>
  <c r="Q114" i="17"/>
  <c r="Q125" i="17"/>
  <c r="Q130" i="17"/>
  <c r="Q108" i="17"/>
  <c r="S96" i="17"/>
  <c r="S75" i="17"/>
  <c r="T30" i="17"/>
  <c r="T6" i="17" s="1"/>
  <c r="Q33" i="17"/>
  <c r="U13" i="17"/>
  <c r="U5" i="17" s="1"/>
  <c r="Q14" i="17"/>
  <c r="E144" i="34"/>
  <c r="B144" i="34" s="1"/>
  <c r="E140" i="34"/>
  <c r="B140" i="34" s="1"/>
  <c r="E138" i="34"/>
  <c r="B138" i="34" s="1"/>
  <c r="E136" i="34"/>
  <c r="B136" i="34" s="1"/>
  <c r="T9" i="17" l="1"/>
  <c r="G9" i="16" s="1"/>
  <c r="Q107" i="17"/>
  <c r="Q30" i="17"/>
  <c r="U9" i="17"/>
  <c r="G13" i="16" s="1"/>
  <c r="S8" i="17"/>
  <c r="Q8" i="17" s="1"/>
  <c r="Q96" i="17"/>
  <c r="Q75" i="17"/>
  <c r="S7" i="17"/>
  <c r="Q7" i="17" s="1"/>
  <c r="Q6" i="17"/>
  <c r="Q13" i="17"/>
  <c r="Q5" i="17"/>
  <c r="B11" i="32"/>
  <c r="A11" i="32"/>
  <c r="AD208" i="34"/>
  <c r="I13" i="16" l="1"/>
  <c r="J13" i="16" s="1"/>
  <c r="H13" i="16"/>
  <c r="I9" i="16"/>
  <c r="J9" i="16" s="1"/>
  <c r="H9" i="16"/>
  <c r="S9" i="17"/>
  <c r="AF196" i="34"/>
  <c r="AH196" i="34" s="1"/>
  <c r="D196" i="34"/>
  <c r="B196" i="34" s="1"/>
  <c r="A196" i="34"/>
  <c r="A195" i="34"/>
  <c r="D195" i="34"/>
  <c r="D198" i="34" s="1"/>
  <c r="B195" i="34"/>
  <c r="D187" i="34"/>
  <c r="B187" i="34" s="1"/>
  <c r="A187" i="34"/>
  <c r="A186" i="34"/>
  <c r="D186" i="34"/>
  <c r="B186" i="34" s="1"/>
  <c r="A185" i="34"/>
  <c r="C185" i="34"/>
  <c r="AF181" i="34"/>
  <c r="AH181" i="34" s="1"/>
  <c r="D181" i="34"/>
  <c r="B181" i="34" s="1"/>
  <c r="A181" i="34"/>
  <c r="AF180" i="34"/>
  <c r="AH180" i="34" s="1"/>
  <c r="D180" i="34"/>
  <c r="A180" i="34"/>
  <c r="D170" i="34"/>
  <c r="B170" i="34" s="1"/>
  <c r="AF169" i="34"/>
  <c r="AH169" i="34" s="1"/>
  <c r="D169" i="34"/>
  <c r="D172" i="34" s="1"/>
  <c r="A169" i="34"/>
  <c r="D161" i="34"/>
  <c r="B161" i="34" s="1"/>
  <c r="D160" i="34"/>
  <c r="B160" i="34" s="1"/>
  <c r="A160" i="34"/>
  <c r="AD159" i="34"/>
  <c r="C159" i="34"/>
  <c r="C163" i="34" s="1"/>
  <c r="A159" i="34"/>
  <c r="AF155" i="34"/>
  <c r="AH155" i="34" s="1"/>
  <c r="A155" i="34"/>
  <c r="D155" i="34"/>
  <c r="B155" i="34" s="1"/>
  <c r="AD154" i="34"/>
  <c r="AD155" i="34" s="1"/>
  <c r="AD160" i="34" s="1"/>
  <c r="AD161" i="34" s="1"/>
  <c r="D154" i="34"/>
  <c r="B154" i="34"/>
  <c r="A154" i="34"/>
  <c r="E142" i="34"/>
  <c r="B142" i="34" s="1"/>
  <c r="E134" i="34"/>
  <c r="Q9" i="17" l="1"/>
  <c r="G5" i="16"/>
  <c r="B169" i="34"/>
  <c r="B180" i="34"/>
  <c r="D189" i="34"/>
  <c r="B185" i="34"/>
  <c r="C189" i="34"/>
  <c r="D163" i="34"/>
  <c r="D206" i="34" s="1"/>
  <c r="D208" i="34" s="1"/>
  <c r="B134" i="34"/>
  <c r="E132" i="34"/>
  <c r="E146" i="34" s="1"/>
  <c r="B159" i="34"/>
  <c r="AD185" i="34"/>
  <c r="AB172" i="34"/>
  <c r="C172" i="34" s="1"/>
  <c r="C206" i="34" s="1"/>
  <c r="C208" i="34" s="1"/>
  <c r="AD163" i="34"/>
  <c r="AD169" i="34"/>
  <c r="AD170" i="34" s="1"/>
  <c r="AF154" i="34"/>
  <c r="AH154" i="34" s="1"/>
  <c r="A161" i="34"/>
  <c r="AF170" i="34"/>
  <c r="AH170" i="34" s="1"/>
  <c r="AD132" i="34"/>
  <c r="AD134" i="34" s="1"/>
  <c r="AF195" i="34"/>
  <c r="AH195" i="34" s="1"/>
  <c r="A170" i="34"/>
  <c r="H5" i="16" l="1"/>
  <c r="I5" i="16"/>
  <c r="J5" i="16" s="1"/>
  <c r="G32" i="33"/>
  <c r="H32" i="33" s="1"/>
  <c r="H31" i="33" s="1"/>
  <c r="H33" i="33" s="1"/>
  <c r="F11" i="32" s="1"/>
  <c r="H105" i="17" s="1"/>
  <c r="C128" i="34"/>
  <c r="I32" i="33"/>
  <c r="J32" i="33" s="1"/>
  <c r="J31" i="33" s="1"/>
  <c r="J33" i="33" s="1"/>
  <c r="G11" i="32" s="1"/>
  <c r="J105" i="17" s="1"/>
  <c r="D128" i="34"/>
  <c r="B132" i="34"/>
  <c r="B146" i="34"/>
  <c r="AD136" i="34"/>
  <c r="AD138" i="34" s="1"/>
  <c r="AD140" i="34" s="1"/>
  <c r="AD142" i="34" s="1"/>
  <c r="AD144" i="34" s="1"/>
  <c r="AB202" i="34"/>
  <c r="Y128" i="34"/>
  <c r="AD180" i="34"/>
  <c r="AD181" i="34" s="1"/>
  <c r="AD186" i="34" s="1"/>
  <c r="AD187" i="34" s="1"/>
  <c r="AD172" i="34"/>
  <c r="AB204" i="34"/>
  <c r="AB189" i="34"/>
  <c r="AB198" i="34"/>
  <c r="AB206" i="34"/>
  <c r="AF163" i="34" l="1"/>
  <c r="B163" i="34" s="1"/>
  <c r="AF172" i="34"/>
  <c r="B172" i="34" s="1"/>
  <c r="AF198" i="34"/>
  <c r="AF189" i="34"/>
  <c r="AD189" i="34"/>
  <c r="B189" i="34" s="1"/>
  <c r="AD195" i="34"/>
  <c r="AD196" i="34" s="1"/>
  <c r="AD202" i="34"/>
  <c r="AF202" i="34" s="1"/>
  <c r="A202" i="34" s="1"/>
  <c r="E202" i="34" l="1"/>
  <c r="AH202" i="34"/>
  <c r="AD198" i="34"/>
  <c r="B198" i="34" s="1"/>
  <c r="AD204" i="34"/>
  <c r="AD206" i="34"/>
  <c r="B202" i="34" l="1"/>
  <c r="E204" i="34"/>
  <c r="E206" i="34" s="1"/>
  <c r="E208" i="34" s="1"/>
  <c r="AF206" i="34"/>
  <c r="AF204" i="34"/>
  <c r="B204" i="34" s="1"/>
  <c r="B206" i="34" s="1"/>
  <c r="K32" i="33" l="1"/>
  <c r="E128" i="34"/>
  <c r="B208" i="34"/>
  <c r="B128" i="34" s="1"/>
  <c r="B10" i="32"/>
  <c r="C10" i="32"/>
  <c r="D10" i="32"/>
  <c r="A10" i="32"/>
  <c r="D9" i="32"/>
  <c r="B9" i="32"/>
  <c r="C9" i="32"/>
  <c r="A9" i="32"/>
  <c r="C8" i="32"/>
  <c r="D8" i="32"/>
  <c r="B8" i="32"/>
  <c r="A8" i="32"/>
  <c r="B7" i="32"/>
  <c r="A7" i="32"/>
  <c r="E32" i="33" l="1"/>
  <c r="L32" i="33"/>
  <c r="L31" i="33" l="1"/>
  <c r="L33" i="33" s="1"/>
  <c r="H11" i="32" s="1"/>
  <c r="F32" i="33"/>
  <c r="E11" i="32" l="1"/>
  <c r="L105" i="17" l="1"/>
  <c r="F105" i="17" s="1"/>
  <c r="X105" i="17" s="1"/>
  <c r="E105" i="17"/>
  <c r="O105" i="17" l="1"/>
  <c r="R105" i="17"/>
  <c r="H71" i="17"/>
  <c r="H70" i="17"/>
  <c r="E71" i="17"/>
  <c r="E72" i="17"/>
  <c r="L70" i="17" l="1"/>
  <c r="J70" i="17"/>
  <c r="L71" i="17"/>
  <c r="J71" i="17"/>
  <c r="H27" i="17"/>
  <c r="E27" i="17"/>
  <c r="J27" i="17"/>
  <c r="L27" i="17"/>
  <c r="E54" i="17"/>
  <c r="C23" i="42"/>
  <c r="C22" i="42"/>
  <c r="C21" i="42"/>
  <c r="C20" i="42"/>
  <c r="C19" i="42"/>
  <c r="C18" i="42"/>
  <c r="D7" i="38"/>
  <c r="D6" i="38"/>
  <c r="D5" i="38"/>
  <c r="D4" i="38"/>
  <c r="D3" i="38"/>
  <c r="F35" i="36"/>
  <c r="G35" i="36" s="1"/>
  <c r="G36" i="36" s="1"/>
  <c r="F32" i="36"/>
  <c r="G32" i="36" s="1"/>
  <c r="F30" i="36"/>
  <c r="D30" i="36"/>
  <c r="F23" i="36"/>
  <c r="G23" i="36" s="1"/>
  <c r="G24" i="36" s="1"/>
  <c r="F20" i="36"/>
  <c r="G20" i="36" s="1"/>
  <c r="F18" i="36"/>
  <c r="D18" i="36"/>
  <c r="F11" i="36"/>
  <c r="G11" i="36" s="1"/>
  <c r="G12" i="36" s="1"/>
  <c r="F8" i="36"/>
  <c r="G8" i="36" s="1"/>
  <c r="F6" i="36"/>
  <c r="D6" i="36"/>
  <c r="G5" i="35"/>
  <c r="F5" i="35"/>
  <c r="E5" i="35"/>
  <c r="G4" i="35"/>
  <c r="F4" i="35"/>
  <c r="E4" i="35"/>
  <c r="G3" i="35"/>
  <c r="F3" i="35"/>
  <c r="E3" i="35"/>
  <c r="AB122" i="34"/>
  <c r="AD122" i="34" s="1"/>
  <c r="AB121" i="34"/>
  <c r="AD121" i="34" s="1"/>
  <c r="AB120" i="34"/>
  <c r="AD120" i="34" s="1"/>
  <c r="B118" i="34"/>
  <c r="AP116" i="34"/>
  <c r="AJ116" i="34"/>
  <c r="AL116" i="34" s="1"/>
  <c r="AF116" i="34"/>
  <c r="AH116" i="34" s="1"/>
  <c r="AD116" i="34"/>
  <c r="K116" i="34"/>
  <c r="B116" i="34"/>
  <c r="A116" i="34"/>
  <c r="AL115" i="34"/>
  <c r="AH115" i="34"/>
  <c r="AD115" i="34"/>
  <c r="K115" i="34"/>
  <c r="A115" i="34"/>
  <c r="AB111" i="34"/>
  <c r="AD111" i="34" s="1"/>
  <c r="AF111" i="34" s="1"/>
  <c r="D111" i="34" s="1"/>
  <c r="B111" i="34" s="1"/>
  <c r="AB107" i="34"/>
  <c r="AD107" i="34" s="1"/>
  <c r="AB106" i="34"/>
  <c r="AD106" i="34" s="1"/>
  <c r="AB105" i="34"/>
  <c r="AD105" i="34" s="1"/>
  <c r="B103" i="34"/>
  <c r="AH101" i="34"/>
  <c r="AD101" i="34"/>
  <c r="K101" i="34"/>
  <c r="A101" i="34"/>
  <c r="AL100" i="34"/>
  <c r="AN100" i="34" s="1"/>
  <c r="AP100" i="34" s="1"/>
  <c r="AH100" i="34"/>
  <c r="AD100" i="34"/>
  <c r="K100" i="34"/>
  <c r="B100" i="34"/>
  <c r="AB86" i="34"/>
  <c r="AD86" i="34" s="1"/>
  <c r="AB85" i="34"/>
  <c r="AB84" i="34"/>
  <c r="AD84" i="34" s="1"/>
  <c r="B83" i="34"/>
  <c r="AZ82" i="34"/>
  <c r="BB82" i="34" s="1"/>
  <c r="AV82" i="34"/>
  <c r="AX82" i="34" s="1"/>
  <c r="AT82" i="34"/>
  <c r="AP82" i="34"/>
  <c r="AL82" i="34"/>
  <c r="AH82" i="34"/>
  <c r="AD82" i="34"/>
  <c r="K82" i="34"/>
  <c r="B82" i="34"/>
  <c r="AB75" i="34"/>
  <c r="AD75" i="34" s="1"/>
  <c r="AF75" i="34" s="1"/>
  <c r="D75" i="34" s="1"/>
  <c r="B75" i="34" s="1"/>
  <c r="AB71" i="34"/>
  <c r="AD71" i="34" s="1"/>
  <c r="AB70" i="34"/>
  <c r="AD70" i="34" s="1"/>
  <c r="AB69" i="34"/>
  <c r="AD69" i="34" s="1"/>
  <c r="B68" i="34"/>
  <c r="AH67" i="34"/>
  <c r="AD67" i="34"/>
  <c r="K67" i="34"/>
  <c r="A67" i="34"/>
  <c r="AN66" i="34"/>
  <c r="A66" i="34" s="1"/>
  <c r="AJ66" i="34"/>
  <c r="AL66" i="34" s="1"/>
  <c r="AH66" i="34"/>
  <c r="AD66" i="34"/>
  <c r="K66" i="34"/>
  <c r="B66" i="34"/>
  <c r="AB52" i="34"/>
  <c r="AD52" i="34" s="1"/>
  <c r="AB50" i="34"/>
  <c r="AD50" i="34" s="1"/>
  <c r="AB48" i="34"/>
  <c r="AD48" i="34" s="1"/>
  <c r="B46" i="34"/>
  <c r="AT44" i="34"/>
  <c r="AP44" i="34"/>
  <c r="K44" i="34"/>
  <c r="B44" i="34"/>
  <c r="AL42" i="34"/>
  <c r="AB44" i="34" s="1"/>
  <c r="A44" i="34" s="1"/>
  <c r="AH42" i="34"/>
  <c r="AD42" i="34"/>
  <c r="K42" i="34"/>
  <c r="A42" i="34"/>
  <c r="AB27" i="34"/>
  <c r="AB21" i="34"/>
  <c r="AD21" i="34" s="1"/>
  <c r="AB19" i="34"/>
  <c r="AD19" i="34" s="1"/>
  <c r="AB17" i="34"/>
  <c r="AD17" i="34" s="1"/>
  <c r="B14" i="34"/>
  <c r="AH12" i="34"/>
  <c r="AJ14" i="34" s="1"/>
  <c r="AD12" i="34"/>
  <c r="AR14" i="34" s="1"/>
  <c r="AT14" i="34" s="1"/>
  <c r="K12" i="34"/>
  <c r="A12" i="34"/>
  <c r="AL10" i="34"/>
  <c r="AN14" i="34" s="1"/>
  <c r="AP14" i="34" s="1"/>
  <c r="AH10" i="34"/>
  <c r="AF14" i="34" s="1"/>
  <c r="AH14" i="34" s="1"/>
  <c r="AD10" i="34"/>
  <c r="AB14" i="34" s="1"/>
  <c r="AD14" i="34" s="1"/>
  <c r="K10" i="34"/>
  <c r="A10" i="34"/>
  <c r="I28" i="33"/>
  <c r="J28" i="33" s="1"/>
  <c r="F28" i="33" s="1"/>
  <c r="I27" i="33"/>
  <c r="J27" i="33" s="1"/>
  <c r="L26" i="33"/>
  <c r="L29" i="33" s="1"/>
  <c r="H10" i="32" s="1"/>
  <c r="H26" i="33"/>
  <c r="H29" i="33" s="1"/>
  <c r="F10" i="32" s="1"/>
  <c r="K23" i="33"/>
  <c r="L23" i="33" s="1"/>
  <c r="I23" i="33"/>
  <c r="J23" i="33" s="1"/>
  <c r="G23" i="33"/>
  <c r="G22" i="33"/>
  <c r="H22" i="33" s="1"/>
  <c r="F22" i="33" s="1"/>
  <c r="K21" i="33"/>
  <c r="L21" i="33" s="1"/>
  <c r="I21" i="33"/>
  <c r="J21" i="33" s="1"/>
  <c r="G21" i="33"/>
  <c r="H21" i="33" s="1"/>
  <c r="G20" i="33"/>
  <c r="H20" i="33" s="1"/>
  <c r="F20" i="33" s="1"/>
  <c r="K19" i="33"/>
  <c r="L19" i="33" s="1"/>
  <c r="I19" i="33"/>
  <c r="J19" i="33" s="1"/>
  <c r="G19" i="33"/>
  <c r="H19" i="33" s="1"/>
  <c r="K18" i="33"/>
  <c r="L18" i="33" s="1"/>
  <c r="I18" i="33"/>
  <c r="J18" i="33" s="1"/>
  <c r="G18" i="33"/>
  <c r="H18" i="33" s="1"/>
  <c r="K17" i="33"/>
  <c r="I17" i="33"/>
  <c r="J17" i="33" s="1"/>
  <c r="G17" i="33"/>
  <c r="H17" i="33" s="1"/>
  <c r="AD13" i="33"/>
  <c r="E13" i="33"/>
  <c r="G12" i="33"/>
  <c r="E12" i="33" s="1"/>
  <c r="L11" i="33"/>
  <c r="L14" i="33" s="1"/>
  <c r="H8" i="32" s="1"/>
  <c r="L61" i="17" s="1"/>
  <c r="AD8" i="33"/>
  <c r="E8" i="33"/>
  <c r="I7" i="33"/>
  <c r="J7" i="33" s="1"/>
  <c r="F7" i="33" s="1"/>
  <c r="I6" i="33"/>
  <c r="E6" i="33" s="1"/>
  <c r="G5" i="33"/>
  <c r="H5" i="33" s="1"/>
  <c r="F4" i="33"/>
  <c r="E4" i="33"/>
  <c r="H6" i="32"/>
  <c r="G6" i="32"/>
  <c r="F6" i="32"/>
  <c r="H5" i="32"/>
  <c r="G5" i="32"/>
  <c r="F5" i="32"/>
  <c r="H4" i="32"/>
  <c r="G4" i="32"/>
  <c r="F4" i="32"/>
  <c r="H3" i="32"/>
  <c r="G3" i="32"/>
  <c r="F3" i="32"/>
  <c r="A82" i="34" l="1"/>
  <c r="F71" i="17"/>
  <c r="X71" i="17" s="1"/>
  <c r="G30" i="36"/>
  <c r="G31" i="36" s="1"/>
  <c r="AR100" i="34"/>
  <c r="A100" i="34" s="1"/>
  <c r="AP66" i="34"/>
  <c r="AF83" i="34"/>
  <c r="AH83" i="34" s="1"/>
  <c r="G18" i="36"/>
  <c r="G19" i="36" s="1"/>
  <c r="G6" i="36"/>
  <c r="G7" i="36" s="1"/>
  <c r="AB68" i="34"/>
  <c r="AD68" i="34" s="1"/>
  <c r="AF70" i="34" s="1"/>
  <c r="H3" i="35"/>
  <c r="E4" i="32"/>
  <c r="Y4" i="32" s="1"/>
  <c r="E5" i="32"/>
  <c r="Y5" i="32" s="1"/>
  <c r="E28" i="33"/>
  <c r="E18" i="33"/>
  <c r="E5" i="33"/>
  <c r="E23" i="33"/>
  <c r="E7" i="33"/>
  <c r="E21" i="33"/>
  <c r="E22" i="33"/>
  <c r="F27" i="17"/>
  <c r="E17" i="33"/>
  <c r="F18" i="33"/>
  <c r="H4" i="35"/>
  <c r="H12" i="33"/>
  <c r="H5" i="35"/>
  <c r="E6" i="32"/>
  <c r="Y6" i="32" s="1"/>
  <c r="E3" i="32"/>
  <c r="Y3" i="32" s="1"/>
  <c r="G9" i="36"/>
  <c r="G10" i="36" s="1"/>
  <c r="G33" i="36"/>
  <c r="G34" i="36" s="1"/>
  <c r="G37" i="36" s="1"/>
  <c r="G21" i="36"/>
  <c r="G22" i="36" s="1"/>
  <c r="AF118" i="34"/>
  <c r="AF103" i="34"/>
  <c r="AL14" i="34"/>
  <c r="AZ14" i="34" s="1"/>
  <c r="AD85" i="34"/>
  <c r="AB83" i="34"/>
  <c r="AD83" i="34" s="1"/>
  <c r="AF84" i="34" s="1"/>
  <c r="AB118" i="34"/>
  <c r="AD118" i="34" s="1"/>
  <c r="A75" i="34"/>
  <c r="AD44" i="34"/>
  <c r="AD27" i="34"/>
  <c r="AF27" i="34" s="1"/>
  <c r="D27" i="34" s="1"/>
  <c r="B27" i="34" s="1"/>
  <c r="AT100" i="34"/>
  <c r="A111" i="34"/>
  <c r="AB103" i="34"/>
  <c r="AD103" i="34" s="1"/>
  <c r="AF107" i="34" s="1"/>
  <c r="F21" i="33"/>
  <c r="F27" i="33"/>
  <c r="J26" i="33"/>
  <c r="F5" i="33"/>
  <c r="H3" i="33"/>
  <c r="H9" i="33" s="1"/>
  <c r="F7" i="32" s="1"/>
  <c r="J16" i="33"/>
  <c r="J24" i="33" s="1"/>
  <c r="G9" i="32" s="1"/>
  <c r="J53" i="17" s="1"/>
  <c r="F19" i="33"/>
  <c r="E20" i="33"/>
  <c r="J6" i="33"/>
  <c r="L17" i="33"/>
  <c r="L16" i="33" s="1"/>
  <c r="L24" i="33" s="1"/>
  <c r="H9" i="32" s="1"/>
  <c r="L53" i="17" s="1"/>
  <c r="H23" i="33"/>
  <c r="F23" i="33" s="1"/>
  <c r="E19" i="33"/>
  <c r="E27" i="33"/>
  <c r="G25" i="36" l="1"/>
  <c r="G13" i="36"/>
  <c r="O27" i="17"/>
  <c r="X27" i="17"/>
  <c r="R27" i="17"/>
  <c r="O71" i="17"/>
  <c r="R71" i="17"/>
  <c r="AB13" i="33"/>
  <c r="H11" i="33"/>
  <c r="H14" i="33" s="1"/>
  <c r="F8" i="32" s="1"/>
  <c r="AF106" i="34"/>
  <c r="C106" i="34" s="1"/>
  <c r="B106" i="34" s="1"/>
  <c r="AF105" i="34"/>
  <c r="A105" i="34" s="1"/>
  <c r="AF71" i="34"/>
  <c r="E71" i="34" s="1"/>
  <c r="B71" i="34" s="1"/>
  <c r="AF69" i="34"/>
  <c r="D69" i="34" s="1"/>
  <c r="B69" i="34" s="1"/>
  <c r="AF68" i="34"/>
  <c r="A68" i="34" s="1"/>
  <c r="A83" i="34"/>
  <c r="A70" i="34"/>
  <c r="AH70" i="34"/>
  <c r="AB78" i="34" s="1"/>
  <c r="C78" i="34" s="1"/>
  <c r="C70" i="34"/>
  <c r="B70" i="34" s="1"/>
  <c r="AF86" i="34"/>
  <c r="E86" i="34" s="1"/>
  <c r="B86" i="34" s="1"/>
  <c r="F26" i="33"/>
  <c r="J29" i="33"/>
  <c r="J13" i="33"/>
  <c r="J11" i="33" s="1"/>
  <c r="H50" i="17"/>
  <c r="F12" i="33"/>
  <c r="BB14" i="34"/>
  <c r="A14" i="34"/>
  <c r="D107" i="34"/>
  <c r="B107" i="34" s="1"/>
  <c r="A107" i="34"/>
  <c r="AH107" i="34"/>
  <c r="D84" i="34"/>
  <c r="B84" i="34" s="1"/>
  <c r="A84" i="34"/>
  <c r="A69" i="34"/>
  <c r="A103" i="34"/>
  <c r="AH103" i="34"/>
  <c r="AV14" i="34"/>
  <c r="AX14" i="34" s="1"/>
  <c r="AH118" i="34"/>
  <c r="A118" i="34"/>
  <c r="AJ44" i="34"/>
  <c r="AL44" i="34" s="1"/>
  <c r="AF44" i="34"/>
  <c r="AH44" i="34" s="1"/>
  <c r="AB46" i="34" s="1"/>
  <c r="AD46" i="34" s="1"/>
  <c r="AF122" i="34"/>
  <c r="AF120" i="34"/>
  <c r="AF121" i="34"/>
  <c r="A27" i="34"/>
  <c r="AF85" i="34"/>
  <c r="F6" i="33"/>
  <c r="AB8" i="33"/>
  <c r="L8" i="33"/>
  <c r="J3" i="33"/>
  <c r="J9" i="33" s="1"/>
  <c r="G7" i="32" s="1"/>
  <c r="H16" i="33"/>
  <c r="F17" i="33"/>
  <c r="E10" i="17"/>
  <c r="F10" i="17"/>
  <c r="X10" i="17" s="1"/>
  <c r="E12" i="17"/>
  <c r="F12" i="17"/>
  <c r="X12" i="17" s="1"/>
  <c r="E29" i="17"/>
  <c r="F29" i="17"/>
  <c r="X29" i="17" s="1"/>
  <c r="E73" i="17"/>
  <c r="F73" i="17"/>
  <c r="X73" i="17" s="1"/>
  <c r="E74" i="17"/>
  <c r="F74" i="17"/>
  <c r="X74" i="17" s="1"/>
  <c r="E95" i="17"/>
  <c r="F95" i="17"/>
  <c r="X95" i="17" s="1"/>
  <c r="E106" i="17"/>
  <c r="F106" i="17"/>
  <c r="X106" i="17" s="1"/>
  <c r="J107" i="17"/>
  <c r="I11" i="17" s="1"/>
  <c r="J11" i="17" s="1"/>
  <c r="H108" i="17"/>
  <c r="H109" i="17"/>
  <c r="F109" i="17" s="1"/>
  <c r="X109" i="17" s="1"/>
  <c r="E110" i="17"/>
  <c r="F110" i="17"/>
  <c r="X110" i="17" s="1"/>
  <c r="E111" i="17"/>
  <c r="E112" i="17"/>
  <c r="E113" i="17"/>
  <c r="F113" i="17"/>
  <c r="X113" i="17" s="1"/>
  <c r="H114" i="17"/>
  <c r="F114" i="17" s="1"/>
  <c r="X114" i="17" s="1"/>
  <c r="H115" i="17"/>
  <c r="F115" i="17" s="1"/>
  <c r="X115" i="17" s="1"/>
  <c r="H116" i="17"/>
  <c r="F116" i="17" s="1"/>
  <c r="X116" i="17" s="1"/>
  <c r="E117" i="17"/>
  <c r="F117" i="17"/>
  <c r="X117" i="17" s="1"/>
  <c r="E118" i="17"/>
  <c r="E119" i="17"/>
  <c r="E120" i="17"/>
  <c r="E121" i="17"/>
  <c r="E122" i="17"/>
  <c r="F122" i="17"/>
  <c r="X122" i="17" s="1"/>
  <c r="H123" i="17"/>
  <c r="F123" i="17" s="1"/>
  <c r="X123" i="17" s="1"/>
  <c r="E124" i="17"/>
  <c r="F124" i="17"/>
  <c r="X124" i="17" s="1"/>
  <c r="E125" i="17"/>
  <c r="E126" i="17"/>
  <c r="E127" i="17"/>
  <c r="F127" i="17"/>
  <c r="X127" i="17" s="1"/>
  <c r="H128" i="17"/>
  <c r="F128" i="17" s="1"/>
  <c r="X128" i="17" s="1"/>
  <c r="E129" i="17"/>
  <c r="F129" i="17"/>
  <c r="X129" i="17" s="1"/>
  <c r="E130" i="17"/>
  <c r="AH69" i="34" l="1"/>
  <c r="AH71" i="34"/>
  <c r="AH106" i="34"/>
  <c r="AB112" i="34" s="1"/>
  <c r="C112" i="34" s="1"/>
  <c r="A71" i="34"/>
  <c r="O128" i="17"/>
  <c r="R128" i="17"/>
  <c r="O129" i="17"/>
  <c r="R129" i="17"/>
  <c r="O116" i="17"/>
  <c r="R116" i="17"/>
  <c r="O127" i="17"/>
  <c r="R127" i="17"/>
  <c r="O114" i="17"/>
  <c r="R114" i="17"/>
  <c r="O113" i="17"/>
  <c r="R113" i="17"/>
  <c r="O12" i="17"/>
  <c r="R12" i="17"/>
  <c r="O109" i="17"/>
  <c r="R109" i="17"/>
  <c r="O95" i="17"/>
  <c r="R95" i="17"/>
  <c r="O74" i="17"/>
  <c r="R74" i="17"/>
  <c r="O73" i="17"/>
  <c r="R73" i="17"/>
  <c r="O29" i="17"/>
  <c r="R29" i="17"/>
  <c r="O124" i="17"/>
  <c r="R124" i="17"/>
  <c r="O123" i="17"/>
  <c r="R123" i="17"/>
  <c r="O110" i="17"/>
  <c r="R110" i="17"/>
  <c r="O106" i="17"/>
  <c r="R106" i="17"/>
  <c r="O117" i="17"/>
  <c r="R117" i="17"/>
  <c r="O115" i="17"/>
  <c r="R115" i="17"/>
  <c r="O122" i="17"/>
  <c r="R122" i="17"/>
  <c r="O10" i="17"/>
  <c r="R10" i="17"/>
  <c r="AH86" i="34"/>
  <c r="E91" i="34" s="1"/>
  <c r="E60" i="34" s="1"/>
  <c r="F13" i="33"/>
  <c r="E105" i="34"/>
  <c r="B105" i="34" s="1"/>
  <c r="AH68" i="34"/>
  <c r="A106" i="34"/>
  <c r="AH105" i="34"/>
  <c r="AF78" i="34"/>
  <c r="E78" i="34" s="1"/>
  <c r="AB76" i="34"/>
  <c r="C76" i="34" s="1"/>
  <c r="A86" i="34"/>
  <c r="AB72" i="34"/>
  <c r="C72" i="34" s="1"/>
  <c r="AF76" i="34"/>
  <c r="E76" i="34" s="1"/>
  <c r="F29" i="33"/>
  <c r="G10" i="32"/>
  <c r="E10" i="32" s="1"/>
  <c r="AF72" i="34"/>
  <c r="E72" i="34" s="1"/>
  <c r="F16" i="33"/>
  <c r="H24" i="33"/>
  <c r="F11" i="33"/>
  <c r="J14" i="33"/>
  <c r="H61" i="17"/>
  <c r="H72" i="17"/>
  <c r="J72" i="17"/>
  <c r="L72" i="17"/>
  <c r="AH121" i="34"/>
  <c r="AJ121" i="34" s="1"/>
  <c r="D121" i="34" s="1"/>
  <c r="B121" i="34" s="1"/>
  <c r="AB108" i="34"/>
  <c r="C108" i="34" s="1"/>
  <c r="AH75" i="34"/>
  <c r="AD72" i="34"/>
  <c r="D72" i="34" s="1"/>
  <c r="AH120" i="34"/>
  <c r="AJ120" i="34" s="1"/>
  <c r="C120" i="34" s="1"/>
  <c r="B120" i="34" s="1"/>
  <c r="AH122" i="34"/>
  <c r="AJ122" i="34" s="1"/>
  <c r="E122" i="34" s="1"/>
  <c r="B122" i="34" s="1"/>
  <c r="AF48" i="34"/>
  <c r="AF52" i="34"/>
  <c r="AF46" i="34"/>
  <c r="AF50" i="34"/>
  <c r="AH111" i="34"/>
  <c r="AD108" i="34"/>
  <c r="D108" i="34" s="1"/>
  <c r="AF21" i="34"/>
  <c r="AF17" i="34"/>
  <c r="AF19" i="34"/>
  <c r="C85" i="34"/>
  <c r="B85" i="34" s="1"/>
  <c r="A85" i="34"/>
  <c r="AF112" i="34"/>
  <c r="E112" i="34" s="1"/>
  <c r="AF108" i="34"/>
  <c r="E108" i="34" s="1"/>
  <c r="AH85" i="34"/>
  <c r="L3" i="33"/>
  <c r="F8" i="33"/>
  <c r="E116" i="17"/>
  <c r="E114" i="17"/>
  <c r="E109" i="17"/>
  <c r="E128" i="17"/>
  <c r="E123" i="17"/>
  <c r="E115" i="17"/>
  <c r="E108" i="17"/>
  <c r="F108" i="17"/>
  <c r="X108" i="17" s="1"/>
  <c r="H126" i="17"/>
  <c r="F126" i="17" s="1"/>
  <c r="X126" i="17" s="1"/>
  <c r="H125" i="17"/>
  <c r="F125" i="17" s="1"/>
  <c r="X125" i="17" s="1"/>
  <c r="H121" i="17"/>
  <c r="F121" i="17" s="1"/>
  <c r="X121" i="17" s="1"/>
  <c r="H120" i="17"/>
  <c r="F120" i="17" s="1"/>
  <c r="X120" i="17" s="1"/>
  <c r="H119" i="17"/>
  <c r="F119" i="17" s="1"/>
  <c r="X119" i="17" s="1"/>
  <c r="H118" i="17"/>
  <c r="F118" i="17" s="1"/>
  <c r="X118" i="17" s="1"/>
  <c r="H112" i="17"/>
  <c r="F112" i="17" s="1"/>
  <c r="X112" i="17" s="1"/>
  <c r="H111" i="17"/>
  <c r="F111" i="17" s="1"/>
  <c r="X111" i="17" s="1"/>
  <c r="BU1" i="17"/>
  <c r="C23" i="30"/>
  <c r="C22" i="30"/>
  <c r="C21" i="30"/>
  <c r="C20" i="30"/>
  <c r="C19" i="30"/>
  <c r="C18" i="30"/>
  <c r="F439" i="23" s="1"/>
  <c r="G439" i="23" s="1"/>
  <c r="G440" i="23" s="1"/>
  <c r="F39" i="22" s="1"/>
  <c r="G4" i="27"/>
  <c r="G3" i="27"/>
  <c r="D73" i="25"/>
  <c r="D72" i="25"/>
  <c r="D71" i="25"/>
  <c r="D70" i="25"/>
  <c r="D69" i="25"/>
  <c r="D68" i="25"/>
  <c r="D67" i="25"/>
  <c r="D66" i="25"/>
  <c r="D65" i="25"/>
  <c r="D64" i="25"/>
  <c r="D63" i="25"/>
  <c r="D62" i="25"/>
  <c r="D61" i="25"/>
  <c r="D60" i="25"/>
  <c r="D59" i="25"/>
  <c r="D58" i="25"/>
  <c r="D57" i="25"/>
  <c r="D56" i="25"/>
  <c r="D55" i="25"/>
  <c r="D54" i="25"/>
  <c r="D53" i="25"/>
  <c r="D52" i="25"/>
  <c r="D51" i="25"/>
  <c r="D50" i="25"/>
  <c r="D49" i="25"/>
  <c r="D48" i="25"/>
  <c r="D47" i="25"/>
  <c r="D46" i="25"/>
  <c r="D45" i="25"/>
  <c r="D44" i="25"/>
  <c r="D43" i="25"/>
  <c r="D42" i="25"/>
  <c r="D41" i="25"/>
  <c r="D40" i="25"/>
  <c r="D39" i="25"/>
  <c r="D38" i="25"/>
  <c r="D37" i="25"/>
  <c r="D36" i="25"/>
  <c r="D35" i="25"/>
  <c r="D34" i="25"/>
  <c r="D33" i="25"/>
  <c r="D32" i="25"/>
  <c r="D31" i="25"/>
  <c r="D30" i="25"/>
  <c r="D29" i="25"/>
  <c r="D28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D8" i="25"/>
  <c r="D7" i="25"/>
  <c r="D6" i="25"/>
  <c r="D5" i="25"/>
  <c r="D4" i="25"/>
  <c r="D3" i="25"/>
  <c r="AG460" i="23"/>
  <c r="AG459" i="23"/>
  <c r="F459" i="23"/>
  <c r="G459" i="23" s="1"/>
  <c r="AG457" i="23"/>
  <c r="F457" i="23"/>
  <c r="D457" i="23"/>
  <c r="AG446" i="23"/>
  <c r="F446" i="23"/>
  <c r="D446" i="23"/>
  <c r="AG439" i="23"/>
  <c r="AG437" i="23"/>
  <c r="AG436" i="23"/>
  <c r="F436" i="23"/>
  <c r="G436" i="23" s="1"/>
  <c r="G437" i="23" s="1"/>
  <c r="AG434" i="23"/>
  <c r="F434" i="23"/>
  <c r="D434" i="23"/>
  <c r="AG427" i="23"/>
  <c r="AG425" i="23"/>
  <c r="AG424" i="23"/>
  <c r="F424" i="23"/>
  <c r="G424" i="23" s="1"/>
  <c r="G425" i="23" s="1"/>
  <c r="G426" i="23" s="1"/>
  <c r="E38" i="22" s="1"/>
  <c r="AG422" i="23"/>
  <c r="F422" i="23"/>
  <c r="D422" i="23"/>
  <c r="AG413" i="23"/>
  <c r="F413" i="23"/>
  <c r="G413" i="23" s="1"/>
  <c r="G414" i="23" s="1"/>
  <c r="E37" i="22" s="1"/>
  <c r="AG411" i="23"/>
  <c r="F411" i="23"/>
  <c r="D411" i="23"/>
  <c r="AG404" i="23"/>
  <c r="AG402" i="23"/>
  <c r="AG401" i="23"/>
  <c r="F401" i="23"/>
  <c r="G401" i="23" s="1"/>
  <c r="AG399" i="23"/>
  <c r="F399" i="23"/>
  <c r="D399" i="23"/>
  <c r="AG392" i="23"/>
  <c r="AG390" i="23"/>
  <c r="AG389" i="23"/>
  <c r="F389" i="23"/>
  <c r="G389" i="23" s="1"/>
  <c r="AG387" i="23"/>
  <c r="F387" i="23"/>
  <c r="D387" i="23"/>
  <c r="AG380" i="23"/>
  <c r="AG378" i="23"/>
  <c r="AG377" i="23"/>
  <c r="F377" i="23"/>
  <c r="G377" i="23" s="1"/>
  <c r="AG375" i="23"/>
  <c r="F375" i="23"/>
  <c r="D375" i="23"/>
  <c r="AG368" i="23"/>
  <c r="AG366" i="23"/>
  <c r="AG365" i="23"/>
  <c r="F365" i="23"/>
  <c r="G365" i="23" s="1"/>
  <c r="AG363" i="23"/>
  <c r="F363" i="23"/>
  <c r="D363" i="23"/>
  <c r="AG356" i="23"/>
  <c r="AG352" i="23"/>
  <c r="F352" i="23"/>
  <c r="D352" i="23"/>
  <c r="AG343" i="23"/>
  <c r="AG342" i="23"/>
  <c r="F342" i="23"/>
  <c r="G342" i="23" s="1"/>
  <c r="G343" i="23" s="1"/>
  <c r="AG333" i="23"/>
  <c r="AG331" i="23"/>
  <c r="AG330" i="23"/>
  <c r="F330" i="23"/>
  <c r="G330" i="23" s="1"/>
  <c r="AG328" i="23"/>
  <c r="F328" i="23"/>
  <c r="D328" i="23"/>
  <c r="AG321" i="23"/>
  <c r="AG319" i="23"/>
  <c r="AG318" i="23"/>
  <c r="F318" i="23"/>
  <c r="G318" i="23" s="1"/>
  <c r="AG316" i="23"/>
  <c r="F316" i="23"/>
  <c r="D316" i="23"/>
  <c r="AG309" i="23"/>
  <c r="AG307" i="23"/>
  <c r="AG306" i="23"/>
  <c r="F306" i="23"/>
  <c r="G306" i="23" s="1"/>
  <c r="AG304" i="23"/>
  <c r="F304" i="23"/>
  <c r="D304" i="23"/>
  <c r="AG297" i="23"/>
  <c r="AG293" i="23"/>
  <c r="F293" i="23"/>
  <c r="D293" i="23"/>
  <c r="AG284" i="23"/>
  <c r="AG283" i="23"/>
  <c r="F283" i="23"/>
  <c r="G283" i="23" s="1"/>
  <c r="G284" i="23" s="1"/>
  <c r="G285" i="23" s="1"/>
  <c r="AG274" i="23"/>
  <c r="AG272" i="23"/>
  <c r="AG271" i="23"/>
  <c r="F271" i="23"/>
  <c r="G271" i="23" s="1"/>
  <c r="AG269" i="23"/>
  <c r="F269" i="23"/>
  <c r="D269" i="23"/>
  <c r="AG262" i="23"/>
  <c r="AG260" i="23"/>
  <c r="AG259" i="23"/>
  <c r="F259" i="23"/>
  <c r="G259" i="23" s="1"/>
  <c r="AG257" i="23"/>
  <c r="F257" i="23"/>
  <c r="D257" i="23"/>
  <c r="AG250" i="23"/>
  <c r="AG248" i="23"/>
  <c r="AG247" i="23"/>
  <c r="F247" i="23"/>
  <c r="G247" i="23" s="1"/>
  <c r="AG245" i="23"/>
  <c r="F245" i="23"/>
  <c r="D245" i="23"/>
  <c r="AG238" i="23"/>
  <c r="AG236" i="23"/>
  <c r="AG235" i="23"/>
  <c r="F235" i="23"/>
  <c r="G235" i="23" s="1"/>
  <c r="AG233" i="23"/>
  <c r="F233" i="23"/>
  <c r="D233" i="23"/>
  <c r="AG226" i="23"/>
  <c r="AG224" i="23"/>
  <c r="AG223" i="23"/>
  <c r="F223" i="23"/>
  <c r="G223" i="23" s="1"/>
  <c r="AG221" i="23"/>
  <c r="F221" i="23"/>
  <c r="D221" i="23"/>
  <c r="AG214" i="23"/>
  <c r="AG212" i="23"/>
  <c r="AG211" i="23"/>
  <c r="F211" i="23"/>
  <c r="G211" i="23" s="1"/>
  <c r="AG209" i="23"/>
  <c r="F209" i="23"/>
  <c r="D209" i="23"/>
  <c r="AG202" i="23"/>
  <c r="AG200" i="23"/>
  <c r="AG199" i="23"/>
  <c r="F199" i="23"/>
  <c r="G199" i="23" s="1"/>
  <c r="AG197" i="23"/>
  <c r="F197" i="23"/>
  <c r="D197" i="23"/>
  <c r="AG190" i="23"/>
  <c r="AG188" i="23"/>
  <c r="AG187" i="23"/>
  <c r="F187" i="23"/>
  <c r="G187" i="23" s="1"/>
  <c r="AG185" i="23"/>
  <c r="F185" i="23"/>
  <c r="D185" i="23"/>
  <c r="AG178" i="23"/>
  <c r="AG176" i="23"/>
  <c r="AG175" i="23"/>
  <c r="F175" i="23"/>
  <c r="G175" i="23" s="1"/>
  <c r="AG173" i="23"/>
  <c r="F173" i="23"/>
  <c r="D173" i="23"/>
  <c r="AG166" i="23"/>
  <c r="AG164" i="23"/>
  <c r="AG163" i="23"/>
  <c r="F163" i="23"/>
  <c r="G163" i="23" s="1"/>
  <c r="AG161" i="23"/>
  <c r="F161" i="23"/>
  <c r="D161" i="23"/>
  <c r="AG154" i="23"/>
  <c r="AG152" i="23"/>
  <c r="AG151" i="23"/>
  <c r="F151" i="23"/>
  <c r="G151" i="23" s="1"/>
  <c r="AG149" i="23"/>
  <c r="F149" i="23"/>
  <c r="D149" i="23"/>
  <c r="AG142" i="23"/>
  <c r="AG140" i="23"/>
  <c r="AG139" i="23"/>
  <c r="F139" i="23"/>
  <c r="G139" i="23" s="1"/>
  <c r="AG137" i="23"/>
  <c r="F137" i="23"/>
  <c r="D137" i="23"/>
  <c r="AG126" i="23"/>
  <c r="F126" i="23"/>
  <c r="G126" i="23" s="1"/>
  <c r="G127" i="23" s="1"/>
  <c r="AG115" i="23"/>
  <c r="F115" i="23"/>
  <c r="D115" i="23"/>
  <c r="AG108" i="23"/>
  <c r="AG106" i="23"/>
  <c r="AG105" i="23"/>
  <c r="F105" i="23"/>
  <c r="G105" i="23" s="1"/>
  <c r="AG103" i="23"/>
  <c r="F103" i="23"/>
  <c r="D103" i="23"/>
  <c r="AG96" i="23"/>
  <c r="AG94" i="23"/>
  <c r="AG93" i="23"/>
  <c r="F93" i="23"/>
  <c r="G93" i="23" s="1"/>
  <c r="AG91" i="23"/>
  <c r="F91" i="23"/>
  <c r="D91" i="23"/>
  <c r="AG84" i="23"/>
  <c r="AG82" i="23"/>
  <c r="AG81" i="23"/>
  <c r="F81" i="23"/>
  <c r="G81" i="23" s="1"/>
  <c r="AG79" i="23"/>
  <c r="F79" i="23"/>
  <c r="D79" i="23"/>
  <c r="AG72" i="23"/>
  <c r="AG70" i="23"/>
  <c r="AG69" i="23"/>
  <c r="F69" i="23"/>
  <c r="G69" i="23" s="1"/>
  <c r="AG67" i="23"/>
  <c r="F67" i="23"/>
  <c r="D67" i="23"/>
  <c r="AG60" i="23"/>
  <c r="AG58" i="23"/>
  <c r="AG57" i="23"/>
  <c r="F57" i="23"/>
  <c r="G57" i="23" s="1"/>
  <c r="AG55" i="23"/>
  <c r="F55" i="23"/>
  <c r="D55" i="23"/>
  <c r="AG48" i="23"/>
  <c r="AG46" i="23"/>
  <c r="AG45" i="23"/>
  <c r="F45" i="23"/>
  <c r="G45" i="23" s="1"/>
  <c r="G46" i="23" s="1"/>
  <c r="AG43" i="23"/>
  <c r="AG42" i="23"/>
  <c r="F42" i="23"/>
  <c r="D42" i="23"/>
  <c r="AG35" i="23"/>
  <c r="AG32" i="23"/>
  <c r="F32" i="23"/>
  <c r="G32" i="23" s="1"/>
  <c r="AG30" i="23"/>
  <c r="F30" i="23"/>
  <c r="D30" i="23"/>
  <c r="AG23" i="23"/>
  <c r="AG20" i="23"/>
  <c r="F20" i="23"/>
  <c r="G20" i="23" s="1"/>
  <c r="G21" i="23" s="1"/>
  <c r="G22" i="23" s="1"/>
  <c r="E4" i="22" s="1"/>
  <c r="AG18" i="23"/>
  <c r="F18" i="23"/>
  <c r="D18" i="23"/>
  <c r="AG11" i="23"/>
  <c r="AG8" i="23"/>
  <c r="F8" i="23"/>
  <c r="G8" i="23" s="1"/>
  <c r="AG6" i="23"/>
  <c r="F6" i="23"/>
  <c r="D6" i="23"/>
  <c r="O41" i="22"/>
  <c r="O40" i="22"/>
  <c r="O39" i="22"/>
  <c r="O38" i="22"/>
  <c r="O37" i="22"/>
  <c r="O36" i="22"/>
  <c r="O35" i="22"/>
  <c r="O34" i="22"/>
  <c r="O33" i="22"/>
  <c r="O32" i="22"/>
  <c r="O31" i="22"/>
  <c r="O30" i="22"/>
  <c r="O29" i="22"/>
  <c r="O28" i="22"/>
  <c r="O27" i="22"/>
  <c r="O26" i="22"/>
  <c r="O25" i="22"/>
  <c r="O24" i="22"/>
  <c r="O23" i="22"/>
  <c r="O22" i="22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B259" i="21"/>
  <c r="B257" i="21"/>
  <c r="B255" i="21"/>
  <c r="B253" i="21"/>
  <c r="AD251" i="21"/>
  <c r="AJ255" i="21" s="1"/>
  <c r="AL255" i="21" s="1"/>
  <c r="K251" i="21"/>
  <c r="AD249" i="21"/>
  <c r="AF255" i="21" s="1"/>
  <c r="AH255" i="21" s="1"/>
  <c r="K249" i="21"/>
  <c r="AD247" i="21"/>
  <c r="K247" i="21"/>
  <c r="AH245" i="21"/>
  <c r="AB259" i="21" s="1"/>
  <c r="AD259" i="21" s="1"/>
  <c r="AD245" i="21"/>
  <c r="AF259" i="21" s="1"/>
  <c r="AH259" i="21" s="1"/>
  <c r="K245" i="21"/>
  <c r="A245" i="21"/>
  <c r="AH243" i="21"/>
  <c r="AF253" i="21" s="1"/>
  <c r="AH253" i="21" s="1"/>
  <c r="AD243" i="21"/>
  <c r="AB253" i="21" s="1"/>
  <c r="K243" i="21"/>
  <c r="A243" i="21"/>
  <c r="AB239" i="21"/>
  <c r="AD239" i="21" s="1"/>
  <c r="AF265" i="21" s="1"/>
  <c r="AH265" i="21" s="1"/>
  <c r="B239" i="21"/>
  <c r="B235" i="21"/>
  <c r="AH229" i="21"/>
  <c r="AF235" i="21" s="1"/>
  <c r="AH235" i="21" s="1"/>
  <c r="AH226" i="21"/>
  <c r="AD223" i="21"/>
  <c r="A223" i="21"/>
  <c r="AB221" i="21"/>
  <c r="AD221" i="21" s="1"/>
  <c r="AJ229" i="21" s="1"/>
  <c r="AL229" i="21" s="1"/>
  <c r="B221" i="21"/>
  <c r="AD205" i="21"/>
  <c r="AB199" i="21"/>
  <c r="D199" i="21" s="1"/>
  <c r="B199" i="21" s="1"/>
  <c r="AD181" i="21"/>
  <c r="E177" i="21"/>
  <c r="C177" i="21"/>
  <c r="AB175" i="21"/>
  <c r="AD175" i="21" s="1"/>
  <c r="AD177" i="21" s="1"/>
  <c r="D177" i="21" s="1"/>
  <c r="AB148" i="21"/>
  <c r="AF148" i="21" s="1"/>
  <c r="AH148" i="21" s="1"/>
  <c r="AB147" i="21"/>
  <c r="D147" i="21" s="1"/>
  <c r="B147" i="21" s="1"/>
  <c r="AB133" i="21"/>
  <c r="AF133" i="21" s="1"/>
  <c r="AH133" i="21" s="1"/>
  <c r="AB132" i="21"/>
  <c r="AB122" i="21"/>
  <c r="A122" i="21" s="1"/>
  <c r="AB121" i="21"/>
  <c r="D121" i="21" s="1"/>
  <c r="B121" i="21" s="1"/>
  <c r="AB107" i="21"/>
  <c r="D107" i="21" s="1"/>
  <c r="B107" i="21" s="1"/>
  <c r="AB106" i="21"/>
  <c r="AD106" i="21" s="1"/>
  <c r="AB98" i="21"/>
  <c r="A98" i="21" s="1"/>
  <c r="AB96" i="21"/>
  <c r="A96" i="21" s="1"/>
  <c r="AB94" i="21"/>
  <c r="A94" i="21" s="1"/>
  <c r="AB92" i="21"/>
  <c r="E92" i="21" s="1"/>
  <c r="B92" i="21" s="1"/>
  <c r="AB90" i="21"/>
  <c r="AB88" i="21"/>
  <c r="A88" i="21" s="1"/>
  <c r="AB86" i="21"/>
  <c r="A86" i="21" s="1"/>
  <c r="D76" i="21"/>
  <c r="C76" i="21"/>
  <c r="AB74" i="21"/>
  <c r="A74" i="21" s="1"/>
  <c r="AB72" i="21"/>
  <c r="D56" i="21"/>
  <c r="C56" i="21"/>
  <c r="AD52" i="21"/>
  <c r="AB54" i="21" s="1"/>
  <c r="K52" i="21"/>
  <c r="A52" i="21"/>
  <c r="D38" i="21"/>
  <c r="C38" i="21"/>
  <c r="AB36" i="21"/>
  <c r="E36" i="21" s="1"/>
  <c r="B36" i="21" s="1"/>
  <c r="AB34" i="21"/>
  <c r="D20" i="21"/>
  <c r="C20" i="21"/>
  <c r="AD16" i="21"/>
  <c r="AB18" i="21" s="1"/>
  <c r="K16" i="21"/>
  <c r="A16" i="21"/>
  <c r="A1394" i="20"/>
  <c r="AP1392" i="20"/>
  <c r="AL1392" i="20"/>
  <c r="AH1392" i="20"/>
  <c r="AD1392" i="20"/>
  <c r="K1392" i="20"/>
  <c r="A1392" i="20"/>
  <c r="A1382" i="20"/>
  <c r="AT1378" i="20"/>
  <c r="AP1378" i="20"/>
  <c r="K1378" i="20"/>
  <c r="AL1376" i="20"/>
  <c r="AB1378" i="20" s="1"/>
  <c r="AD1378" i="20" s="1"/>
  <c r="AF1378" i="20" s="1"/>
  <c r="AH1378" i="20" s="1"/>
  <c r="AH1376" i="20"/>
  <c r="AD1376" i="20"/>
  <c r="K1376" i="20"/>
  <c r="A1376" i="20"/>
  <c r="AB1365" i="20"/>
  <c r="A1365" i="20"/>
  <c r="A1362" i="20"/>
  <c r="AH1358" i="20"/>
  <c r="AJ1360" i="20" s="1"/>
  <c r="AL1360" i="20" s="1"/>
  <c r="AD1358" i="20"/>
  <c r="AR1360" i="20" s="1"/>
  <c r="AT1360" i="20" s="1"/>
  <c r="K1358" i="20"/>
  <c r="A1358" i="20"/>
  <c r="AL1356" i="20"/>
  <c r="AN1360" i="20" s="1"/>
  <c r="AP1360" i="20" s="1"/>
  <c r="AH1356" i="20"/>
  <c r="AF1360" i="20" s="1"/>
  <c r="AH1360" i="20" s="1"/>
  <c r="AD1356" i="20"/>
  <c r="AB1360" i="20" s="1"/>
  <c r="AD1360" i="20" s="1"/>
  <c r="K1356" i="20"/>
  <c r="A1356" i="20"/>
  <c r="AB1346" i="20"/>
  <c r="A1346" i="20"/>
  <c r="AB1340" i="20"/>
  <c r="A1340" i="20"/>
  <c r="AD1319" i="20"/>
  <c r="AN1321" i="20" s="1"/>
  <c r="AP1321" i="20" s="1"/>
  <c r="K1319" i="20"/>
  <c r="A1319" i="20"/>
  <c r="AF1315" i="20"/>
  <c r="A1315" i="20" s="1"/>
  <c r="AB1315" i="20"/>
  <c r="AD1315" i="20" s="1"/>
  <c r="AF1321" i="20" s="1"/>
  <c r="AH1321" i="20" s="1"/>
  <c r="AL1311" i="20"/>
  <c r="AF1324" i="20" s="1"/>
  <c r="AH1324" i="20" s="1"/>
  <c r="AH1311" i="20"/>
  <c r="AJ1324" i="20" s="1"/>
  <c r="AL1324" i="20" s="1"/>
  <c r="AD1311" i="20"/>
  <c r="AF1313" i="20" s="1"/>
  <c r="K1311" i="20"/>
  <c r="A1311" i="20"/>
  <c r="A1305" i="20"/>
  <c r="AD1298" i="20"/>
  <c r="AN1300" i="20" s="1"/>
  <c r="AP1300" i="20" s="1"/>
  <c r="K1298" i="20"/>
  <c r="A1298" i="20"/>
  <c r="AF1294" i="20"/>
  <c r="AH1294" i="20" s="1"/>
  <c r="AB1294" i="20"/>
  <c r="AD1294" i="20" s="1"/>
  <c r="AF1300" i="20" s="1"/>
  <c r="AH1300" i="20" s="1"/>
  <c r="AL1290" i="20"/>
  <c r="AF1303" i="20" s="1"/>
  <c r="AH1303" i="20" s="1"/>
  <c r="AH1290" i="20"/>
  <c r="AJ1303" i="20" s="1"/>
  <c r="AL1303" i="20" s="1"/>
  <c r="AD1290" i="20"/>
  <c r="AF1292" i="20" s="1"/>
  <c r="K1290" i="20"/>
  <c r="A1290" i="20"/>
  <c r="AB1282" i="20"/>
  <c r="B1282" i="20" s="1"/>
  <c r="A1282" i="20"/>
  <c r="AB1279" i="20"/>
  <c r="AD1279" i="20" s="1"/>
  <c r="C407" i="19" s="1"/>
  <c r="A1279" i="20"/>
  <c r="AB1276" i="20"/>
  <c r="B1276" i="20" s="1"/>
  <c r="A1276" i="20"/>
  <c r="AD1264" i="20"/>
  <c r="AH1251" i="20"/>
  <c r="AN1253" i="20" s="1"/>
  <c r="AP1253" i="20" s="1"/>
  <c r="AD1251" i="20"/>
  <c r="AJ1253" i="20" s="1"/>
  <c r="AL1253" i="20" s="1"/>
  <c r="K1251" i="20"/>
  <c r="A1251" i="20"/>
  <c r="AD1247" i="20"/>
  <c r="AB1253" i="20" s="1"/>
  <c r="K1247" i="20"/>
  <c r="A1247" i="20"/>
  <c r="AH1245" i="20"/>
  <c r="AF1249" i="20" s="1"/>
  <c r="AH1249" i="20" s="1"/>
  <c r="AD1245" i="20"/>
  <c r="AB1249" i="20" s="1"/>
  <c r="AD1249" i="20" s="1"/>
  <c r="K1245" i="20"/>
  <c r="A1245" i="20"/>
  <c r="A1239" i="20"/>
  <c r="AH1233" i="20"/>
  <c r="AN1235" i="20" s="1"/>
  <c r="AP1235" i="20" s="1"/>
  <c r="AD1233" i="20"/>
  <c r="AJ1235" i="20" s="1"/>
  <c r="AL1235" i="20" s="1"/>
  <c r="K1233" i="20"/>
  <c r="A1233" i="20"/>
  <c r="AD1229" i="20"/>
  <c r="AB1235" i="20" s="1"/>
  <c r="K1229" i="20"/>
  <c r="A1229" i="20"/>
  <c r="AH1227" i="20"/>
  <c r="AF1231" i="20" s="1"/>
  <c r="AH1231" i="20" s="1"/>
  <c r="AD1227" i="20"/>
  <c r="AB1231" i="20" s="1"/>
  <c r="AD1231" i="20" s="1"/>
  <c r="K1227" i="20"/>
  <c r="A1227" i="20"/>
  <c r="AB1197" i="20"/>
  <c r="AD1197" i="20" s="1"/>
  <c r="AB1194" i="20"/>
  <c r="AD1194" i="20" s="1"/>
  <c r="AB1185" i="20"/>
  <c r="AD1185" i="20" s="1"/>
  <c r="C385" i="19" s="1"/>
  <c r="A1185" i="20"/>
  <c r="AB1179" i="20"/>
  <c r="AD1179" i="20" s="1"/>
  <c r="C384" i="19" s="1"/>
  <c r="A1179" i="20"/>
  <c r="AB1173" i="20"/>
  <c r="AD1173" i="20" s="1"/>
  <c r="C383" i="19" s="1"/>
  <c r="A1173" i="20"/>
  <c r="AB1170" i="20"/>
  <c r="AD1170" i="20" s="1"/>
  <c r="C382" i="19" s="1"/>
  <c r="A1170" i="20"/>
  <c r="AB1164" i="20"/>
  <c r="A1164" i="20"/>
  <c r="AB1158" i="20"/>
  <c r="AD1158" i="20" s="1"/>
  <c r="A1158" i="20"/>
  <c r="AB1152" i="20"/>
  <c r="B1152" i="20" s="1"/>
  <c r="A1152" i="20"/>
  <c r="AB1146" i="20"/>
  <c r="A1146" i="20"/>
  <c r="AB1133" i="20"/>
  <c r="AD1133" i="20" s="1"/>
  <c r="AB1130" i="20"/>
  <c r="AD1130" i="20" s="1"/>
  <c r="AB1121" i="20"/>
  <c r="AD1121" i="20" s="1"/>
  <c r="C373" i="19" s="1"/>
  <c r="A1121" i="20"/>
  <c r="AB1115" i="20"/>
  <c r="B1115" i="20" s="1"/>
  <c r="A1115" i="20"/>
  <c r="AB1109" i="20"/>
  <c r="A1109" i="20"/>
  <c r="AB1106" i="20"/>
  <c r="B1106" i="20" s="1"/>
  <c r="A1106" i="20"/>
  <c r="AB1100" i="20"/>
  <c r="AF1100" i="20" s="1"/>
  <c r="AH1100" i="20" s="1"/>
  <c r="C369" i="19" s="1"/>
  <c r="A1100" i="20"/>
  <c r="AB1094" i="20"/>
  <c r="A1094" i="20"/>
  <c r="AB1088" i="20"/>
  <c r="B1088" i="20" s="1"/>
  <c r="A1088" i="20"/>
  <c r="AB1082" i="20"/>
  <c r="AF1082" i="20" s="1"/>
  <c r="A1082" i="20"/>
  <c r="AB1069" i="20"/>
  <c r="AD1069" i="20" s="1"/>
  <c r="C363" i="19" s="1"/>
  <c r="A1069" i="20"/>
  <c r="AB1063" i="20"/>
  <c r="AD1063" i="20" s="1"/>
  <c r="C362" i="19" s="1"/>
  <c r="A1063" i="20"/>
  <c r="AB1058" i="20"/>
  <c r="B1058" i="20" s="1"/>
  <c r="A1058" i="20"/>
  <c r="AB1050" i="20"/>
  <c r="AD1050" i="20" s="1"/>
  <c r="C360" i="19" s="1"/>
  <c r="A1050" i="20"/>
  <c r="AB1039" i="20"/>
  <c r="AD1039" i="20" s="1"/>
  <c r="C357" i="19" s="1"/>
  <c r="A1039" i="20"/>
  <c r="AB1033" i="20"/>
  <c r="AD1033" i="20" s="1"/>
  <c r="C356" i="19" s="1"/>
  <c r="A1033" i="20"/>
  <c r="AB1028" i="20"/>
  <c r="B1028" i="20" s="1"/>
  <c r="A1028" i="20"/>
  <c r="AB1020" i="20"/>
  <c r="AD1020" i="20" s="1"/>
  <c r="C354" i="19" s="1"/>
  <c r="A1020" i="20"/>
  <c r="AB1009" i="20"/>
  <c r="AD1009" i="20" s="1"/>
  <c r="C351" i="19" s="1"/>
  <c r="A1009" i="20"/>
  <c r="AB1003" i="20"/>
  <c r="B1003" i="20" s="1"/>
  <c r="A1003" i="20"/>
  <c r="AB998" i="20"/>
  <c r="AD998" i="20" s="1"/>
  <c r="C349" i="19" s="1"/>
  <c r="B998" i="20"/>
  <c r="A998" i="20"/>
  <c r="AB990" i="20"/>
  <c r="AD990" i="20" s="1"/>
  <c r="C348" i="19" s="1"/>
  <c r="A990" i="20"/>
  <c r="AB979" i="20"/>
  <c r="AD979" i="20" s="1"/>
  <c r="C324" i="19" s="1"/>
  <c r="A979" i="20"/>
  <c r="AB973" i="20"/>
  <c r="B973" i="20" s="1"/>
  <c r="A973" i="20"/>
  <c r="AB967" i="20"/>
  <c r="AD967" i="20" s="1"/>
  <c r="AB962" i="20"/>
  <c r="A962" i="20"/>
  <c r="AB949" i="20"/>
  <c r="B949" i="20" s="1"/>
  <c r="A949" i="20"/>
  <c r="AB943" i="20"/>
  <c r="AD943" i="20" s="1"/>
  <c r="C317" i="19" s="1"/>
  <c r="A943" i="20"/>
  <c r="AB937" i="20"/>
  <c r="AD937" i="20" s="1"/>
  <c r="AB932" i="20"/>
  <c r="AD932" i="20" s="1"/>
  <c r="C315" i="19" s="1"/>
  <c r="A932" i="20"/>
  <c r="AB919" i="20"/>
  <c r="AD919" i="20" s="1"/>
  <c r="C312" i="19" s="1"/>
  <c r="A919" i="20"/>
  <c r="AB913" i="20"/>
  <c r="AD913" i="20" s="1"/>
  <c r="C311" i="19" s="1"/>
  <c r="A913" i="20"/>
  <c r="AB907" i="20"/>
  <c r="AD907" i="20" s="1"/>
  <c r="C310" i="19" s="1"/>
  <c r="A907" i="20"/>
  <c r="AB901" i="20"/>
  <c r="AD901" i="20" s="1"/>
  <c r="C309" i="19" s="1"/>
  <c r="A901" i="20"/>
  <c r="AB895" i="20"/>
  <c r="B895" i="20" s="1"/>
  <c r="A895" i="20"/>
  <c r="AB892" i="20"/>
  <c r="AD892" i="20" s="1"/>
  <c r="C307" i="19" s="1"/>
  <c r="A892" i="20"/>
  <c r="AB886" i="20"/>
  <c r="AD886" i="20" s="1"/>
  <c r="C306" i="19" s="1"/>
  <c r="A886" i="20"/>
  <c r="AB880" i="20"/>
  <c r="AD880" i="20" s="1"/>
  <c r="C305" i="19" s="1"/>
  <c r="A880" i="20"/>
  <c r="AB867" i="20"/>
  <c r="B867" i="20" s="1"/>
  <c r="A867" i="20"/>
  <c r="AB861" i="20"/>
  <c r="AD861" i="20" s="1"/>
  <c r="C301" i="19" s="1"/>
  <c r="A861" i="20"/>
  <c r="AB855" i="20"/>
  <c r="AD855" i="20" s="1"/>
  <c r="C300" i="19" s="1"/>
  <c r="A855" i="20"/>
  <c r="AB849" i="20"/>
  <c r="AD849" i="20" s="1"/>
  <c r="C299" i="19" s="1"/>
  <c r="A849" i="20"/>
  <c r="AB843" i="20"/>
  <c r="AD843" i="20" s="1"/>
  <c r="C298" i="19" s="1"/>
  <c r="B843" i="20"/>
  <c r="A843" i="20"/>
  <c r="AB839" i="20"/>
  <c r="AD839" i="20" s="1"/>
  <c r="C297" i="19" s="1"/>
  <c r="A839" i="20"/>
  <c r="AB833" i="20"/>
  <c r="AD833" i="20" s="1"/>
  <c r="C296" i="19" s="1"/>
  <c r="A833" i="20"/>
  <c r="AB827" i="20"/>
  <c r="AD827" i="20" s="1"/>
  <c r="C295" i="19" s="1"/>
  <c r="A827" i="20"/>
  <c r="AB814" i="20"/>
  <c r="AD814" i="20" s="1"/>
  <c r="C292" i="19" s="1"/>
  <c r="A814" i="20"/>
  <c r="AB808" i="20"/>
  <c r="AD808" i="20" s="1"/>
  <c r="C291" i="19" s="1"/>
  <c r="A808" i="20"/>
  <c r="AB802" i="20"/>
  <c r="AD802" i="20" s="1"/>
  <c r="C290" i="19" s="1"/>
  <c r="A802" i="20"/>
  <c r="AB796" i="20"/>
  <c r="AD796" i="20" s="1"/>
  <c r="C289" i="19" s="1"/>
  <c r="A796" i="20"/>
  <c r="AB793" i="20"/>
  <c r="AD793" i="20" s="1"/>
  <c r="C288" i="19" s="1"/>
  <c r="A793" i="20"/>
  <c r="A786" i="20"/>
  <c r="AL780" i="20"/>
  <c r="AR782" i="20" s="1"/>
  <c r="AT782" i="20" s="1"/>
  <c r="AH780" i="20"/>
  <c r="AN782" i="20" s="1"/>
  <c r="AP782" i="20" s="1"/>
  <c r="AD780" i="20"/>
  <c r="AJ782" i="20" s="1"/>
  <c r="AL782" i="20" s="1"/>
  <c r="K780" i="20"/>
  <c r="A780" i="20"/>
  <c r="AF778" i="20"/>
  <c r="AB778" i="20"/>
  <c r="AD778" i="20" s="1"/>
  <c r="AF782" i="20" s="1"/>
  <c r="AH782" i="20" s="1"/>
  <c r="AL772" i="20"/>
  <c r="AJ784" i="20" s="1"/>
  <c r="AL784" i="20" s="1"/>
  <c r="AF772" i="20"/>
  <c r="AB772" i="20"/>
  <c r="AD772" i="20" s="1"/>
  <c r="AF784" i="20" s="1"/>
  <c r="AH784" i="20" s="1"/>
  <c r="K772" i="20"/>
  <c r="AF770" i="20"/>
  <c r="AB770" i="20"/>
  <c r="AD770" i="20" s="1"/>
  <c r="AB784" i="20" s="1"/>
  <c r="AD766" i="20"/>
  <c r="K766" i="20"/>
  <c r="A766" i="20"/>
  <c r="A759" i="20"/>
  <c r="AF755" i="20"/>
  <c r="A755" i="20" s="1"/>
  <c r="AB755" i="20"/>
  <c r="AD755" i="20" s="1"/>
  <c r="AR757" i="20" s="1"/>
  <c r="AT757" i="20" s="1"/>
  <c r="AD753" i="20"/>
  <c r="AN757" i="20" s="1"/>
  <c r="AP757" i="20" s="1"/>
  <c r="K753" i="20"/>
  <c r="A753" i="20"/>
  <c r="AF751" i="20"/>
  <c r="A751" i="20" s="1"/>
  <c r="AB751" i="20"/>
  <c r="AD751" i="20" s="1"/>
  <c r="AF757" i="20" s="1"/>
  <c r="AH757" i="20" s="1"/>
  <c r="AH749" i="20"/>
  <c r="AJ757" i="20" s="1"/>
  <c r="AL757" i="20" s="1"/>
  <c r="AD749" i="20"/>
  <c r="AB757" i="20" s="1"/>
  <c r="AD757" i="20" s="1"/>
  <c r="K749" i="20"/>
  <c r="A749" i="20"/>
  <c r="AB740" i="20"/>
  <c r="AD740" i="20" s="1"/>
  <c r="C285" i="19" s="1"/>
  <c r="B740" i="20"/>
  <c r="A740" i="20"/>
  <c r="AB730" i="20"/>
  <c r="AD730" i="20" s="1"/>
  <c r="AB724" i="20"/>
  <c r="AD724" i="20" s="1"/>
  <c r="C115" i="19" s="1"/>
  <c r="A724" i="20"/>
  <c r="AB721" i="20"/>
  <c r="B721" i="20" s="1"/>
  <c r="A721" i="20"/>
  <c r="AB716" i="20"/>
  <c r="AD716" i="20" s="1"/>
  <c r="AB713" i="20"/>
  <c r="AD713" i="20" s="1"/>
  <c r="AB710" i="20"/>
  <c r="AD710" i="20" s="1"/>
  <c r="C111" i="19" s="1"/>
  <c r="A710" i="20"/>
  <c r="AB705" i="20"/>
  <c r="AD705" i="20" s="1"/>
  <c r="C110" i="19" s="1"/>
  <c r="A705" i="20"/>
  <c r="AB692" i="20"/>
  <c r="AD692" i="20" s="1"/>
  <c r="AB686" i="20"/>
  <c r="AD686" i="20" s="1"/>
  <c r="C106" i="19" s="1"/>
  <c r="A686" i="20"/>
  <c r="AB681" i="20"/>
  <c r="AD681" i="20" s="1"/>
  <c r="AH673" i="20"/>
  <c r="AB675" i="20" s="1"/>
  <c r="AD673" i="20"/>
  <c r="AF675" i="20" s="1"/>
  <c r="AH675" i="20" s="1"/>
  <c r="K673" i="20"/>
  <c r="A673" i="20"/>
  <c r="AH668" i="20"/>
  <c r="AB670" i="20" s="1"/>
  <c r="AD670" i="20" s="1"/>
  <c r="AD668" i="20"/>
  <c r="AF670" i="20" s="1"/>
  <c r="AH670" i="20" s="1"/>
  <c r="K668" i="20"/>
  <c r="A668" i="20"/>
  <c r="AH663" i="20"/>
  <c r="AB665" i="20" s="1"/>
  <c r="AD663" i="20"/>
  <c r="AF665" i="20" s="1"/>
  <c r="AH665" i="20" s="1"/>
  <c r="K663" i="20"/>
  <c r="A663" i="20"/>
  <c r="AF654" i="20"/>
  <c r="A654" i="20" s="1"/>
  <c r="AB654" i="20"/>
  <c r="AD654" i="20" s="1"/>
  <c r="AF656" i="20" s="1"/>
  <c r="AH656" i="20" s="1"/>
  <c r="AD637" i="20"/>
  <c r="AB658" i="20" s="1"/>
  <c r="K637" i="20"/>
  <c r="A637" i="20"/>
  <c r="AB626" i="20"/>
  <c r="AD626" i="20" s="1"/>
  <c r="AB623" i="20"/>
  <c r="AD623" i="20" s="1"/>
  <c r="C96" i="19" s="1"/>
  <c r="A623" i="20"/>
  <c r="AB619" i="20"/>
  <c r="B619" i="20" s="1"/>
  <c r="A619" i="20"/>
  <c r="AB615" i="20"/>
  <c r="AD615" i="20" s="1"/>
  <c r="C94" i="19" s="1"/>
  <c r="A615" i="20"/>
  <c r="AB604" i="20"/>
  <c r="AD604" i="20" s="1"/>
  <c r="A604" i="20"/>
  <c r="A595" i="20"/>
  <c r="AH589" i="20"/>
  <c r="AN591" i="20" s="1"/>
  <c r="AP591" i="20" s="1"/>
  <c r="AD589" i="20"/>
  <c r="AJ591" i="20" s="1"/>
  <c r="AL591" i="20" s="1"/>
  <c r="K589" i="20"/>
  <c r="A589" i="20"/>
  <c r="AD585" i="20"/>
  <c r="AB591" i="20" s="1"/>
  <c r="K585" i="20"/>
  <c r="A585" i="20"/>
  <c r="AL583" i="20"/>
  <c r="AJ593" i="20" s="1"/>
  <c r="AL593" i="20" s="1"/>
  <c r="AH583" i="20"/>
  <c r="AF593" i="20" s="1"/>
  <c r="AH593" i="20" s="1"/>
  <c r="AD583" i="20"/>
  <c r="AB593" i="20" s="1"/>
  <c r="AD593" i="20" s="1"/>
  <c r="K583" i="20"/>
  <c r="A583" i="20"/>
  <c r="AH581" i="20"/>
  <c r="AD581" i="20"/>
  <c r="K581" i="20"/>
  <c r="A581" i="20"/>
  <c r="A564" i="20"/>
  <c r="AD560" i="20"/>
  <c r="AR562" i="20" s="1"/>
  <c r="AT562" i="20" s="1"/>
  <c r="K560" i="20"/>
  <c r="A560" i="20"/>
  <c r="AH558" i="20"/>
  <c r="AJ562" i="20" s="1"/>
  <c r="AL562" i="20" s="1"/>
  <c r="AD558" i="20"/>
  <c r="AN562" i="20" s="1"/>
  <c r="AP562" i="20" s="1"/>
  <c r="K558" i="20"/>
  <c r="A558" i="20"/>
  <c r="AJ556" i="20"/>
  <c r="AF556" i="20"/>
  <c r="AH556" i="20" s="1"/>
  <c r="AF562" i="20" s="1"/>
  <c r="AH562" i="20" s="1"/>
  <c r="AD556" i="20"/>
  <c r="AB562" i="20" s="1"/>
  <c r="K556" i="20"/>
  <c r="AB547" i="20"/>
  <c r="AD547" i="20" s="1"/>
  <c r="C87" i="19" s="1"/>
  <c r="A547" i="20"/>
  <c r="AL533" i="20"/>
  <c r="AV535" i="20" s="1"/>
  <c r="AX535" i="20" s="1"/>
  <c r="AH533" i="20"/>
  <c r="AR535" i="20" s="1"/>
  <c r="AT535" i="20" s="1"/>
  <c r="AD533" i="20"/>
  <c r="AN535" i="20" s="1"/>
  <c r="AP535" i="20" s="1"/>
  <c r="K533" i="20"/>
  <c r="A533" i="20"/>
  <c r="AL531" i="20"/>
  <c r="AJ535" i="20" s="1"/>
  <c r="AL535" i="20" s="1"/>
  <c r="AH531" i="20"/>
  <c r="AF535" i="20" s="1"/>
  <c r="AH535" i="20" s="1"/>
  <c r="AD531" i="20"/>
  <c r="AB535" i="20" s="1"/>
  <c r="AD535" i="20" s="1"/>
  <c r="K531" i="20"/>
  <c r="A531" i="20"/>
  <c r="AB525" i="20"/>
  <c r="AD525" i="20" s="1"/>
  <c r="C75" i="19" s="1"/>
  <c r="A525" i="20"/>
  <c r="A512" i="20"/>
  <c r="AD508" i="20"/>
  <c r="AR510" i="20" s="1"/>
  <c r="AT510" i="20" s="1"/>
  <c r="K508" i="20"/>
  <c r="A508" i="20"/>
  <c r="AH506" i="20"/>
  <c r="AJ510" i="20" s="1"/>
  <c r="AL510" i="20" s="1"/>
  <c r="AD506" i="20"/>
  <c r="AN510" i="20" s="1"/>
  <c r="AP510" i="20" s="1"/>
  <c r="K506" i="20"/>
  <c r="A506" i="20"/>
  <c r="AF504" i="20"/>
  <c r="AB504" i="20"/>
  <c r="AD504" i="20" s="1"/>
  <c r="AF510" i="20" s="1"/>
  <c r="AD502" i="20"/>
  <c r="AB510" i="20" s="1"/>
  <c r="AD510" i="20" s="1"/>
  <c r="K502" i="20"/>
  <c r="A502" i="20"/>
  <c r="AB490" i="20"/>
  <c r="A490" i="20"/>
  <c r="A487" i="20"/>
  <c r="AF485" i="20"/>
  <c r="AB485" i="20"/>
  <c r="AD485" i="20" s="1"/>
  <c r="AD483" i="20"/>
  <c r="K483" i="20"/>
  <c r="A483" i="20"/>
  <c r="A477" i="20"/>
  <c r="AF475" i="20"/>
  <c r="AH475" i="20" s="1"/>
  <c r="AB475" i="20"/>
  <c r="AD475" i="20" s="1"/>
  <c r="AB477" i="20" s="1"/>
  <c r="A469" i="20"/>
  <c r="AF467" i="20"/>
  <c r="AH467" i="20" s="1"/>
  <c r="AB467" i="20"/>
  <c r="AD467" i="20" s="1"/>
  <c r="AB469" i="20" s="1"/>
  <c r="B469" i="20" s="1"/>
  <c r="AB454" i="20"/>
  <c r="A454" i="20"/>
  <c r="A451" i="20"/>
  <c r="AF449" i="20"/>
  <c r="AH449" i="20" s="1"/>
  <c r="AB449" i="20"/>
  <c r="AD449" i="20" s="1"/>
  <c r="AD447" i="20"/>
  <c r="K447" i="20"/>
  <c r="A447" i="20"/>
  <c r="A441" i="20"/>
  <c r="AF439" i="20"/>
  <c r="A439" i="20" s="1"/>
  <c r="AB439" i="20"/>
  <c r="AD439" i="20" s="1"/>
  <c r="AB441" i="20" s="1"/>
  <c r="A433" i="20"/>
  <c r="AF431" i="20"/>
  <c r="A431" i="20" s="1"/>
  <c r="AB431" i="20"/>
  <c r="AD431" i="20" s="1"/>
  <c r="AB433" i="20" s="1"/>
  <c r="AB417" i="20"/>
  <c r="AD417" i="20" s="1"/>
  <c r="C53" i="19" s="1"/>
  <c r="B417" i="20"/>
  <c r="A417" i="20"/>
  <c r="AB411" i="20"/>
  <c r="A411" i="20"/>
  <c r="AB405" i="20"/>
  <c r="AD405" i="20" s="1"/>
  <c r="C51" i="19" s="1"/>
  <c r="A405" i="20"/>
  <c r="A397" i="20"/>
  <c r="AD393" i="20"/>
  <c r="AH389" i="20"/>
  <c r="AD389" i="20"/>
  <c r="K389" i="20"/>
  <c r="A389" i="20"/>
  <c r="AD385" i="20"/>
  <c r="K385" i="20"/>
  <c r="A385" i="20"/>
  <c r="AL383" i="20"/>
  <c r="AN393" i="20" s="1"/>
  <c r="AH383" i="20"/>
  <c r="AJ393" i="20" s="1"/>
  <c r="AL393" i="20" s="1"/>
  <c r="AD383" i="20"/>
  <c r="AF393" i="20" s="1"/>
  <c r="AH393" i="20" s="1"/>
  <c r="K383" i="20"/>
  <c r="A383" i="20"/>
  <c r="AH379" i="20"/>
  <c r="AD379" i="20"/>
  <c r="K379" i="20"/>
  <c r="A379" i="20"/>
  <c r="AB373" i="20"/>
  <c r="AD373" i="20" s="1"/>
  <c r="C49" i="19" s="1"/>
  <c r="A373" i="20"/>
  <c r="AB365" i="20"/>
  <c r="A365" i="20"/>
  <c r="AB354" i="20"/>
  <c r="B354" i="20" s="1"/>
  <c r="A354" i="20"/>
  <c r="AD346" i="20"/>
  <c r="AB348" i="20" s="1"/>
  <c r="K346" i="20"/>
  <c r="A346" i="20"/>
  <c r="AD344" i="20"/>
  <c r="AF348" i="20" s="1"/>
  <c r="AH348" i="20" s="1"/>
  <c r="K344" i="20"/>
  <c r="A344" i="20"/>
  <c r="A338" i="20"/>
  <c r="AD336" i="20"/>
  <c r="AB338" i="20" s="1"/>
  <c r="K336" i="20"/>
  <c r="A336" i="20"/>
  <c r="A330" i="20"/>
  <c r="AD328" i="20"/>
  <c r="AB330" i="20" s="1"/>
  <c r="K328" i="20"/>
  <c r="A328" i="20"/>
  <c r="AB315" i="20"/>
  <c r="AD315" i="20" s="1"/>
  <c r="C39" i="19" s="1"/>
  <c r="A315" i="20"/>
  <c r="AB309" i="20"/>
  <c r="A309" i="20"/>
  <c r="AB303" i="20"/>
  <c r="AD303" i="20" s="1"/>
  <c r="C37" i="19" s="1"/>
  <c r="A303" i="20"/>
  <c r="A295" i="20"/>
  <c r="AD291" i="20"/>
  <c r="AH287" i="20"/>
  <c r="AD287" i="20"/>
  <c r="K287" i="20"/>
  <c r="A287" i="20"/>
  <c r="AD283" i="20"/>
  <c r="K283" i="20"/>
  <c r="A283" i="20"/>
  <c r="AL281" i="20"/>
  <c r="AN291" i="20" s="1"/>
  <c r="AP291" i="20" s="1"/>
  <c r="AH281" i="20"/>
  <c r="AJ291" i="20" s="1"/>
  <c r="AL291" i="20" s="1"/>
  <c r="AD281" i="20"/>
  <c r="AF291" i="20" s="1"/>
  <c r="AH291" i="20" s="1"/>
  <c r="K281" i="20"/>
  <c r="A281" i="20"/>
  <c r="AH277" i="20"/>
  <c r="AD277" i="20"/>
  <c r="K277" i="20"/>
  <c r="A277" i="20"/>
  <c r="AB271" i="20"/>
  <c r="B271" i="20" s="1"/>
  <c r="A271" i="20"/>
  <c r="AB263" i="20"/>
  <c r="A263" i="20"/>
  <c r="AL248" i="20"/>
  <c r="AV250" i="20" s="1"/>
  <c r="AX250" i="20" s="1"/>
  <c r="AH248" i="20"/>
  <c r="AR250" i="20" s="1"/>
  <c r="AT250" i="20" s="1"/>
  <c r="AD248" i="20"/>
  <c r="AN250" i="20" s="1"/>
  <c r="AP250" i="20" s="1"/>
  <c r="K248" i="20"/>
  <c r="A248" i="20"/>
  <c r="AL246" i="20"/>
  <c r="AJ250" i="20" s="1"/>
  <c r="AL250" i="20" s="1"/>
  <c r="AH246" i="20"/>
  <c r="AF250" i="20" s="1"/>
  <c r="AH250" i="20" s="1"/>
  <c r="AD246" i="20"/>
  <c r="AB250" i="20" s="1"/>
  <c r="K246" i="20"/>
  <c r="A246" i="20"/>
  <c r="A240" i="20"/>
  <c r="AD236" i="20"/>
  <c r="AR238" i="20" s="1"/>
  <c r="AT238" i="20" s="1"/>
  <c r="K236" i="20"/>
  <c r="A236" i="20"/>
  <c r="AH234" i="20"/>
  <c r="AJ238" i="20" s="1"/>
  <c r="AL238" i="20" s="1"/>
  <c r="AD234" i="20"/>
  <c r="AN238" i="20" s="1"/>
  <c r="AP238" i="20" s="1"/>
  <c r="K234" i="20"/>
  <c r="A234" i="20"/>
  <c r="AF232" i="20"/>
  <c r="A232" i="20" s="1"/>
  <c r="AB232" i="20"/>
  <c r="AD232" i="20" s="1"/>
  <c r="AF238" i="20" s="1"/>
  <c r="AH238" i="20" s="1"/>
  <c r="AD230" i="20"/>
  <c r="AB238" i="20" s="1"/>
  <c r="K230" i="20"/>
  <c r="A230" i="20"/>
  <c r="AH213" i="20"/>
  <c r="AR215" i="20" s="1"/>
  <c r="AT215" i="20" s="1"/>
  <c r="AD213" i="20"/>
  <c r="AF215" i="20" s="1"/>
  <c r="AH215" i="20" s="1"/>
  <c r="K213" i="20"/>
  <c r="A213" i="20"/>
  <c r="AF211" i="20"/>
  <c r="AB211" i="20"/>
  <c r="AD211" i="20" s="1"/>
  <c r="AN215" i="20" s="1"/>
  <c r="AP215" i="20" s="1"/>
  <c r="AD209" i="20"/>
  <c r="AF209" i="20" s="1"/>
  <c r="AH209" i="20" s="1"/>
  <c r="AJ215" i="20" s="1"/>
  <c r="K209" i="20"/>
  <c r="AD207" i="20"/>
  <c r="AB215" i="20" s="1"/>
  <c r="AD215" i="20" s="1"/>
  <c r="K207" i="20"/>
  <c r="A207" i="20"/>
  <c r="AH188" i="20"/>
  <c r="AN190" i="20" s="1"/>
  <c r="AP190" i="20" s="1"/>
  <c r="AD188" i="20"/>
  <c r="AF190" i="20" s="1"/>
  <c r="AH190" i="20" s="1"/>
  <c r="K188" i="20"/>
  <c r="A188" i="20"/>
  <c r="AD186" i="20"/>
  <c r="AB190" i="20" s="1"/>
  <c r="K186" i="20"/>
  <c r="AL184" i="20"/>
  <c r="AJ192" i="20" s="1"/>
  <c r="AL192" i="20" s="1"/>
  <c r="K184" i="20"/>
  <c r="AL180" i="20"/>
  <c r="AR192" i="20" s="1"/>
  <c r="AT192" i="20" s="1"/>
  <c r="AH180" i="20"/>
  <c r="AD180" i="20"/>
  <c r="K180" i="20"/>
  <c r="A180" i="20"/>
  <c r="AH178" i="20"/>
  <c r="AD178" i="20"/>
  <c r="K178" i="20"/>
  <c r="A178" i="20"/>
  <c r="AL159" i="20"/>
  <c r="AR161" i="20" s="1"/>
  <c r="AT161" i="20" s="1"/>
  <c r="AH159" i="20"/>
  <c r="AN161" i="20" s="1"/>
  <c r="AP161" i="20" s="1"/>
  <c r="AD159" i="20"/>
  <c r="AF161" i="20" s="1"/>
  <c r="AH161" i="20" s="1"/>
  <c r="K159" i="20"/>
  <c r="A159" i="20"/>
  <c r="AD157" i="20"/>
  <c r="K157" i="20"/>
  <c r="AL155" i="20"/>
  <c r="AJ163" i="20" s="1"/>
  <c r="AL163" i="20" s="1"/>
  <c r="K155" i="20"/>
  <c r="AL151" i="20"/>
  <c r="AH151" i="20"/>
  <c r="AD151" i="20"/>
  <c r="AF155" i="20" s="1"/>
  <c r="K151" i="20"/>
  <c r="A151" i="20"/>
  <c r="AH149" i="20"/>
  <c r="AD149" i="20"/>
  <c r="K149" i="20"/>
  <c r="A149" i="20"/>
  <c r="AL130" i="20"/>
  <c r="AR132" i="20" s="1"/>
  <c r="AT132" i="20" s="1"/>
  <c r="AH130" i="20"/>
  <c r="AN132" i="20" s="1"/>
  <c r="AP132" i="20" s="1"/>
  <c r="AD130" i="20"/>
  <c r="AF132" i="20" s="1"/>
  <c r="AH132" i="20" s="1"/>
  <c r="K130" i="20"/>
  <c r="A130" i="20"/>
  <c r="AD128" i="20"/>
  <c r="AB132" i="20" s="1"/>
  <c r="K128" i="20"/>
  <c r="AL126" i="20"/>
  <c r="AJ134" i="20" s="1"/>
  <c r="AL134" i="20" s="1"/>
  <c r="K126" i="20"/>
  <c r="AL122" i="20"/>
  <c r="AH122" i="20"/>
  <c r="AD122" i="20"/>
  <c r="K122" i="20"/>
  <c r="A122" i="20"/>
  <c r="AH120" i="20"/>
  <c r="AD120" i="20"/>
  <c r="K120" i="20"/>
  <c r="A120" i="20"/>
  <c r="A107" i="20"/>
  <c r="AD101" i="20"/>
  <c r="AN103" i="20" s="1"/>
  <c r="AP103" i="20" s="1"/>
  <c r="K101" i="20"/>
  <c r="A101" i="20"/>
  <c r="AD99" i="20"/>
  <c r="AJ103" i="20" s="1"/>
  <c r="AL103" i="20" s="1"/>
  <c r="K99" i="20"/>
  <c r="A99" i="20"/>
  <c r="AD97" i="20"/>
  <c r="AF103" i="20" s="1"/>
  <c r="AH103" i="20" s="1"/>
  <c r="K97" i="20"/>
  <c r="A97" i="20"/>
  <c r="AD95" i="20"/>
  <c r="AB103" i="20" s="1"/>
  <c r="AD103" i="20" s="1"/>
  <c r="K95" i="20"/>
  <c r="A95" i="20"/>
  <c r="AD87" i="20"/>
  <c r="AB89" i="20" s="1"/>
  <c r="AD89" i="20" s="1"/>
  <c r="K87" i="20"/>
  <c r="A87" i="20"/>
  <c r="A75" i="20"/>
  <c r="AL71" i="20"/>
  <c r="AV73" i="20" s="1"/>
  <c r="AX73" i="20" s="1"/>
  <c r="AH71" i="20"/>
  <c r="AN73" i="20" s="1"/>
  <c r="AP73" i="20" s="1"/>
  <c r="AD71" i="20"/>
  <c r="AR73" i="20" s="1"/>
  <c r="AT73" i="20" s="1"/>
  <c r="K71" i="20"/>
  <c r="A71" i="20"/>
  <c r="AL69" i="20"/>
  <c r="AJ73" i="20" s="1"/>
  <c r="AL73" i="20" s="1"/>
  <c r="AH69" i="20"/>
  <c r="AF73" i="20" s="1"/>
  <c r="AH73" i="20" s="1"/>
  <c r="AD69" i="20"/>
  <c r="AB73" i="20" s="1"/>
  <c r="AD73" i="20" s="1"/>
  <c r="K69" i="20"/>
  <c r="A69" i="20"/>
  <c r="AL54" i="20"/>
  <c r="AR56" i="20" s="1"/>
  <c r="AT56" i="20" s="1"/>
  <c r="AH54" i="20"/>
  <c r="AN56" i="20" s="1"/>
  <c r="AP56" i="20" s="1"/>
  <c r="AD54" i="20"/>
  <c r="AF56" i="20" s="1"/>
  <c r="AH56" i="20" s="1"/>
  <c r="K54" i="20"/>
  <c r="A54" i="20"/>
  <c r="AD52" i="20"/>
  <c r="K52" i="20"/>
  <c r="AL50" i="20"/>
  <c r="AJ58" i="20" s="1"/>
  <c r="AL58" i="20" s="1"/>
  <c r="K50" i="20"/>
  <c r="AL46" i="20"/>
  <c r="AH46" i="20"/>
  <c r="AD46" i="20"/>
  <c r="K46" i="20"/>
  <c r="A46" i="20"/>
  <c r="AH44" i="20"/>
  <c r="AD44" i="20"/>
  <c r="K44" i="20"/>
  <c r="A44" i="20"/>
  <c r="A31" i="20"/>
  <c r="AD25" i="20"/>
  <c r="AR27" i="20" s="1"/>
  <c r="AT27" i="20" s="1"/>
  <c r="K25" i="20"/>
  <c r="A25" i="20"/>
  <c r="AD23" i="20"/>
  <c r="AN27" i="20" s="1"/>
  <c r="AP27" i="20" s="1"/>
  <c r="K23" i="20"/>
  <c r="A23" i="20"/>
  <c r="AD21" i="20"/>
  <c r="AF27" i="20" s="1"/>
  <c r="AH27" i="20" s="1"/>
  <c r="K21" i="20"/>
  <c r="A21" i="20"/>
  <c r="AD19" i="20"/>
  <c r="AJ29" i="20" s="1"/>
  <c r="AL29" i="20" s="1"/>
  <c r="K19" i="20"/>
  <c r="A19" i="20"/>
  <c r="AF17" i="20"/>
  <c r="AH17" i="20" s="1"/>
  <c r="AB17" i="20"/>
  <c r="AD17" i="20" s="1"/>
  <c r="AF29" i="20" s="1"/>
  <c r="AH29" i="20" s="1"/>
  <c r="AL13" i="20"/>
  <c r="AF15" i="20" s="1"/>
  <c r="AH15" i="20" s="1"/>
  <c r="AH13" i="20"/>
  <c r="AB15" i="20" s="1"/>
  <c r="AD13" i="20"/>
  <c r="AB27" i="20" s="1"/>
  <c r="AD27" i="20" s="1"/>
  <c r="K13" i="20"/>
  <c r="A13" i="20"/>
  <c r="BI444" i="19"/>
  <c r="BI443" i="19"/>
  <c r="BI442" i="19"/>
  <c r="BI441" i="19"/>
  <c r="I441" i="19"/>
  <c r="J441" i="19" s="1"/>
  <c r="F441" i="19" s="1"/>
  <c r="BI440" i="19"/>
  <c r="I440" i="19"/>
  <c r="J440" i="19" s="1"/>
  <c r="F440" i="19" s="1"/>
  <c r="F439" i="19"/>
  <c r="E439" i="19"/>
  <c r="E436" i="19"/>
  <c r="BI435" i="19"/>
  <c r="BI434" i="19"/>
  <c r="BI433" i="19"/>
  <c r="I433" i="19"/>
  <c r="J433" i="19" s="1"/>
  <c r="F433" i="19" s="1"/>
  <c r="BI432" i="19"/>
  <c r="I432" i="19"/>
  <c r="BI431" i="19"/>
  <c r="I431" i="19"/>
  <c r="F430" i="19"/>
  <c r="E430" i="19"/>
  <c r="BI427" i="19"/>
  <c r="BI424" i="19"/>
  <c r="BI421" i="19"/>
  <c r="BI418" i="19"/>
  <c r="I418" i="19"/>
  <c r="E418" i="19" s="1"/>
  <c r="BI417" i="19"/>
  <c r="BI414" i="19"/>
  <c r="K414" i="19"/>
  <c r="I414" i="19"/>
  <c r="G414" i="19"/>
  <c r="BI413" i="19"/>
  <c r="K413" i="19"/>
  <c r="I413" i="19"/>
  <c r="G413" i="19"/>
  <c r="BI410" i="19"/>
  <c r="K410" i="19"/>
  <c r="I410" i="19"/>
  <c r="BI409" i="19"/>
  <c r="G409" i="19"/>
  <c r="BI408" i="19"/>
  <c r="I408" i="19"/>
  <c r="E408" i="19" s="1"/>
  <c r="BI407" i="19"/>
  <c r="I407" i="19"/>
  <c r="E407" i="19" s="1"/>
  <c r="BI406" i="19"/>
  <c r="E403" i="19"/>
  <c r="BI402" i="19"/>
  <c r="BI401" i="19"/>
  <c r="BI400" i="19"/>
  <c r="BI399" i="19"/>
  <c r="BI398" i="19"/>
  <c r="BI397" i="19"/>
  <c r="BI396" i="19"/>
  <c r="BI395" i="19"/>
  <c r="J394" i="19"/>
  <c r="G72" i="18" s="1"/>
  <c r="H394" i="19"/>
  <c r="F72" i="18" s="1"/>
  <c r="E392" i="19"/>
  <c r="BI391" i="19"/>
  <c r="K391" i="19"/>
  <c r="I391" i="19"/>
  <c r="BI390" i="19"/>
  <c r="G390" i="19"/>
  <c r="J389" i="19"/>
  <c r="G31" i="18" s="1"/>
  <c r="H389" i="19"/>
  <c r="F31" i="18" s="1"/>
  <c r="E387" i="19"/>
  <c r="E386" i="19"/>
  <c r="BI385" i="19"/>
  <c r="BI384" i="19"/>
  <c r="BI383" i="19"/>
  <c r="I383" i="19"/>
  <c r="BI382" i="19"/>
  <c r="I382" i="19"/>
  <c r="E382" i="19" s="1"/>
  <c r="BI381" i="19"/>
  <c r="G381" i="19"/>
  <c r="E381" i="19" s="1"/>
  <c r="BI380" i="19"/>
  <c r="G380" i="19"/>
  <c r="E380" i="19" s="1"/>
  <c r="BI379" i="19"/>
  <c r="G379" i="19"/>
  <c r="E379" i="19" s="1"/>
  <c r="BI378" i="19"/>
  <c r="G378" i="19"/>
  <c r="E378" i="19" s="1"/>
  <c r="E375" i="19"/>
  <c r="E374" i="19"/>
  <c r="BI373" i="19"/>
  <c r="BI372" i="19"/>
  <c r="BI371" i="19"/>
  <c r="I371" i="19"/>
  <c r="BI370" i="19"/>
  <c r="I370" i="19"/>
  <c r="BI369" i="19"/>
  <c r="G369" i="19"/>
  <c r="BI368" i="19"/>
  <c r="G368" i="19"/>
  <c r="E368" i="19" s="1"/>
  <c r="BI367" i="19"/>
  <c r="G367" i="19"/>
  <c r="BI366" i="19"/>
  <c r="G366" i="19"/>
  <c r="E366" i="19" s="1"/>
  <c r="BI363" i="19"/>
  <c r="BI362" i="19"/>
  <c r="I362" i="19"/>
  <c r="E362" i="19" s="1"/>
  <c r="BI361" i="19"/>
  <c r="I361" i="19"/>
  <c r="BI360" i="19"/>
  <c r="G360" i="19"/>
  <c r="E360" i="19" s="1"/>
  <c r="BI357" i="19"/>
  <c r="BI356" i="19"/>
  <c r="I356" i="19"/>
  <c r="E356" i="19" s="1"/>
  <c r="BI355" i="19"/>
  <c r="I355" i="19"/>
  <c r="BI354" i="19"/>
  <c r="G354" i="19"/>
  <c r="E354" i="19" s="1"/>
  <c r="BI351" i="19"/>
  <c r="BI350" i="19"/>
  <c r="I350" i="19"/>
  <c r="E350" i="19" s="1"/>
  <c r="BI349" i="19"/>
  <c r="I349" i="19"/>
  <c r="BI348" i="19"/>
  <c r="G348" i="19"/>
  <c r="E345" i="19"/>
  <c r="BI344" i="19"/>
  <c r="I344" i="19"/>
  <c r="BI343" i="19"/>
  <c r="I343" i="19"/>
  <c r="J343" i="19" s="1"/>
  <c r="F343" i="19" s="1"/>
  <c r="BI342" i="19"/>
  <c r="G342" i="19"/>
  <c r="E342" i="19" s="1"/>
  <c r="F341" i="19"/>
  <c r="E341" i="19"/>
  <c r="BI338" i="19"/>
  <c r="BI337" i="19"/>
  <c r="G337" i="19"/>
  <c r="H337" i="19" s="1"/>
  <c r="F337" i="19" s="1"/>
  <c r="BI336" i="19"/>
  <c r="G336" i="19"/>
  <c r="H336" i="19" s="1"/>
  <c r="F336" i="19" s="1"/>
  <c r="BI335" i="19"/>
  <c r="BI334" i="19"/>
  <c r="G334" i="19"/>
  <c r="E334" i="19" s="1"/>
  <c r="BI333" i="19"/>
  <c r="BI332" i="19"/>
  <c r="BI331" i="19"/>
  <c r="BI328" i="19"/>
  <c r="I328" i="19"/>
  <c r="J328" i="19" s="1"/>
  <c r="F328" i="19" s="1"/>
  <c r="BI327" i="19"/>
  <c r="G327" i="19"/>
  <c r="H327" i="19" s="1"/>
  <c r="L326" i="19"/>
  <c r="H69" i="18" s="1"/>
  <c r="BI324" i="19"/>
  <c r="BI323" i="19"/>
  <c r="I323" i="19"/>
  <c r="E323" i="19" s="1"/>
  <c r="E322" i="19"/>
  <c r="BI321" i="19"/>
  <c r="G321" i="19"/>
  <c r="BI318" i="19"/>
  <c r="BI317" i="19"/>
  <c r="I317" i="19"/>
  <c r="E317" i="19" s="1"/>
  <c r="E316" i="19"/>
  <c r="BI315" i="19"/>
  <c r="G315" i="19"/>
  <c r="E315" i="19"/>
  <c r="BI312" i="19"/>
  <c r="BI311" i="19"/>
  <c r="BI310" i="19"/>
  <c r="BI309" i="19"/>
  <c r="BI308" i="19"/>
  <c r="I308" i="19"/>
  <c r="BI307" i="19"/>
  <c r="I307" i="19"/>
  <c r="BI306" i="19"/>
  <c r="BI305" i="19"/>
  <c r="G305" i="19"/>
  <c r="E305" i="19" s="1"/>
  <c r="BI302" i="19"/>
  <c r="BI301" i="19"/>
  <c r="BI300" i="19"/>
  <c r="BI299" i="19"/>
  <c r="BI298" i="19"/>
  <c r="I298" i="19"/>
  <c r="E298" i="19" s="1"/>
  <c r="BI297" i="19"/>
  <c r="I297" i="19"/>
  <c r="E297" i="19" s="1"/>
  <c r="BI296" i="19"/>
  <c r="BI295" i="19"/>
  <c r="G295" i="19"/>
  <c r="E295" i="19" s="1"/>
  <c r="BI292" i="19"/>
  <c r="BI291" i="19"/>
  <c r="BI290" i="19"/>
  <c r="BI289" i="19"/>
  <c r="I289" i="19"/>
  <c r="BI288" i="19"/>
  <c r="I288" i="19"/>
  <c r="E288" i="19" s="1"/>
  <c r="BI287" i="19"/>
  <c r="BI286" i="19"/>
  <c r="BI285" i="19"/>
  <c r="G285" i="19"/>
  <c r="E282" i="19"/>
  <c r="BI281" i="19"/>
  <c r="G281" i="19"/>
  <c r="H281" i="19" s="1"/>
  <c r="AB281" i="19" s="1"/>
  <c r="AD281" i="19" s="1"/>
  <c r="L280" i="19"/>
  <c r="H68" i="18" s="1"/>
  <c r="H280" i="19"/>
  <c r="F68" i="18" s="1"/>
  <c r="BI278" i="19"/>
  <c r="G278" i="19"/>
  <c r="H278" i="19" s="1"/>
  <c r="F278" i="19" s="1"/>
  <c r="L277" i="19"/>
  <c r="H67" i="18" s="1"/>
  <c r="J277" i="19"/>
  <c r="G67" i="18" s="1"/>
  <c r="E275" i="19"/>
  <c r="BI274" i="19"/>
  <c r="G274" i="19"/>
  <c r="H274" i="19" s="1"/>
  <c r="L273" i="19"/>
  <c r="H66" i="18" s="1"/>
  <c r="E271" i="19"/>
  <c r="BI270" i="19"/>
  <c r="G270" i="19"/>
  <c r="L269" i="19"/>
  <c r="H65" i="18" s="1"/>
  <c r="E267" i="19"/>
  <c r="BI266" i="19"/>
  <c r="I266" i="19"/>
  <c r="E266" i="19" s="1"/>
  <c r="BI265" i="19"/>
  <c r="I265" i="19"/>
  <c r="J265" i="19" s="1"/>
  <c r="F264" i="19"/>
  <c r="E264" i="19"/>
  <c r="H263" i="19"/>
  <c r="F64" i="18" s="1"/>
  <c r="BI261" i="19"/>
  <c r="G261" i="19"/>
  <c r="L260" i="19"/>
  <c r="H63" i="18" s="1"/>
  <c r="J260" i="19"/>
  <c r="G63" i="18" s="1"/>
  <c r="E258" i="19"/>
  <c r="BI257" i="19"/>
  <c r="G257" i="19"/>
  <c r="H257" i="19" s="1"/>
  <c r="L256" i="19"/>
  <c r="H62" i="18" s="1"/>
  <c r="E254" i="19"/>
  <c r="BI253" i="19"/>
  <c r="G253" i="19"/>
  <c r="H253" i="19" s="1"/>
  <c r="L252" i="19"/>
  <c r="H61" i="18" s="1"/>
  <c r="BI250" i="19"/>
  <c r="I250" i="19"/>
  <c r="J250" i="19" s="1"/>
  <c r="F250" i="19" s="1"/>
  <c r="BI249" i="19"/>
  <c r="G249" i="19"/>
  <c r="BI248" i="19"/>
  <c r="BI247" i="19"/>
  <c r="G247" i="19"/>
  <c r="E247" i="19" s="1"/>
  <c r="F246" i="19"/>
  <c r="E246" i="19"/>
  <c r="E243" i="19"/>
  <c r="BI242" i="19"/>
  <c r="G242" i="19"/>
  <c r="H242" i="19" s="1"/>
  <c r="AB242" i="19" s="1"/>
  <c r="AD242" i="19" s="1"/>
  <c r="L241" i="19"/>
  <c r="H59" i="18" s="1"/>
  <c r="E239" i="19"/>
  <c r="BI238" i="19"/>
  <c r="I238" i="19"/>
  <c r="E238" i="19" s="1"/>
  <c r="BI237" i="19"/>
  <c r="I237" i="19"/>
  <c r="BI236" i="19"/>
  <c r="G236" i="19"/>
  <c r="H236" i="19" s="1"/>
  <c r="F236" i="19" s="1"/>
  <c r="BI235" i="19"/>
  <c r="G235" i="19"/>
  <c r="H235" i="19" s="1"/>
  <c r="F235" i="19" s="1"/>
  <c r="BI234" i="19"/>
  <c r="G234" i="19"/>
  <c r="F233" i="19"/>
  <c r="E233" i="19"/>
  <c r="E230" i="19"/>
  <c r="BI229" i="19"/>
  <c r="G229" i="19"/>
  <c r="L228" i="19"/>
  <c r="H57" i="18" s="1"/>
  <c r="H228" i="19"/>
  <c r="F57" i="18" s="1"/>
  <c r="E226" i="19"/>
  <c r="BI225" i="19"/>
  <c r="I225" i="19"/>
  <c r="J225" i="19" s="1"/>
  <c r="F225" i="19" s="1"/>
  <c r="BI224" i="19"/>
  <c r="I224" i="19"/>
  <c r="J224" i="19" s="1"/>
  <c r="E223" i="19"/>
  <c r="BI222" i="19"/>
  <c r="G222" i="19"/>
  <c r="BI221" i="19"/>
  <c r="G221" i="19"/>
  <c r="H221" i="19" s="1"/>
  <c r="F221" i="19" s="1"/>
  <c r="BI220" i="19"/>
  <c r="G220" i="19"/>
  <c r="H220" i="19" s="1"/>
  <c r="F220" i="19" s="1"/>
  <c r="BI219" i="19"/>
  <c r="G219" i="19"/>
  <c r="H219" i="19" s="1"/>
  <c r="F218" i="19"/>
  <c r="E218" i="19"/>
  <c r="E215" i="19"/>
  <c r="BI214" i="19"/>
  <c r="I214" i="19"/>
  <c r="J214" i="19" s="1"/>
  <c r="F214" i="19" s="1"/>
  <c r="BI213" i="19"/>
  <c r="I213" i="19"/>
  <c r="J213" i="19" s="1"/>
  <c r="E212" i="19"/>
  <c r="BI211" i="19"/>
  <c r="G211" i="19"/>
  <c r="H211" i="19" s="1"/>
  <c r="F211" i="19" s="1"/>
  <c r="BI210" i="19"/>
  <c r="G210" i="19"/>
  <c r="H210" i="19" s="1"/>
  <c r="F210" i="19" s="1"/>
  <c r="BI209" i="19"/>
  <c r="G209" i="19"/>
  <c r="F208" i="19"/>
  <c r="E208" i="19"/>
  <c r="E205" i="19"/>
  <c r="E204" i="19"/>
  <c r="BI203" i="19"/>
  <c r="I203" i="19"/>
  <c r="E203" i="19" s="1"/>
  <c r="BI202" i="19"/>
  <c r="I202" i="19"/>
  <c r="BI201" i="19"/>
  <c r="I201" i="19"/>
  <c r="J201" i="19" s="1"/>
  <c r="F201" i="19" s="1"/>
  <c r="BI200" i="19"/>
  <c r="I200" i="19"/>
  <c r="J200" i="19" s="1"/>
  <c r="F199" i="19"/>
  <c r="E199" i="19"/>
  <c r="F196" i="19"/>
  <c r="E196" i="19"/>
  <c r="BI195" i="19"/>
  <c r="I195" i="19"/>
  <c r="E195" i="19" s="1"/>
  <c r="BI194" i="19"/>
  <c r="I194" i="19"/>
  <c r="J194" i="19" s="1"/>
  <c r="BI193" i="19"/>
  <c r="G193" i="19"/>
  <c r="E193" i="19" s="1"/>
  <c r="F192" i="19"/>
  <c r="E192" i="19"/>
  <c r="L191" i="19"/>
  <c r="H53" i="18" s="1"/>
  <c r="F189" i="19"/>
  <c r="E189" i="19"/>
  <c r="E188" i="19"/>
  <c r="BI187" i="19"/>
  <c r="I187" i="19"/>
  <c r="J187" i="19" s="1"/>
  <c r="F187" i="19" s="1"/>
  <c r="E187" i="19"/>
  <c r="BI186" i="19"/>
  <c r="I186" i="19"/>
  <c r="BI185" i="19"/>
  <c r="G185" i="19"/>
  <c r="H185" i="19" s="1"/>
  <c r="H183" i="19" s="1"/>
  <c r="F52" i="18" s="1"/>
  <c r="F184" i="19"/>
  <c r="E184" i="19"/>
  <c r="F181" i="19"/>
  <c r="E181" i="19"/>
  <c r="E180" i="19"/>
  <c r="BI179" i="19"/>
  <c r="I179" i="19"/>
  <c r="E179" i="19" s="1"/>
  <c r="BI178" i="19"/>
  <c r="I178" i="19"/>
  <c r="J178" i="19" s="1"/>
  <c r="BI177" i="19"/>
  <c r="G177" i="19"/>
  <c r="E177" i="19" s="1"/>
  <c r="F176" i="19"/>
  <c r="E176" i="19"/>
  <c r="BI173" i="19"/>
  <c r="BI172" i="19"/>
  <c r="G172" i="19"/>
  <c r="H172" i="19" s="1"/>
  <c r="F172" i="19" s="1"/>
  <c r="BI171" i="19"/>
  <c r="I171" i="19"/>
  <c r="J171" i="19" s="1"/>
  <c r="F171" i="19" s="1"/>
  <c r="BI170" i="19"/>
  <c r="I170" i="19"/>
  <c r="J170" i="19" s="1"/>
  <c r="F170" i="19" s="1"/>
  <c r="BI169" i="19"/>
  <c r="F168" i="19"/>
  <c r="E168" i="19"/>
  <c r="BI165" i="19"/>
  <c r="BI164" i="19"/>
  <c r="G164" i="19"/>
  <c r="H164" i="19" s="1"/>
  <c r="F164" i="19" s="1"/>
  <c r="BI163" i="19"/>
  <c r="I163" i="19"/>
  <c r="BI162" i="19"/>
  <c r="I162" i="19"/>
  <c r="J162" i="19" s="1"/>
  <c r="F162" i="19" s="1"/>
  <c r="BI161" i="19"/>
  <c r="F160" i="19"/>
  <c r="E160" i="19"/>
  <c r="BI157" i="19"/>
  <c r="BI156" i="19"/>
  <c r="G156" i="19"/>
  <c r="H156" i="19" s="1"/>
  <c r="F156" i="19" s="1"/>
  <c r="BI155" i="19"/>
  <c r="I155" i="19"/>
  <c r="BI154" i="19"/>
  <c r="I154" i="19"/>
  <c r="J154" i="19" s="1"/>
  <c r="F154" i="19" s="1"/>
  <c r="BI153" i="19"/>
  <c r="F152" i="19"/>
  <c r="E152" i="19"/>
  <c r="BI149" i="19"/>
  <c r="BI148" i="19"/>
  <c r="G148" i="19"/>
  <c r="E148" i="19" s="1"/>
  <c r="BI147" i="19"/>
  <c r="I147" i="19"/>
  <c r="E147" i="19" s="1"/>
  <c r="BI146" i="19"/>
  <c r="I146" i="19"/>
  <c r="J146" i="19" s="1"/>
  <c r="F146" i="19" s="1"/>
  <c r="BI145" i="19"/>
  <c r="F144" i="19"/>
  <c r="E144" i="19"/>
  <c r="E141" i="19"/>
  <c r="BI140" i="19"/>
  <c r="G140" i="19"/>
  <c r="BI139" i="19"/>
  <c r="I139" i="19"/>
  <c r="E139" i="19" s="1"/>
  <c r="BI138" i="19"/>
  <c r="I138" i="19"/>
  <c r="J138" i="19" s="1"/>
  <c r="F137" i="19"/>
  <c r="E137" i="19"/>
  <c r="E134" i="19"/>
  <c r="BI133" i="19"/>
  <c r="I133" i="19"/>
  <c r="J133" i="19" s="1"/>
  <c r="F133" i="19" s="1"/>
  <c r="BI132" i="19"/>
  <c r="I132" i="19"/>
  <c r="J132" i="19" s="1"/>
  <c r="E131" i="19"/>
  <c r="BI130" i="19"/>
  <c r="G130" i="19"/>
  <c r="H130" i="19" s="1"/>
  <c r="BI129" i="19"/>
  <c r="G129" i="19"/>
  <c r="H129" i="19" s="1"/>
  <c r="F128" i="19"/>
  <c r="E128" i="19"/>
  <c r="E125" i="19"/>
  <c r="BI124" i="19"/>
  <c r="I124" i="19"/>
  <c r="J124" i="19" s="1"/>
  <c r="F124" i="19" s="1"/>
  <c r="BI123" i="19"/>
  <c r="I123" i="19"/>
  <c r="E122" i="19"/>
  <c r="BI121" i="19"/>
  <c r="G121" i="19"/>
  <c r="E121" i="19" s="1"/>
  <c r="BI120" i="19"/>
  <c r="G120" i="19"/>
  <c r="H120" i="19" s="1"/>
  <c r="F119" i="19"/>
  <c r="E119" i="19"/>
  <c r="E116" i="19"/>
  <c r="BI115" i="19"/>
  <c r="I115" i="19"/>
  <c r="E115" i="19" s="1"/>
  <c r="BI114" i="19"/>
  <c r="I114" i="19"/>
  <c r="E113" i="19"/>
  <c r="E112" i="19"/>
  <c r="BI111" i="19"/>
  <c r="G111" i="19"/>
  <c r="BI110" i="19"/>
  <c r="G110" i="19"/>
  <c r="E110" i="19"/>
  <c r="E107" i="19"/>
  <c r="BI106" i="19"/>
  <c r="I106" i="19"/>
  <c r="E106" i="19" s="1"/>
  <c r="E105" i="19"/>
  <c r="BI104" i="19"/>
  <c r="I104" i="19"/>
  <c r="BI103" i="19"/>
  <c r="I103" i="19"/>
  <c r="E103" i="19" s="1"/>
  <c r="BI102" i="19"/>
  <c r="I102" i="19"/>
  <c r="E102" i="19" s="1"/>
  <c r="BI101" i="19"/>
  <c r="F100" i="19"/>
  <c r="E100" i="19"/>
  <c r="E97" i="19"/>
  <c r="BI96" i="19"/>
  <c r="I96" i="19"/>
  <c r="E96" i="19" s="1"/>
  <c r="BI95" i="19"/>
  <c r="I95" i="19"/>
  <c r="E95" i="19" s="1"/>
  <c r="BI94" i="19"/>
  <c r="F93" i="19"/>
  <c r="E93" i="19"/>
  <c r="BI90" i="19"/>
  <c r="I90" i="19"/>
  <c r="BI89" i="19"/>
  <c r="BI88" i="19"/>
  <c r="BI87" i="19"/>
  <c r="G87" i="19"/>
  <c r="E87" i="19" s="1"/>
  <c r="BI84" i="19"/>
  <c r="BI83" i="19"/>
  <c r="BI82" i="19"/>
  <c r="BI81" i="19"/>
  <c r="I81" i="19"/>
  <c r="J81" i="19" s="1"/>
  <c r="F81" i="19" s="1"/>
  <c r="BI80" i="19"/>
  <c r="G80" i="19"/>
  <c r="H80" i="19" s="1"/>
  <c r="F80" i="19"/>
  <c r="E80" i="19"/>
  <c r="F79" i="19"/>
  <c r="E79" i="19"/>
  <c r="BI76" i="19"/>
  <c r="BI75" i="19"/>
  <c r="I75" i="19"/>
  <c r="E75" i="19" s="1"/>
  <c r="BI72" i="19"/>
  <c r="I72" i="19"/>
  <c r="J72" i="19" s="1"/>
  <c r="F72" i="19" s="1"/>
  <c r="F71" i="19"/>
  <c r="E71" i="19"/>
  <c r="L70" i="19"/>
  <c r="H42" i="18" s="1"/>
  <c r="H70" i="19"/>
  <c r="F42" i="18" s="1"/>
  <c r="BI68" i="19"/>
  <c r="BI65" i="19"/>
  <c r="I65" i="19"/>
  <c r="E65" i="19" s="1"/>
  <c r="BI64" i="19"/>
  <c r="I64" i="19"/>
  <c r="G64" i="19"/>
  <c r="BI63" i="19"/>
  <c r="I63" i="19"/>
  <c r="G63" i="19"/>
  <c r="BI62" i="19"/>
  <c r="BI59" i="19"/>
  <c r="I59" i="19"/>
  <c r="E59" i="19" s="1"/>
  <c r="BI58" i="19"/>
  <c r="I58" i="19"/>
  <c r="G58" i="19"/>
  <c r="BI57" i="19"/>
  <c r="I57" i="19"/>
  <c r="G57" i="19"/>
  <c r="BI56" i="19"/>
  <c r="BI53" i="19"/>
  <c r="I53" i="19"/>
  <c r="BI52" i="19"/>
  <c r="I52" i="19"/>
  <c r="E52" i="19" s="1"/>
  <c r="BI51" i="19"/>
  <c r="I51" i="19"/>
  <c r="E51" i="19"/>
  <c r="BI50" i="19"/>
  <c r="BI49" i="19"/>
  <c r="G49" i="19"/>
  <c r="E49" i="19" s="1"/>
  <c r="BI48" i="19"/>
  <c r="BI45" i="19"/>
  <c r="I45" i="19"/>
  <c r="BI44" i="19"/>
  <c r="I44" i="19"/>
  <c r="G44" i="19"/>
  <c r="BI43" i="19"/>
  <c r="I43" i="19"/>
  <c r="G43" i="19"/>
  <c r="BI42" i="19"/>
  <c r="BI39" i="19"/>
  <c r="I39" i="19"/>
  <c r="BI38" i="19"/>
  <c r="I38" i="19"/>
  <c r="E38" i="19" s="1"/>
  <c r="BI37" i="19"/>
  <c r="I37" i="19"/>
  <c r="BI36" i="19"/>
  <c r="BI35" i="19"/>
  <c r="G35" i="19"/>
  <c r="BI34" i="19"/>
  <c r="BI31" i="19"/>
  <c r="BI30" i="19"/>
  <c r="BI27" i="19"/>
  <c r="BI24" i="19"/>
  <c r="BI23" i="19"/>
  <c r="I23" i="19"/>
  <c r="J23" i="19" s="1"/>
  <c r="F23" i="19" s="1"/>
  <c r="F22" i="19"/>
  <c r="E22" i="19"/>
  <c r="BI19" i="19"/>
  <c r="BI16" i="19"/>
  <c r="BI13" i="19"/>
  <c r="BI10" i="19"/>
  <c r="BI9" i="19"/>
  <c r="BI8" i="19"/>
  <c r="BI5" i="19"/>
  <c r="AA75" i="18"/>
  <c r="AA74" i="18"/>
  <c r="AA73" i="18"/>
  <c r="AA72" i="18"/>
  <c r="AA71" i="18"/>
  <c r="AA70" i="18"/>
  <c r="AA69" i="18"/>
  <c r="AA68" i="18"/>
  <c r="AA67" i="18"/>
  <c r="AA66" i="18"/>
  <c r="AA65" i="18"/>
  <c r="AA64" i="18"/>
  <c r="AA63" i="18"/>
  <c r="AA62" i="18"/>
  <c r="AA61" i="18"/>
  <c r="AA60" i="18"/>
  <c r="AA59" i="18"/>
  <c r="AA58" i="18"/>
  <c r="AA57" i="18"/>
  <c r="AA56" i="18"/>
  <c r="AA55" i="18"/>
  <c r="AA54" i="18"/>
  <c r="AA53" i="18"/>
  <c r="AA52" i="18"/>
  <c r="AA51" i="18"/>
  <c r="AA50" i="18"/>
  <c r="AA49" i="18"/>
  <c r="AA48" i="18"/>
  <c r="AA47" i="18"/>
  <c r="AA46" i="18"/>
  <c r="AA45" i="18"/>
  <c r="AA44" i="18"/>
  <c r="AA43" i="18"/>
  <c r="AA42" i="18"/>
  <c r="AA41" i="18"/>
  <c r="AA40" i="18"/>
  <c r="G40" i="18"/>
  <c r="I402" i="19" s="1"/>
  <c r="J402" i="19" s="1"/>
  <c r="F40" i="18"/>
  <c r="G402" i="19" s="1"/>
  <c r="AA39" i="18"/>
  <c r="G39" i="18"/>
  <c r="F39" i="18"/>
  <c r="AA38" i="18"/>
  <c r="G38" i="18"/>
  <c r="F38" i="18"/>
  <c r="AA37" i="18"/>
  <c r="G37" i="18"/>
  <c r="F37" i="18"/>
  <c r="AA36" i="18"/>
  <c r="AA35" i="18"/>
  <c r="AA34" i="18"/>
  <c r="AA33" i="18"/>
  <c r="AA32" i="18"/>
  <c r="AA31" i="18"/>
  <c r="AA30" i="18"/>
  <c r="AA29" i="18"/>
  <c r="AA28" i="18"/>
  <c r="AA27" i="18"/>
  <c r="AA26" i="18"/>
  <c r="AA25" i="18"/>
  <c r="AA24" i="18"/>
  <c r="AA23" i="18"/>
  <c r="AA22" i="18"/>
  <c r="AA21" i="18"/>
  <c r="AA20" i="18"/>
  <c r="AA19" i="18"/>
  <c r="AA18" i="18"/>
  <c r="AA17" i="18"/>
  <c r="AA16" i="18"/>
  <c r="AA15" i="18"/>
  <c r="AA14" i="18"/>
  <c r="AA13" i="18"/>
  <c r="AA12" i="18"/>
  <c r="AA11" i="18"/>
  <c r="AA10" i="18"/>
  <c r="AA9" i="18"/>
  <c r="AA8" i="18"/>
  <c r="AA7" i="18"/>
  <c r="AA6" i="18"/>
  <c r="AA5" i="18"/>
  <c r="AA4" i="18"/>
  <c r="AA3" i="18"/>
  <c r="BU128" i="17"/>
  <c r="BU126" i="17"/>
  <c r="BU125" i="17"/>
  <c r="BU123" i="17"/>
  <c r="BU121" i="17"/>
  <c r="BU120" i="17"/>
  <c r="BU119" i="17"/>
  <c r="BU118" i="17"/>
  <c r="BU116" i="17"/>
  <c r="BU115" i="17"/>
  <c r="BU114" i="17"/>
  <c r="BU112" i="17"/>
  <c r="BU111" i="17"/>
  <c r="BU109" i="17"/>
  <c r="BU108" i="17"/>
  <c r="BU104" i="17"/>
  <c r="BU103" i="17"/>
  <c r="BU102" i="17"/>
  <c r="BU101" i="17"/>
  <c r="BU100" i="17"/>
  <c r="BU99" i="17"/>
  <c r="BU98" i="17"/>
  <c r="BU97" i="17"/>
  <c r="BU94" i="17"/>
  <c r="BU93" i="17"/>
  <c r="BU92" i="17"/>
  <c r="BU91" i="17"/>
  <c r="BU90" i="17"/>
  <c r="BU89" i="17"/>
  <c r="BU88" i="17"/>
  <c r="BU87" i="17"/>
  <c r="BU86" i="17"/>
  <c r="BU85" i="17"/>
  <c r="BU84" i="17"/>
  <c r="BU83" i="17"/>
  <c r="BU82" i="17"/>
  <c r="BU81" i="17"/>
  <c r="BU80" i="17"/>
  <c r="BU79" i="17"/>
  <c r="BU78" i="17"/>
  <c r="BU77" i="17"/>
  <c r="BU76" i="17"/>
  <c r="BU72" i="17"/>
  <c r="BU71" i="17"/>
  <c r="BU70" i="17"/>
  <c r="BU69" i="17"/>
  <c r="BU68" i="17"/>
  <c r="BU67" i="17"/>
  <c r="BU66" i="17"/>
  <c r="BU65" i="17"/>
  <c r="BU64" i="17"/>
  <c r="BU63" i="17"/>
  <c r="BU62" i="17"/>
  <c r="BU60" i="17"/>
  <c r="BU59" i="17"/>
  <c r="BU58" i="17"/>
  <c r="BU57" i="17"/>
  <c r="BU56" i="17"/>
  <c r="BU55" i="17"/>
  <c r="BU54" i="17"/>
  <c r="BU52" i="17"/>
  <c r="BU51" i="17"/>
  <c r="BU49" i="17"/>
  <c r="BU48" i="17"/>
  <c r="BU47" i="17"/>
  <c r="BU46" i="17"/>
  <c r="BU45" i="17"/>
  <c r="BU44" i="17"/>
  <c r="BU43" i="17"/>
  <c r="BU42" i="17"/>
  <c r="BU41" i="17"/>
  <c r="BU40" i="17"/>
  <c r="BU39" i="17"/>
  <c r="BU38" i="17"/>
  <c r="BU37" i="17"/>
  <c r="BU36" i="17"/>
  <c r="BU35" i="17"/>
  <c r="BU34" i="17"/>
  <c r="BU33" i="17"/>
  <c r="BU32" i="17"/>
  <c r="BU31" i="17"/>
  <c r="BU28" i="17"/>
  <c r="BU26" i="17"/>
  <c r="BU25" i="17"/>
  <c r="BU24" i="17"/>
  <c r="BU23" i="17"/>
  <c r="BU22" i="17"/>
  <c r="BU21" i="17"/>
  <c r="BU20" i="17"/>
  <c r="BU19" i="17"/>
  <c r="BU18" i="17"/>
  <c r="BU17" i="17"/>
  <c r="BU16" i="17"/>
  <c r="BU15" i="17"/>
  <c r="BU14" i="17"/>
  <c r="BU11" i="17"/>
  <c r="BU8" i="17"/>
  <c r="BU7" i="17"/>
  <c r="BU6" i="17"/>
  <c r="BU5" i="17"/>
  <c r="E120" i="19" l="1"/>
  <c r="AB225" i="19"/>
  <c r="AD225" i="19" s="1"/>
  <c r="AF87" i="34"/>
  <c r="E87" i="34" s="1"/>
  <c r="AF89" i="34"/>
  <c r="E89" i="34" s="1"/>
  <c r="B724" i="20"/>
  <c r="A92" i="21"/>
  <c r="O112" i="17"/>
  <c r="R112" i="17"/>
  <c r="O118" i="17"/>
  <c r="R118" i="17"/>
  <c r="O120" i="17"/>
  <c r="R120" i="17"/>
  <c r="R119" i="17"/>
  <c r="O119" i="17"/>
  <c r="O121" i="17"/>
  <c r="R121" i="17"/>
  <c r="O125" i="17"/>
  <c r="R125" i="17"/>
  <c r="O108" i="17"/>
  <c r="R108" i="17"/>
  <c r="O111" i="17"/>
  <c r="R111" i="17"/>
  <c r="O126" i="17"/>
  <c r="R126" i="17"/>
  <c r="B1020" i="20"/>
  <c r="E221" i="19"/>
  <c r="J127" i="19"/>
  <c r="G45" i="18" s="1"/>
  <c r="E133" i="19"/>
  <c r="A120" i="34"/>
  <c r="E250" i="19"/>
  <c r="G269" i="23"/>
  <c r="G270" i="23" s="1"/>
  <c r="G25" i="22" s="1"/>
  <c r="B990" i="20"/>
  <c r="AN1231" i="20"/>
  <c r="B525" i="20"/>
  <c r="B72" i="34"/>
  <c r="E440" i="19"/>
  <c r="J106" i="19"/>
  <c r="AB106" i="19" s="1"/>
  <c r="AD106" i="19" s="1"/>
  <c r="G197" i="23"/>
  <c r="G198" i="23" s="1"/>
  <c r="G19" i="22" s="1"/>
  <c r="K301" i="19" s="1"/>
  <c r="L301" i="19" s="1"/>
  <c r="H148" i="19"/>
  <c r="F148" i="19" s="1"/>
  <c r="AF106" i="21"/>
  <c r="AH106" i="21" s="1"/>
  <c r="F14" i="33"/>
  <c r="G8" i="32"/>
  <c r="F24" i="33"/>
  <c r="F9" i="32"/>
  <c r="J50" i="17"/>
  <c r="L130" i="17"/>
  <c r="F3" i="33"/>
  <c r="L9" i="33"/>
  <c r="F72" i="17"/>
  <c r="X72" i="17" s="1"/>
  <c r="A122" i="34"/>
  <c r="AL122" i="34"/>
  <c r="E127" i="34" s="1"/>
  <c r="E93" i="34" s="1"/>
  <c r="AL120" i="34"/>
  <c r="C127" i="34" s="1"/>
  <c r="A121" i="34"/>
  <c r="H54" i="17"/>
  <c r="F54" i="17" s="1"/>
  <c r="X54" i="17" s="1"/>
  <c r="AH48" i="34"/>
  <c r="AJ48" i="34" s="1"/>
  <c r="A48" i="34" s="1"/>
  <c r="AB87" i="34"/>
  <c r="C87" i="34" s="1"/>
  <c r="C91" i="34"/>
  <c r="AB89" i="34"/>
  <c r="C89" i="34" s="1"/>
  <c r="AH19" i="34"/>
  <c r="AJ19" i="34" s="1"/>
  <c r="A19" i="34" s="1"/>
  <c r="AH17" i="34"/>
  <c r="AJ17" i="34" s="1"/>
  <c r="A17" i="34" s="1"/>
  <c r="AL121" i="34"/>
  <c r="AD112" i="34"/>
  <c r="D112" i="34" s="1"/>
  <c r="B112" i="34" s="1"/>
  <c r="B108" i="34"/>
  <c r="AH84" i="34"/>
  <c r="AD78" i="34"/>
  <c r="D78" i="34" s="1"/>
  <c r="B78" i="34" s="1"/>
  <c r="AD76" i="34"/>
  <c r="D76" i="34" s="1"/>
  <c r="B76" i="34" s="1"/>
  <c r="AH46" i="34"/>
  <c r="A46" i="34"/>
  <c r="AH21" i="34"/>
  <c r="AJ21" i="34" s="1"/>
  <c r="A21" i="34" s="1"/>
  <c r="AH50" i="34"/>
  <c r="AJ50" i="34" s="1"/>
  <c r="A50" i="34" s="1"/>
  <c r="AH52" i="34"/>
  <c r="AJ52" i="34" s="1"/>
  <c r="A52" i="34" s="1"/>
  <c r="AD721" i="20"/>
  <c r="C114" i="19" s="1"/>
  <c r="J114" i="19" s="1"/>
  <c r="AF121" i="21"/>
  <c r="AH121" i="21" s="1"/>
  <c r="G363" i="23"/>
  <c r="G364" i="23" s="1"/>
  <c r="G33" i="22" s="1"/>
  <c r="AH439" i="20"/>
  <c r="A17" i="20"/>
  <c r="H277" i="19"/>
  <c r="F277" i="19" s="1"/>
  <c r="AD354" i="20"/>
  <c r="C45" i="19" s="1"/>
  <c r="J45" i="19" s="1"/>
  <c r="F45" i="19" s="1"/>
  <c r="AB487" i="20"/>
  <c r="B487" i="20" s="1"/>
  <c r="A133" i="21"/>
  <c r="A239" i="21"/>
  <c r="D133" i="21"/>
  <c r="B133" i="21" s="1"/>
  <c r="AD1082" i="20"/>
  <c r="G137" i="23"/>
  <c r="G138" i="23" s="1"/>
  <c r="G14" i="22" s="1"/>
  <c r="K286" i="19" s="1"/>
  <c r="AF50" i="20"/>
  <c r="AH50" i="20" s="1"/>
  <c r="B1033" i="20"/>
  <c r="A36" i="21"/>
  <c r="AJ1378" i="20"/>
  <c r="AL1378" i="20" s="1"/>
  <c r="J238" i="19"/>
  <c r="F238" i="19" s="1"/>
  <c r="AH654" i="20"/>
  <c r="E96" i="21"/>
  <c r="B96" i="21" s="1"/>
  <c r="E253" i="19"/>
  <c r="B1039" i="20"/>
  <c r="AD107" i="21"/>
  <c r="G149" i="23"/>
  <c r="G150" i="23" s="1"/>
  <c r="G15" i="22" s="1"/>
  <c r="B833" i="20"/>
  <c r="B886" i="20"/>
  <c r="B943" i="20"/>
  <c r="AF1393" i="20"/>
  <c r="AH1393" i="20" s="1"/>
  <c r="G352" i="23"/>
  <c r="G353" i="23" s="1"/>
  <c r="G32" i="22" s="1"/>
  <c r="K390" i="19" s="1"/>
  <c r="H223" i="19"/>
  <c r="F223" i="19" s="1"/>
  <c r="AF285" i="20"/>
  <c r="AH285" i="20" s="1"/>
  <c r="B303" i="20"/>
  <c r="B615" i="20"/>
  <c r="AD1003" i="20"/>
  <c r="C350" i="19" s="1"/>
  <c r="J350" i="19" s="1"/>
  <c r="F350" i="19" s="1"/>
  <c r="A121" i="21"/>
  <c r="G185" i="23"/>
  <c r="G186" i="23" s="1"/>
  <c r="G18" i="22" s="1"/>
  <c r="G434" i="23"/>
  <c r="G435" i="23" s="1"/>
  <c r="G39" i="22" s="1"/>
  <c r="E210" i="19"/>
  <c r="B315" i="20"/>
  <c r="A475" i="20"/>
  <c r="B1050" i="20"/>
  <c r="B802" i="20"/>
  <c r="G173" i="23"/>
  <c r="G174" i="23" s="1"/>
  <c r="G17" i="22" s="1"/>
  <c r="K287" i="19" s="1"/>
  <c r="G233" i="23"/>
  <c r="G234" i="23" s="1"/>
  <c r="G22" i="22" s="1"/>
  <c r="K9" i="19" s="1"/>
  <c r="E211" i="19"/>
  <c r="B710" i="20"/>
  <c r="B855" i="20"/>
  <c r="A1294" i="20"/>
  <c r="G103" i="23"/>
  <c r="G104" i="23" s="1"/>
  <c r="G11" i="22" s="1"/>
  <c r="K30" i="19" s="1"/>
  <c r="J195" i="19"/>
  <c r="F195" i="19" s="1"/>
  <c r="G257" i="23"/>
  <c r="G258" i="23" s="1"/>
  <c r="AB285" i="20"/>
  <c r="AD285" i="20" s="1"/>
  <c r="AB289" i="20" s="1"/>
  <c r="AD289" i="20" s="1"/>
  <c r="AR291" i="20" s="1"/>
  <c r="AT291" i="20" s="1"/>
  <c r="AV291" i="20" s="1"/>
  <c r="AX291" i="20" s="1"/>
  <c r="AB295" i="20" s="1"/>
  <c r="B907" i="20"/>
  <c r="B1170" i="20"/>
  <c r="AD1152" i="20"/>
  <c r="C379" i="19" s="1"/>
  <c r="H379" i="19" s="1"/>
  <c r="F379" i="19" s="1"/>
  <c r="E124" i="19"/>
  <c r="J289" i="19"/>
  <c r="F289" i="19" s="1"/>
  <c r="B373" i="20"/>
  <c r="H285" i="19"/>
  <c r="F285" i="19" s="1"/>
  <c r="J147" i="19"/>
  <c r="F147" i="19" s="1"/>
  <c r="H247" i="19"/>
  <c r="F247" i="19" s="1"/>
  <c r="H87" i="19"/>
  <c r="F87" i="19" s="1"/>
  <c r="G18" i="23"/>
  <c r="G19" i="23" s="1"/>
  <c r="G4" i="22" s="1"/>
  <c r="K19" i="19" s="1"/>
  <c r="F380" i="23"/>
  <c r="G380" i="23" s="1"/>
  <c r="G381" i="23" s="1"/>
  <c r="F34" i="22" s="1"/>
  <c r="I318" i="19" s="1"/>
  <c r="BD73" i="20"/>
  <c r="BF73" i="20" s="1"/>
  <c r="AD973" i="20"/>
  <c r="C323" i="19" s="1"/>
  <c r="J323" i="19" s="1"/>
  <c r="F323" i="19" s="1"/>
  <c r="B1069" i="20"/>
  <c r="B1173" i="20"/>
  <c r="AF124" i="20"/>
  <c r="AH124" i="20" s="1"/>
  <c r="AJ27" i="20"/>
  <c r="AL27" i="20" s="1"/>
  <c r="AV27" i="20" s="1"/>
  <c r="AX27" i="20" s="1"/>
  <c r="AN29" i="20" s="1"/>
  <c r="AP29" i="20" s="1"/>
  <c r="J179" i="19"/>
  <c r="L180" i="19" s="1"/>
  <c r="E214" i="19"/>
  <c r="E265" i="19"/>
  <c r="AB153" i="20"/>
  <c r="AD153" i="20" s="1"/>
  <c r="AB163" i="20" s="1"/>
  <c r="AD163" i="20" s="1"/>
  <c r="AF387" i="20"/>
  <c r="A387" i="20" s="1"/>
  <c r="B405" i="20"/>
  <c r="A449" i="20"/>
  <c r="AD867" i="20"/>
  <c r="C302" i="19" s="1"/>
  <c r="B919" i="20"/>
  <c r="B979" i="20"/>
  <c r="G245" i="23"/>
  <c r="G246" i="23" s="1"/>
  <c r="G23" i="22" s="1"/>
  <c r="G422" i="23"/>
  <c r="G423" i="23" s="1"/>
  <c r="J307" i="19"/>
  <c r="F307" i="19" s="1"/>
  <c r="AF48" i="20"/>
  <c r="B1179" i="20"/>
  <c r="B1279" i="20"/>
  <c r="F23" i="23"/>
  <c r="G23" i="23" s="1"/>
  <c r="G24" i="23" s="1"/>
  <c r="F4" i="22" s="1"/>
  <c r="I19" i="19" s="1"/>
  <c r="B793" i="20"/>
  <c r="B1185" i="20"/>
  <c r="G30" i="23"/>
  <c r="G31" i="23" s="1"/>
  <c r="G293" i="23"/>
  <c r="G294" i="23" s="1"/>
  <c r="G27" i="22" s="1"/>
  <c r="K409" i="19" s="1"/>
  <c r="J70" i="19"/>
  <c r="G42" i="18" s="1"/>
  <c r="E42" i="18" s="1"/>
  <c r="Y42" i="18" s="1"/>
  <c r="E178" i="19"/>
  <c r="E343" i="19"/>
  <c r="E23" i="19"/>
  <c r="E72" i="19"/>
  <c r="E81" i="19"/>
  <c r="F185" i="19"/>
  <c r="E194" i="19"/>
  <c r="E274" i="19"/>
  <c r="E285" i="19"/>
  <c r="E289" i="19"/>
  <c r="E327" i="19"/>
  <c r="E441" i="19"/>
  <c r="E88" i="21"/>
  <c r="B88" i="21" s="1"/>
  <c r="E98" i="21"/>
  <c r="B98" i="21" s="1"/>
  <c r="E129" i="19"/>
  <c r="E138" i="19"/>
  <c r="E170" i="19"/>
  <c r="E219" i="19"/>
  <c r="E224" i="19"/>
  <c r="E235" i="19"/>
  <c r="E236" i="19"/>
  <c r="E278" i="19"/>
  <c r="E307" i="19"/>
  <c r="E328" i="19"/>
  <c r="E337" i="19"/>
  <c r="E74" i="21"/>
  <c r="B74" i="21" s="1"/>
  <c r="E94" i="21"/>
  <c r="B94" i="21" s="1"/>
  <c r="D106" i="21"/>
  <c r="B106" i="21" s="1"/>
  <c r="A147" i="21"/>
  <c r="A199" i="21"/>
  <c r="A221" i="21"/>
  <c r="G209" i="23"/>
  <c r="G210" i="23" s="1"/>
  <c r="G20" i="22" s="1"/>
  <c r="G221" i="23"/>
  <c r="G222" i="23" s="1"/>
  <c r="G21" i="22" s="1"/>
  <c r="H49" i="19"/>
  <c r="F49" i="19" s="1"/>
  <c r="E130" i="19"/>
  <c r="E132" i="19"/>
  <c r="E146" i="19"/>
  <c r="E156" i="19"/>
  <c r="E171" i="19"/>
  <c r="E213" i="19"/>
  <c r="E220" i="19"/>
  <c r="E225" i="19"/>
  <c r="E257" i="19"/>
  <c r="H315" i="19"/>
  <c r="H316" i="19" s="1"/>
  <c r="F316" i="19" s="1"/>
  <c r="J326" i="19"/>
  <c r="G69" i="18" s="1"/>
  <c r="H342" i="19"/>
  <c r="F342" i="19" s="1"/>
  <c r="H354" i="19"/>
  <c r="F354" i="19" s="1"/>
  <c r="E414" i="19"/>
  <c r="J39" i="19"/>
  <c r="H110" i="19"/>
  <c r="F110" i="19" s="1"/>
  <c r="J115" i="19"/>
  <c r="F115" i="19" s="1"/>
  <c r="A106" i="21"/>
  <c r="G161" i="23"/>
  <c r="G162" i="23" s="1"/>
  <c r="G16" i="22" s="1"/>
  <c r="J37" i="17"/>
  <c r="L38" i="17"/>
  <c r="J45" i="17"/>
  <c r="L46" i="17"/>
  <c r="J49" i="17"/>
  <c r="L51" i="17"/>
  <c r="L60" i="17"/>
  <c r="H63" i="17"/>
  <c r="J64" i="17"/>
  <c r="L65" i="17"/>
  <c r="J68" i="17"/>
  <c r="L69" i="17"/>
  <c r="L76" i="17"/>
  <c r="H78" i="17"/>
  <c r="L80" i="17"/>
  <c r="L84" i="17"/>
  <c r="H86" i="17"/>
  <c r="L88" i="17"/>
  <c r="L92" i="17"/>
  <c r="H94" i="17"/>
  <c r="J99" i="17"/>
  <c r="L100" i="17"/>
  <c r="J103" i="17"/>
  <c r="L104" i="17"/>
  <c r="J38" i="17"/>
  <c r="L43" i="17"/>
  <c r="J46" i="17"/>
  <c r="L47" i="17"/>
  <c r="J51" i="17"/>
  <c r="L52" i="17"/>
  <c r="H55" i="17"/>
  <c r="F55" i="17" s="1"/>
  <c r="X55" i="17" s="1"/>
  <c r="L57" i="17"/>
  <c r="L62" i="17"/>
  <c r="J65" i="17"/>
  <c r="L77" i="17"/>
  <c r="H79" i="17"/>
  <c r="J80" i="17"/>
  <c r="L81" i="17"/>
  <c r="H83" i="17"/>
  <c r="L85" i="17"/>
  <c r="H87" i="17"/>
  <c r="J88" i="17"/>
  <c r="L89" i="17"/>
  <c r="H91" i="17"/>
  <c r="L93" i="17"/>
  <c r="L97" i="17"/>
  <c r="J100" i="17"/>
  <c r="L101" i="17"/>
  <c r="J104" i="17"/>
  <c r="L48" i="17"/>
  <c r="L40" i="17"/>
  <c r="J43" i="17"/>
  <c r="L44" i="17"/>
  <c r="J47" i="17"/>
  <c r="J52" i="17"/>
  <c r="J57" i="17"/>
  <c r="H60" i="17"/>
  <c r="J62" i="17"/>
  <c r="L63" i="17"/>
  <c r="H69" i="17"/>
  <c r="H76" i="17"/>
  <c r="J77" i="17"/>
  <c r="L78" i="17"/>
  <c r="L82" i="17"/>
  <c r="H84" i="17"/>
  <c r="L86" i="17"/>
  <c r="J89" i="17"/>
  <c r="L90" i="17"/>
  <c r="H92" i="17"/>
  <c r="J93" i="17"/>
  <c r="L94" i="17"/>
  <c r="J97" i="17"/>
  <c r="L98" i="17"/>
  <c r="J101" i="17"/>
  <c r="L102" i="17"/>
  <c r="L37" i="17"/>
  <c r="J40" i="17"/>
  <c r="J44" i="17"/>
  <c r="L45" i="17"/>
  <c r="J48" i="17"/>
  <c r="L49" i="17"/>
  <c r="L64" i="17"/>
  <c r="L68" i="17"/>
  <c r="L79" i="17"/>
  <c r="H81" i="17"/>
  <c r="J82" i="17"/>
  <c r="L83" i="17"/>
  <c r="H85" i="17"/>
  <c r="L87" i="17"/>
  <c r="J90" i="17"/>
  <c r="L91" i="17"/>
  <c r="J98" i="17"/>
  <c r="L99" i="17"/>
  <c r="J102" i="17"/>
  <c r="L103" i="17"/>
  <c r="H107" i="17"/>
  <c r="I34" i="16" s="1"/>
  <c r="I33" i="16" s="1"/>
  <c r="H252" i="19"/>
  <c r="J254" i="19"/>
  <c r="F253" i="19"/>
  <c r="AB253" i="19"/>
  <c r="AD253" i="19" s="1"/>
  <c r="I302" i="19"/>
  <c r="I312" i="19"/>
  <c r="J312" i="19" s="1"/>
  <c r="F138" i="19"/>
  <c r="J356" i="19"/>
  <c r="F356" i="19" s="1"/>
  <c r="AD895" i="20"/>
  <c r="C308" i="19" s="1"/>
  <c r="J308" i="19" s="1"/>
  <c r="A107" i="21"/>
  <c r="AF107" i="21"/>
  <c r="AH107" i="21" s="1"/>
  <c r="E200" i="19"/>
  <c r="J297" i="19"/>
  <c r="F297" i="19" s="1"/>
  <c r="A556" i="20"/>
  <c r="AL556" i="20"/>
  <c r="AJ670" i="20"/>
  <c r="AL670" i="20" s="1"/>
  <c r="C103" i="19" s="1"/>
  <c r="J103" i="19" s="1"/>
  <c r="F103" i="19" s="1"/>
  <c r="AB1324" i="20"/>
  <c r="AD1324" i="20" s="1"/>
  <c r="E413" i="19"/>
  <c r="A665" i="20"/>
  <c r="AD665" i="20"/>
  <c r="AJ665" i="20" s="1"/>
  <c r="B665" i="20" s="1"/>
  <c r="J362" i="19"/>
  <c r="F362" i="19" s="1"/>
  <c r="B338" i="20"/>
  <c r="AD338" i="20"/>
  <c r="C43" i="19" s="1"/>
  <c r="J43" i="19" s="1"/>
  <c r="AD1340" i="20"/>
  <c r="AF1340" i="20"/>
  <c r="G79" i="23"/>
  <c r="G80" i="23" s="1"/>
  <c r="G9" i="22" s="1"/>
  <c r="K27" i="19" s="1"/>
  <c r="A467" i="20"/>
  <c r="AF1158" i="20"/>
  <c r="B1158" i="20" s="1"/>
  <c r="D122" i="21"/>
  <c r="B122" i="21" s="1"/>
  <c r="G50" i="19"/>
  <c r="G83" i="19"/>
  <c r="H83" i="19" s="1"/>
  <c r="G292" i="19"/>
  <c r="H292" i="19" s="1"/>
  <c r="G89" i="19"/>
  <c r="G444" i="19"/>
  <c r="H444" i="19" s="1"/>
  <c r="AF126" i="20"/>
  <c r="AH751" i="20"/>
  <c r="J288" i="19"/>
  <c r="F288" i="19" s="1"/>
  <c r="B705" i="20"/>
  <c r="AD271" i="20"/>
  <c r="C35" i="19" s="1"/>
  <c r="H35" i="19" s="1"/>
  <c r="F35" i="19" s="1"/>
  <c r="G316" i="23"/>
  <c r="G317" i="23" s="1"/>
  <c r="G29" i="22" s="1"/>
  <c r="AJ190" i="20"/>
  <c r="AL190" i="20" s="1"/>
  <c r="AB229" i="21"/>
  <c r="AD229" i="21" s="1"/>
  <c r="AB235" i="21"/>
  <c r="AD235" i="21" s="1"/>
  <c r="AB226" i="21"/>
  <c r="AD226" i="21" s="1"/>
  <c r="J298" i="19"/>
  <c r="F298" i="19" s="1"/>
  <c r="AF122" i="21"/>
  <c r="AH122" i="21" s="1"/>
  <c r="AV103" i="20"/>
  <c r="AX103" i="20" s="1"/>
  <c r="G6" i="23"/>
  <c r="G7" i="23" s="1"/>
  <c r="G3" i="22" s="1"/>
  <c r="G399" i="23"/>
  <c r="G400" i="23" s="1"/>
  <c r="G36" i="22" s="1"/>
  <c r="K101" i="19" s="1"/>
  <c r="F120" i="19"/>
  <c r="A675" i="20"/>
  <c r="AD469" i="20"/>
  <c r="C62" i="19" s="1"/>
  <c r="J53" i="19"/>
  <c r="G10" i="19"/>
  <c r="H177" i="19"/>
  <c r="F177" i="19" s="1"/>
  <c r="E369" i="19"/>
  <c r="H369" i="19"/>
  <c r="F369" i="19" s="1"/>
  <c r="D148" i="21"/>
  <c r="B148" i="21" s="1"/>
  <c r="A148" i="21"/>
  <c r="AF184" i="20"/>
  <c r="A184" i="20" s="1"/>
  <c r="AB184" i="20"/>
  <c r="AD184" i="20" s="1"/>
  <c r="AF192" i="20" s="1"/>
  <c r="AH192" i="20" s="1"/>
  <c r="G438" i="23"/>
  <c r="E39" i="22" s="1"/>
  <c r="F333" i="23"/>
  <c r="G333" i="23" s="1"/>
  <c r="G334" i="23" s="1"/>
  <c r="F30" i="22" s="1"/>
  <c r="I169" i="19" s="1"/>
  <c r="J169" i="19" s="1"/>
  <c r="F368" i="23"/>
  <c r="G368" i="23" s="1"/>
  <c r="G369" i="23" s="1"/>
  <c r="F33" i="22" s="1"/>
  <c r="F11" i="23"/>
  <c r="G11" i="23" s="1"/>
  <c r="G12" i="23" s="1"/>
  <c r="F3" i="22" s="1"/>
  <c r="F404" i="23"/>
  <c r="G404" i="23" s="1"/>
  <c r="G405" i="23" s="1"/>
  <c r="F36" i="22" s="1"/>
  <c r="I101" i="19" s="1"/>
  <c r="F48" i="23"/>
  <c r="G48" i="23" s="1"/>
  <c r="G49" i="23" s="1"/>
  <c r="F6" i="22" s="1"/>
  <c r="I24" i="19" s="1"/>
  <c r="J24" i="19" s="1"/>
  <c r="J21" i="19" s="1"/>
  <c r="G41" i="18" s="1"/>
  <c r="F142" i="23"/>
  <c r="G142" i="23" s="1"/>
  <c r="G143" i="23" s="1"/>
  <c r="F14" i="22" s="1"/>
  <c r="I286" i="19" s="1"/>
  <c r="F392" i="23"/>
  <c r="G392" i="23" s="1"/>
  <c r="G393" i="23" s="1"/>
  <c r="F35" i="22" s="1"/>
  <c r="F35" i="23"/>
  <c r="G35" i="23" s="1"/>
  <c r="G36" i="23" s="1"/>
  <c r="F5" i="22" s="1"/>
  <c r="AB138" i="21" s="1"/>
  <c r="F427" i="23"/>
  <c r="G427" i="23" s="1"/>
  <c r="G428" i="23" s="1"/>
  <c r="F38" i="22" s="1"/>
  <c r="F60" i="23"/>
  <c r="G60" i="23" s="1"/>
  <c r="G61" i="23" s="1"/>
  <c r="F7" i="22" s="1"/>
  <c r="F356" i="23"/>
  <c r="G356" i="23" s="1"/>
  <c r="G357" i="23" s="1"/>
  <c r="F32" i="22" s="1"/>
  <c r="I390" i="19" s="1"/>
  <c r="AF257" i="21"/>
  <c r="AH257" i="21" s="1"/>
  <c r="AB255" i="21"/>
  <c r="AD255" i="21" s="1"/>
  <c r="AD1115" i="20"/>
  <c r="C372" i="19" s="1"/>
  <c r="AH232" i="20"/>
  <c r="AD454" i="20"/>
  <c r="C59" i="19" s="1"/>
  <c r="J59" i="19" s="1"/>
  <c r="F59" i="19" s="1"/>
  <c r="B454" i="20"/>
  <c r="G36" i="19"/>
  <c r="AH1082" i="20"/>
  <c r="C366" i="19" s="1"/>
  <c r="H366" i="19" s="1"/>
  <c r="F366" i="19" s="1"/>
  <c r="B1082" i="20"/>
  <c r="J203" i="19"/>
  <c r="F203" i="19" s="1"/>
  <c r="AB126" i="20"/>
  <c r="AD126" i="20" s="1"/>
  <c r="AF134" i="20" s="1"/>
  <c r="AH134" i="20" s="1"/>
  <c r="AD1028" i="20"/>
  <c r="C355" i="19" s="1"/>
  <c r="J355" i="19" s="1"/>
  <c r="F355" i="19" s="1"/>
  <c r="H273" i="19"/>
  <c r="J275" i="19"/>
  <c r="F274" i="19"/>
  <c r="AB274" i="19"/>
  <c r="AD274" i="19" s="1"/>
  <c r="AH1313" i="20"/>
  <c r="A1313" i="20"/>
  <c r="H295" i="19"/>
  <c r="F295" i="19" s="1"/>
  <c r="G19" i="19"/>
  <c r="AD1058" i="20"/>
  <c r="C361" i="19" s="1"/>
  <c r="J361" i="19" s="1"/>
  <c r="G42" i="23"/>
  <c r="E162" i="19"/>
  <c r="B814" i="20"/>
  <c r="B1009" i="20"/>
  <c r="B1063" i="20"/>
  <c r="B1121" i="20"/>
  <c r="A175" i="21"/>
  <c r="G387" i="23"/>
  <c r="G388" i="23" s="1"/>
  <c r="G35" i="22" s="1"/>
  <c r="G67" i="23"/>
  <c r="G68" i="23" s="1"/>
  <c r="G8" i="22" s="1"/>
  <c r="G115" i="23"/>
  <c r="G116" i="23" s="1"/>
  <c r="G121" i="23" s="1"/>
  <c r="G344" i="23"/>
  <c r="G347" i="23" s="1"/>
  <c r="E164" i="19"/>
  <c r="E433" i="19"/>
  <c r="AB124" i="20"/>
  <c r="AD124" i="20" s="1"/>
  <c r="AB134" i="20" s="1"/>
  <c r="AD134" i="20" s="1"/>
  <c r="B686" i="20"/>
  <c r="AB451" i="20"/>
  <c r="B451" i="20" s="1"/>
  <c r="J266" i="19"/>
  <c r="F266" i="19" s="1"/>
  <c r="AB50" i="20"/>
  <c r="AD50" i="20" s="1"/>
  <c r="AF58" i="20" s="1"/>
  <c r="AH58" i="20" s="1"/>
  <c r="AV1360" i="20"/>
  <c r="AX1360" i="20" s="1"/>
  <c r="AB1362" i="20" s="1"/>
  <c r="AD1362" i="20" s="1"/>
  <c r="C417" i="19" s="1"/>
  <c r="G304" i="23"/>
  <c r="G305" i="23" s="1"/>
  <c r="G28" i="22" s="1"/>
  <c r="H121" i="19"/>
  <c r="F121" i="19" s="1"/>
  <c r="G446" i="23"/>
  <c r="G447" i="23" s="1"/>
  <c r="G452" i="23" s="1"/>
  <c r="AD1100" i="20"/>
  <c r="J96" i="19"/>
  <c r="F96" i="19" s="1"/>
  <c r="J139" i="19"/>
  <c r="F139" i="19" s="1"/>
  <c r="G457" i="23"/>
  <c r="G458" i="23" s="1"/>
  <c r="G41" i="22" s="1"/>
  <c r="J317" i="19"/>
  <c r="F317" i="19" s="1"/>
  <c r="A670" i="20"/>
  <c r="G328" i="23"/>
  <c r="G329" i="23" s="1"/>
  <c r="G30" i="22" s="1"/>
  <c r="K169" i="19" s="1"/>
  <c r="L169" i="19" s="1"/>
  <c r="G375" i="23"/>
  <c r="G376" i="23" s="1"/>
  <c r="G34" i="22" s="1"/>
  <c r="J407" i="19"/>
  <c r="F407" i="19" s="1"/>
  <c r="AF1380" i="20"/>
  <c r="A1380" i="20" s="1"/>
  <c r="AD1282" i="20"/>
  <c r="C408" i="19" s="1"/>
  <c r="J408" i="19" s="1"/>
  <c r="F408" i="19" s="1"/>
  <c r="J51" i="19"/>
  <c r="F51" i="19" s="1"/>
  <c r="G91" i="23"/>
  <c r="G92" i="23" s="1"/>
  <c r="G10" i="22" s="1"/>
  <c r="G411" i="23"/>
  <c r="G412" i="23" s="1"/>
  <c r="G417" i="23" s="1"/>
  <c r="AH1315" i="20"/>
  <c r="AF182" i="20"/>
  <c r="AH182" i="20" s="1"/>
  <c r="H305" i="19"/>
  <c r="F305" i="19" s="1"/>
  <c r="E104" i="19"/>
  <c r="I395" i="19"/>
  <c r="J395" i="19" s="1"/>
  <c r="H131" i="19"/>
  <c r="F131" i="19" s="1"/>
  <c r="F130" i="19"/>
  <c r="H140" i="19"/>
  <c r="E140" i="19"/>
  <c r="H261" i="19"/>
  <c r="E261" i="19"/>
  <c r="E163" i="19"/>
  <c r="J163" i="19"/>
  <c r="F163" i="19" s="1"/>
  <c r="J237" i="19"/>
  <c r="E237" i="19"/>
  <c r="AB257" i="19"/>
  <c r="AD257" i="19" s="1"/>
  <c r="F257" i="19"/>
  <c r="J258" i="19"/>
  <c r="H256" i="19"/>
  <c r="H107" i="19"/>
  <c r="F107" i="19" s="1"/>
  <c r="F106" i="19"/>
  <c r="E114" i="19"/>
  <c r="F132" i="19"/>
  <c r="AB133" i="19"/>
  <c r="AD133" i="19" s="1"/>
  <c r="L134" i="19"/>
  <c r="E186" i="19"/>
  <c r="J186" i="19"/>
  <c r="E222" i="19"/>
  <c r="H222" i="19"/>
  <c r="F222" i="19" s="1"/>
  <c r="E308" i="19"/>
  <c r="E37" i="19"/>
  <c r="J37" i="19"/>
  <c r="F37" i="19" s="1"/>
  <c r="AB214" i="19"/>
  <c r="AD214" i="19" s="1"/>
  <c r="F213" i="19"/>
  <c r="L215" i="19"/>
  <c r="J207" i="19"/>
  <c r="G55" i="18" s="1"/>
  <c r="H111" i="19"/>
  <c r="E111" i="19"/>
  <c r="H193" i="19"/>
  <c r="E202" i="19"/>
  <c r="J202" i="19"/>
  <c r="E209" i="19"/>
  <c r="H209" i="19"/>
  <c r="E348" i="19"/>
  <c r="H348" i="19"/>
  <c r="F200" i="19"/>
  <c r="E367" i="19"/>
  <c r="E35" i="19"/>
  <c r="E45" i="19"/>
  <c r="J75" i="19"/>
  <c r="F194" i="19"/>
  <c r="AB222" i="19"/>
  <c r="AD222" i="19" s="1"/>
  <c r="F219" i="19"/>
  <c r="L226" i="19"/>
  <c r="J217" i="19"/>
  <c r="G56" i="18" s="1"/>
  <c r="F224" i="19"/>
  <c r="E90" i="19"/>
  <c r="E123" i="19"/>
  <c r="J123" i="19"/>
  <c r="AB130" i="19"/>
  <c r="AD130" i="19" s="1"/>
  <c r="F178" i="19"/>
  <c r="J175" i="19"/>
  <c r="G51" i="18" s="1"/>
  <c r="E242" i="19"/>
  <c r="E321" i="19"/>
  <c r="H334" i="19"/>
  <c r="F334" i="19" s="1"/>
  <c r="E344" i="19"/>
  <c r="J344" i="19"/>
  <c r="H402" i="19"/>
  <c r="E155" i="19"/>
  <c r="J155" i="19"/>
  <c r="F155" i="19" s="1"/>
  <c r="J243" i="19"/>
  <c r="F242" i="19"/>
  <c r="H241" i="19"/>
  <c r="F327" i="19"/>
  <c r="H326" i="19"/>
  <c r="E371" i="19"/>
  <c r="E154" i="19"/>
  <c r="E172" i="19"/>
  <c r="E185" i="19"/>
  <c r="E201" i="19"/>
  <c r="H229" i="19"/>
  <c r="E229" i="19"/>
  <c r="H249" i="19"/>
  <c r="F249" i="19" s="1"/>
  <c r="E249" i="19"/>
  <c r="H270" i="19"/>
  <c r="E270" i="19"/>
  <c r="J431" i="19"/>
  <c r="E431" i="19"/>
  <c r="AL215" i="20"/>
  <c r="AV215" i="20" s="1"/>
  <c r="AX215" i="20" s="1"/>
  <c r="AB217" i="20" s="1"/>
  <c r="E383" i="19"/>
  <c r="J383" i="19"/>
  <c r="F383" i="19" s="1"/>
  <c r="J432" i="19"/>
  <c r="F432" i="19" s="1"/>
  <c r="E432" i="19"/>
  <c r="F129" i="19"/>
  <c r="F265" i="19"/>
  <c r="AH155" i="20"/>
  <c r="A155" i="20"/>
  <c r="AD348" i="20"/>
  <c r="AJ348" i="20" s="1"/>
  <c r="A348" i="20"/>
  <c r="H234" i="19"/>
  <c r="E234" i="19"/>
  <c r="E281" i="19"/>
  <c r="J349" i="19"/>
  <c r="H360" i="19"/>
  <c r="J282" i="19"/>
  <c r="F281" i="19"/>
  <c r="AD330" i="20"/>
  <c r="C42" i="19" s="1"/>
  <c r="B330" i="20"/>
  <c r="AP393" i="20"/>
  <c r="AD591" i="20"/>
  <c r="E336" i="19"/>
  <c r="E349" i="19"/>
  <c r="E355" i="19"/>
  <c r="E361" i="19"/>
  <c r="E370" i="19"/>
  <c r="AJ56" i="20"/>
  <c r="AL56" i="20" s="1"/>
  <c r="AB56" i="20"/>
  <c r="A658" i="20"/>
  <c r="AD658" i="20"/>
  <c r="AR103" i="20"/>
  <c r="AT103" i="20" s="1"/>
  <c r="AB105" i="20" s="1"/>
  <c r="AD132" i="20"/>
  <c r="AD441" i="20"/>
  <c r="C57" i="19" s="1"/>
  <c r="J57" i="19" s="1"/>
  <c r="B441" i="20"/>
  <c r="AD1109" i="20"/>
  <c r="C371" i="19" s="1"/>
  <c r="J371" i="19" s="1"/>
  <c r="F371" i="19" s="1"/>
  <c r="B1109" i="20"/>
  <c r="AZ73" i="20"/>
  <c r="BB73" i="20" s="1"/>
  <c r="AB75" i="20" s="1"/>
  <c r="B365" i="20"/>
  <c r="AD365" i="20"/>
  <c r="C48" i="19" s="1"/>
  <c r="J382" i="19"/>
  <c r="AD15" i="20"/>
  <c r="AD190" i="20"/>
  <c r="B477" i="20"/>
  <c r="AD477" i="20"/>
  <c r="C63" i="19" s="1"/>
  <c r="J63" i="19" s="1"/>
  <c r="A770" i="20"/>
  <c r="AH770" i="20"/>
  <c r="AP1231" i="20"/>
  <c r="A1231" i="20"/>
  <c r="AJ132" i="20"/>
  <c r="AL132" i="20" s="1"/>
  <c r="AF153" i="20"/>
  <c r="AB161" i="20"/>
  <c r="AJ161" i="20"/>
  <c r="AL161" i="20" s="1"/>
  <c r="A211" i="20"/>
  <c r="AH211" i="20"/>
  <c r="AD238" i="20"/>
  <c r="AD250" i="20"/>
  <c r="A485" i="20"/>
  <c r="AH485" i="20"/>
  <c r="AH510" i="20"/>
  <c r="AZ510" i="20" s="1"/>
  <c r="AZ757" i="20"/>
  <c r="BB757" i="20" s="1"/>
  <c r="AV757" i="20"/>
  <c r="AX757" i="20" s="1"/>
  <c r="AB759" i="20" s="1"/>
  <c r="AB183" i="21"/>
  <c r="AB184" i="21"/>
  <c r="AB185" i="21"/>
  <c r="B263" i="20"/>
  <c r="AD263" i="20"/>
  <c r="C34" i="19" s="1"/>
  <c r="A504" i="20"/>
  <c r="AH504" i="20"/>
  <c r="AN1249" i="20"/>
  <c r="AP1249" i="20" s="1"/>
  <c r="AJ1249" i="20"/>
  <c r="AL1249" i="20" s="1"/>
  <c r="AF1253" i="20" s="1"/>
  <c r="AH1253" i="20" s="1"/>
  <c r="AB155" i="20"/>
  <c r="AD155" i="20" s="1"/>
  <c r="AF163" i="20" s="1"/>
  <c r="AH163" i="20" s="1"/>
  <c r="AB387" i="20"/>
  <c r="AD387" i="20" s="1"/>
  <c r="AB391" i="20" s="1"/>
  <c r="AD391" i="20" s="1"/>
  <c r="AR393" i="20" s="1"/>
  <c r="AT393" i="20" s="1"/>
  <c r="B490" i="20"/>
  <c r="AD490" i="20"/>
  <c r="C65" i="19" s="1"/>
  <c r="J65" i="19" s="1"/>
  <c r="F65" i="19" s="1"/>
  <c r="AZ535" i="20"/>
  <c r="BB535" i="20" s="1"/>
  <c r="AB537" i="20" s="1"/>
  <c r="BD535" i="20"/>
  <c r="BF535" i="20" s="1"/>
  <c r="AB48" i="20"/>
  <c r="AD48" i="20" s="1"/>
  <c r="AB58" i="20" s="1"/>
  <c r="AF89" i="20"/>
  <c r="AB182" i="20"/>
  <c r="AD182" i="20" s="1"/>
  <c r="AB192" i="20" s="1"/>
  <c r="AD433" i="20"/>
  <c r="C56" i="19" s="1"/>
  <c r="B433" i="20"/>
  <c r="AD562" i="20"/>
  <c r="AD962" i="20"/>
  <c r="C321" i="19" s="1"/>
  <c r="H321" i="19" s="1"/>
  <c r="B962" i="20"/>
  <c r="B309" i="20"/>
  <c r="AD309" i="20"/>
  <c r="C38" i="19" s="1"/>
  <c r="J38" i="19" s="1"/>
  <c r="F38" i="19" s="1"/>
  <c r="AB93" i="20"/>
  <c r="AJ209" i="20"/>
  <c r="B411" i="20"/>
  <c r="AD411" i="20"/>
  <c r="C52" i="19" s="1"/>
  <c r="J52" i="19" s="1"/>
  <c r="F52" i="19" s="1"/>
  <c r="AF587" i="20"/>
  <c r="AB587" i="20"/>
  <c r="AD587" i="20" s="1"/>
  <c r="AF591" i="20" s="1"/>
  <c r="AH591" i="20" s="1"/>
  <c r="AF1164" i="20"/>
  <c r="AD1164" i="20"/>
  <c r="AH431" i="20"/>
  <c r="B547" i="20"/>
  <c r="AF604" i="20"/>
  <c r="AD619" i="20"/>
  <c r="C95" i="19" s="1"/>
  <c r="J95" i="19" s="1"/>
  <c r="AD1088" i="20"/>
  <c r="C367" i="19" s="1"/>
  <c r="H367" i="19" s="1"/>
  <c r="AF1346" i="20"/>
  <c r="AD1346" i="20"/>
  <c r="AD54" i="21"/>
  <c r="AF54" i="21" s="1"/>
  <c r="A72" i="21"/>
  <c r="E72" i="21"/>
  <c r="B72" i="21" s="1"/>
  <c r="A1292" i="20"/>
  <c r="AH1292" i="20"/>
  <c r="B623" i="20"/>
  <c r="AB650" i="20"/>
  <c r="AD675" i="20"/>
  <c r="AJ675" i="20" s="1"/>
  <c r="AZ1360" i="20"/>
  <c r="BB1360" i="20" s="1"/>
  <c r="A772" i="20"/>
  <c r="AH772" i="20"/>
  <c r="AD784" i="20"/>
  <c r="AD949" i="20"/>
  <c r="C318" i="19" s="1"/>
  <c r="AF1094" i="20"/>
  <c r="AD1094" i="20"/>
  <c r="AD1106" i="20"/>
  <c r="C370" i="19" s="1"/>
  <c r="J370" i="19" s="1"/>
  <c r="AF1146" i="20"/>
  <c r="AD1146" i="20"/>
  <c r="AD1365" i="20"/>
  <c r="C418" i="19" s="1"/>
  <c r="J418" i="19" s="1"/>
  <c r="F418" i="19" s="1"/>
  <c r="B1365" i="20"/>
  <c r="AH755" i="20"/>
  <c r="A778" i="20"/>
  <c r="AH778" i="20"/>
  <c r="AJ1231" i="20"/>
  <c r="AL1231" i="20" s="1"/>
  <c r="AF1235" i="20" s="1"/>
  <c r="AH1235" i="20" s="1"/>
  <c r="AD1235" i="20"/>
  <c r="AD1276" i="20"/>
  <c r="C406" i="19" s="1"/>
  <c r="AF774" i="20"/>
  <c r="AB774" i="20"/>
  <c r="AD774" i="20" s="1"/>
  <c r="B1100" i="20"/>
  <c r="AD1253" i="20"/>
  <c r="AB1292" i="20"/>
  <c r="AD1292" i="20" s="1"/>
  <c r="AB1303" i="20"/>
  <c r="AD18" i="21"/>
  <c r="AF18" i="21" s="1"/>
  <c r="A18" i="21" s="1"/>
  <c r="AB1313" i="20"/>
  <c r="AD1313" i="20" s="1"/>
  <c r="G13" i="22"/>
  <c r="G132" i="23"/>
  <c r="G390" i="23"/>
  <c r="G391" i="23" s="1"/>
  <c r="E90" i="21"/>
  <c r="B90" i="21" s="1"/>
  <c r="A90" i="21"/>
  <c r="AB209" i="21"/>
  <c r="AB207" i="21"/>
  <c r="AB208" i="21"/>
  <c r="G152" i="23"/>
  <c r="G153" i="23" s="1"/>
  <c r="E26" i="22"/>
  <c r="G288" i="23"/>
  <c r="AB1380" i="20"/>
  <c r="AD1380" i="20" s="1"/>
  <c r="AB1382" i="20" s="1"/>
  <c r="AB1393" i="20"/>
  <c r="AD1393" i="20" s="1"/>
  <c r="AB1394" i="20" s="1"/>
  <c r="E34" i="21"/>
  <c r="B34" i="21" s="1"/>
  <c r="A34" i="21"/>
  <c r="G176" i="23"/>
  <c r="G177" i="23" s="1"/>
  <c r="G188" i="23"/>
  <c r="G189" i="23" s="1"/>
  <c r="G200" i="23"/>
  <c r="G201" i="23" s="1"/>
  <c r="E19" i="22" s="1"/>
  <c r="B796" i="20"/>
  <c r="B808" i="20"/>
  <c r="B827" i="20"/>
  <c r="B839" i="20"/>
  <c r="B849" i="20"/>
  <c r="B861" i="20"/>
  <c r="B880" i="20"/>
  <c r="B892" i="20"/>
  <c r="B901" i="20"/>
  <c r="B913" i="20"/>
  <c r="B932" i="20"/>
  <c r="AD86" i="21"/>
  <c r="AD88" i="21" s="1"/>
  <c r="AD90" i="21" s="1"/>
  <c r="AD92" i="21" s="1"/>
  <c r="AD94" i="21" s="1"/>
  <c r="AD96" i="21" s="1"/>
  <c r="AD98" i="21" s="1"/>
  <c r="E86" i="21"/>
  <c r="B86" i="21" s="1"/>
  <c r="G58" i="23"/>
  <c r="G59" i="23" s="1"/>
  <c r="E7" i="22" s="1"/>
  <c r="G224" i="23"/>
  <c r="G225" i="23" s="1"/>
  <c r="E21" i="22" s="1"/>
  <c r="G236" i="23"/>
  <c r="G237" i="23" s="1"/>
  <c r="G248" i="23"/>
  <c r="G249" i="23" s="1"/>
  <c r="AF132" i="21"/>
  <c r="AH132" i="21" s="1"/>
  <c r="D132" i="21"/>
  <c r="B132" i="21" s="1"/>
  <c r="A132" i="21"/>
  <c r="G272" i="23"/>
  <c r="G273" i="23" s="1"/>
  <c r="AD253" i="21"/>
  <c r="G164" i="23"/>
  <c r="G165" i="23" s="1"/>
  <c r="E16" i="22" s="1"/>
  <c r="G212" i="23"/>
  <c r="G213" i="23" s="1"/>
  <c r="G260" i="23"/>
  <c r="G261" i="23" s="1"/>
  <c r="G331" i="23"/>
  <c r="G332" i="23" s="1"/>
  <c r="E30" i="22" s="1"/>
  <c r="D175" i="21"/>
  <c r="B175" i="21" s="1"/>
  <c r="G9" i="23"/>
  <c r="G10" i="23" s="1"/>
  <c r="G5" i="22"/>
  <c r="AJ226" i="21"/>
  <c r="AL226" i="21" s="1"/>
  <c r="G140" i="23"/>
  <c r="G141" i="23" s="1"/>
  <c r="G402" i="23"/>
  <c r="G403" i="23" s="1"/>
  <c r="AF147" i="21"/>
  <c r="AH147" i="21" s="1"/>
  <c r="B177" i="21"/>
  <c r="AF262" i="21"/>
  <c r="AH262" i="21" s="1"/>
  <c r="AF268" i="21"/>
  <c r="AH268" i="21" s="1"/>
  <c r="G70" i="23"/>
  <c r="G71" i="23" s="1"/>
  <c r="G82" i="23"/>
  <c r="G83" i="23" s="1"/>
  <c r="E9" i="22" s="1"/>
  <c r="G94" i="23"/>
  <c r="G95" i="23" s="1"/>
  <c r="E10" i="22" s="1"/>
  <c r="G106" i="23"/>
  <c r="G107" i="23" s="1"/>
  <c r="G24" i="22"/>
  <c r="G366" i="23"/>
  <c r="G367" i="23" s="1"/>
  <c r="G460" i="23"/>
  <c r="G461" i="23" s="1"/>
  <c r="E41" i="22" s="1"/>
  <c r="G307" i="23"/>
  <c r="G308" i="23" s="1"/>
  <c r="E28" i="22" s="1"/>
  <c r="AJ235" i="21"/>
  <c r="G47" i="23"/>
  <c r="E6" i="22" s="1"/>
  <c r="G55" i="23"/>
  <c r="G56" i="23" s="1"/>
  <c r="G319" i="23"/>
  <c r="G320" i="23" s="1"/>
  <c r="E29" i="22" s="1"/>
  <c r="G378" i="23"/>
  <c r="G379" i="23" s="1"/>
  <c r="F72" i="23"/>
  <c r="G72" i="23" s="1"/>
  <c r="G73" i="23" s="1"/>
  <c r="F8" i="22" s="1"/>
  <c r="F84" i="23"/>
  <c r="G84" i="23" s="1"/>
  <c r="G85" i="23" s="1"/>
  <c r="F9" i="22" s="1"/>
  <c r="I27" i="19" s="1"/>
  <c r="F96" i="23"/>
  <c r="G96" i="23" s="1"/>
  <c r="G97" i="23" s="1"/>
  <c r="F10" i="22" s="1"/>
  <c r="F108" i="23"/>
  <c r="G108" i="23" s="1"/>
  <c r="G109" i="23" s="1"/>
  <c r="F11" i="22" s="1"/>
  <c r="I30" i="19" s="1"/>
  <c r="G33" i="23"/>
  <c r="G34" i="23" s="1"/>
  <c r="F154" i="23"/>
  <c r="G154" i="23" s="1"/>
  <c r="G155" i="23" s="1"/>
  <c r="F15" i="22" s="1"/>
  <c r="F166" i="23"/>
  <c r="G166" i="23" s="1"/>
  <c r="G167" i="23" s="1"/>
  <c r="F16" i="22" s="1"/>
  <c r="F178" i="23"/>
  <c r="G178" i="23" s="1"/>
  <c r="G179" i="23" s="1"/>
  <c r="F17" i="22" s="1"/>
  <c r="I287" i="19" s="1"/>
  <c r="F190" i="23"/>
  <c r="G190" i="23" s="1"/>
  <c r="G191" i="23" s="1"/>
  <c r="F18" i="22" s="1"/>
  <c r="F202" i="23"/>
  <c r="G202" i="23" s="1"/>
  <c r="G203" i="23" s="1"/>
  <c r="F19" i="22" s="1"/>
  <c r="F214" i="23"/>
  <c r="G214" i="23" s="1"/>
  <c r="G215" i="23" s="1"/>
  <c r="F20" i="22" s="1"/>
  <c r="F226" i="23"/>
  <c r="G226" i="23" s="1"/>
  <c r="G227" i="23" s="1"/>
  <c r="F21" i="22" s="1"/>
  <c r="F238" i="23"/>
  <c r="G238" i="23" s="1"/>
  <c r="G239" i="23" s="1"/>
  <c r="F22" i="22" s="1"/>
  <c r="I9" i="19" s="1"/>
  <c r="F250" i="23"/>
  <c r="G250" i="23" s="1"/>
  <c r="G251" i="23" s="1"/>
  <c r="F23" i="22" s="1"/>
  <c r="F262" i="23"/>
  <c r="G262" i="23" s="1"/>
  <c r="G263" i="23" s="1"/>
  <c r="F24" i="22" s="1"/>
  <c r="F274" i="23"/>
  <c r="G274" i="23" s="1"/>
  <c r="G275" i="23" s="1"/>
  <c r="F25" i="22" s="1"/>
  <c r="F297" i="23"/>
  <c r="G297" i="23" s="1"/>
  <c r="G298" i="23" s="1"/>
  <c r="F27" i="22" s="1"/>
  <c r="F309" i="23"/>
  <c r="G309" i="23" s="1"/>
  <c r="G310" i="23" s="1"/>
  <c r="F28" i="22" s="1"/>
  <c r="F321" i="23"/>
  <c r="G321" i="23" s="1"/>
  <c r="G322" i="23" s="1"/>
  <c r="F29" i="22" s="1"/>
  <c r="AF289" i="20" l="1"/>
  <c r="A289" i="20" s="1"/>
  <c r="AB112" i="19"/>
  <c r="AD112" i="19" s="1"/>
  <c r="O72" i="17"/>
  <c r="R72" i="17"/>
  <c r="O54" i="17"/>
  <c r="R54" i="17"/>
  <c r="O55" i="17"/>
  <c r="R55" i="17"/>
  <c r="H39" i="22"/>
  <c r="AZ27" i="20"/>
  <c r="BB27" i="20" s="1"/>
  <c r="AB179" i="19"/>
  <c r="AD179" i="19" s="1"/>
  <c r="K311" i="19"/>
  <c r="L311" i="19" s="1"/>
  <c r="AB123" i="34"/>
  <c r="C123" i="34" s="1"/>
  <c r="L96" i="17"/>
  <c r="K8" i="17" s="1"/>
  <c r="L8" i="17" s="1"/>
  <c r="J96" i="17"/>
  <c r="I8" i="17" s="1"/>
  <c r="J8" i="17" s="1"/>
  <c r="AD487" i="20"/>
  <c r="C64" i="19" s="1"/>
  <c r="J64" i="19" s="1"/>
  <c r="A285" i="20"/>
  <c r="A103" i="20"/>
  <c r="A1360" i="20"/>
  <c r="A50" i="20"/>
  <c r="AH387" i="20"/>
  <c r="H205" i="19"/>
  <c r="H198" i="19" s="1"/>
  <c r="AB112" i="21"/>
  <c r="D112" i="21" s="1"/>
  <c r="B112" i="21" s="1"/>
  <c r="F179" i="19"/>
  <c r="AZ291" i="20"/>
  <c r="BB291" i="20" s="1"/>
  <c r="G429" i="23"/>
  <c r="F9" i="33"/>
  <c r="H7" i="32"/>
  <c r="AB125" i="34"/>
  <c r="C125" i="34" s="1"/>
  <c r="E9" i="32"/>
  <c r="AF123" i="34"/>
  <c r="E123" i="34" s="1"/>
  <c r="AF125" i="34"/>
  <c r="E125" i="34" s="1"/>
  <c r="E8" i="32"/>
  <c r="AD87" i="34"/>
  <c r="D87" i="34" s="1"/>
  <c r="B87" i="34" s="1"/>
  <c r="AD89" i="34"/>
  <c r="D89" i="34" s="1"/>
  <c r="B89" i="34" s="1"/>
  <c r="D91" i="34"/>
  <c r="D60" i="34" s="1"/>
  <c r="E52" i="34"/>
  <c r="B52" i="34" s="1"/>
  <c r="AL52" i="34"/>
  <c r="C17" i="34"/>
  <c r="B17" i="34" s="1"/>
  <c r="AL17" i="34"/>
  <c r="D50" i="34"/>
  <c r="B50" i="34" s="1"/>
  <c r="AL50" i="34"/>
  <c r="D19" i="34"/>
  <c r="B19" i="34" s="1"/>
  <c r="AL19" i="34"/>
  <c r="D127" i="34"/>
  <c r="D93" i="34" s="1"/>
  <c r="AD125" i="34"/>
  <c r="D125" i="34" s="1"/>
  <c r="AD123" i="34"/>
  <c r="D123" i="34" s="1"/>
  <c r="E21" i="34"/>
  <c r="B21" i="34" s="1"/>
  <c r="AL21" i="34"/>
  <c r="C60" i="34"/>
  <c r="C93" i="34"/>
  <c r="C48" i="34"/>
  <c r="B48" i="34" s="1"/>
  <c r="AL48" i="34"/>
  <c r="J39" i="17"/>
  <c r="L39" i="17"/>
  <c r="L22" i="17"/>
  <c r="A124" i="20"/>
  <c r="F67" i="18"/>
  <c r="E67" i="18" s="1"/>
  <c r="Y67" i="18" s="1"/>
  <c r="J302" i="19"/>
  <c r="A1393" i="20"/>
  <c r="J22" i="17"/>
  <c r="E19" i="19"/>
  <c r="AB113" i="21"/>
  <c r="D113" i="21" s="1"/>
  <c r="B113" i="21" s="1"/>
  <c r="A1378" i="20"/>
  <c r="AV393" i="20"/>
  <c r="AX393" i="20" s="1"/>
  <c r="AB397" i="20" s="1"/>
  <c r="B397" i="20" s="1"/>
  <c r="L24" i="17"/>
  <c r="J67" i="17"/>
  <c r="J32" i="17"/>
  <c r="L66" i="17"/>
  <c r="J66" i="17"/>
  <c r="L36" i="17"/>
  <c r="J36" i="17"/>
  <c r="L32" i="17"/>
  <c r="H42" i="17"/>
  <c r="J41" i="17"/>
  <c r="J58" i="17"/>
  <c r="L41" i="17"/>
  <c r="H23" i="17"/>
  <c r="J24" i="17"/>
  <c r="G25" i="23"/>
  <c r="J198" i="19"/>
  <c r="G54" i="18" s="1"/>
  <c r="H122" i="19"/>
  <c r="F122" i="19" s="1"/>
  <c r="AF391" i="20"/>
  <c r="AH391" i="20" s="1"/>
  <c r="B670" i="20"/>
  <c r="G38" i="22"/>
  <c r="K36" i="19" s="1"/>
  <c r="H63" i="19"/>
  <c r="H4" i="22"/>
  <c r="J318" i="19"/>
  <c r="J314" i="19" s="1"/>
  <c r="G24" i="18" s="1"/>
  <c r="A73" i="20"/>
  <c r="A48" i="20"/>
  <c r="AH48" i="20"/>
  <c r="G40" i="22"/>
  <c r="I324" i="19"/>
  <c r="J324" i="19" s="1"/>
  <c r="J320" i="19" s="1"/>
  <c r="G25" i="18" s="1"/>
  <c r="H340" i="19"/>
  <c r="F71" i="18" s="1"/>
  <c r="H217" i="19"/>
  <c r="F56" i="18" s="1"/>
  <c r="AN226" i="21"/>
  <c r="A226" i="21" s="1"/>
  <c r="J191" i="19"/>
  <c r="G53" i="18" s="1"/>
  <c r="J136" i="19"/>
  <c r="G46" i="18" s="1"/>
  <c r="I401" i="19" s="1"/>
  <c r="J401" i="19" s="1"/>
  <c r="B1362" i="20"/>
  <c r="AH1158" i="20"/>
  <c r="C380" i="19" s="1"/>
  <c r="H380" i="19" s="1"/>
  <c r="F380" i="19" s="1"/>
  <c r="G299" i="23"/>
  <c r="E390" i="19"/>
  <c r="AB315" i="19"/>
  <c r="AD315" i="19" s="1"/>
  <c r="H112" i="19"/>
  <c r="F112" i="19" s="1"/>
  <c r="AB111" i="19"/>
  <c r="AD111" i="19" s="1"/>
  <c r="H43" i="19"/>
  <c r="F315" i="19"/>
  <c r="F70" i="19"/>
  <c r="AB121" i="19"/>
  <c r="AD121" i="19" s="1"/>
  <c r="L141" i="19"/>
  <c r="H93" i="17"/>
  <c r="F93" i="17" s="1"/>
  <c r="X93" i="17" s="1"/>
  <c r="E93" i="17"/>
  <c r="H77" i="17"/>
  <c r="F77" i="17" s="1"/>
  <c r="X77" i="17" s="1"/>
  <c r="E77" i="17"/>
  <c r="E63" i="17"/>
  <c r="J63" i="17"/>
  <c r="F63" i="17" s="1"/>
  <c r="X63" i="17" s="1"/>
  <c r="H57" i="17"/>
  <c r="F57" i="17" s="1"/>
  <c r="X57" i="17" s="1"/>
  <c r="E57" i="17"/>
  <c r="E39" i="17"/>
  <c r="H39" i="17"/>
  <c r="E26" i="17"/>
  <c r="E81" i="17"/>
  <c r="J81" i="17"/>
  <c r="F81" i="17" s="1"/>
  <c r="X81" i="17" s="1"/>
  <c r="E56" i="17"/>
  <c r="H56" i="17"/>
  <c r="F56" i="17" s="1"/>
  <c r="X56" i="17" s="1"/>
  <c r="E42" i="17"/>
  <c r="E103" i="17"/>
  <c r="H103" i="17"/>
  <c r="F103" i="17" s="1"/>
  <c r="X103" i="17" s="1"/>
  <c r="E84" i="17"/>
  <c r="J84" i="17"/>
  <c r="F84" i="17" s="1"/>
  <c r="X84" i="17" s="1"/>
  <c r="E59" i="17"/>
  <c r="E41" i="17"/>
  <c r="H41" i="17"/>
  <c r="E98" i="17"/>
  <c r="H98" i="17"/>
  <c r="F98" i="17" s="1"/>
  <c r="X98" i="17" s="1"/>
  <c r="H90" i="17"/>
  <c r="F90" i="17" s="1"/>
  <c r="X90" i="17" s="1"/>
  <c r="E90" i="17"/>
  <c r="E79" i="17"/>
  <c r="J79" i="17"/>
  <c r="F79" i="17" s="1"/>
  <c r="X79" i="17" s="1"/>
  <c r="E36" i="17"/>
  <c r="H36" i="17"/>
  <c r="E28" i="17"/>
  <c r="E101" i="17"/>
  <c r="H101" i="17"/>
  <c r="F101" i="17" s="1"/>
  <c r="X101" i="17" s="1"/>
  <c r="E94" i="17"/>
  <c r="J94" i="17"/>
  <c r="F94" i="17" s="1"/>
  <c r="X94" i="17" s="1"/>
  <c r="H89" i="17"/>
  <c r="F89" i="17" s="1"/>
  <c r="X89" i="17" s="1"/>
  <c r="E89" i="17"/>
  <c r="E78" i="17"/>
  <c r="J78" i="17"/>
  <c r="F78" i="17" s="1"/>
  <c r="X78" i="17" s="1"/>
  <c r="F70" i="17"/>
  <c r="X70" i="17" s="1"/>
  <c r="E70" i="17"/>
  <c r="E58" i="17"/>
  <c r="E52" i="17"/>
  <c r="H52" i="17"/>
  <c r="F52" i="17" s="1"/>
  <c r="X52" i="17" s="1"/>
  <c r="E35" i="17"/>
  <c r="H22" i="17"/>
  <c r="E22" i="17"/>
  <c r="E100" i="17"/>
  <c r="H100" i="17"/>
  <c r="F100" i="17" s="1"/>
  <c r="X100" i="17" s="1"/>
  <c r="H88" i="17"/>
  <c r="F88" i="17" s="1"/>
  <c r="X88" i="17" s="1"/>
  <c r="E88" i="17"/>
  <c r="E51" i="17"/>
  <c r="H51" i="17"/>
  <c r="F51" i="17" s="1"/>
  <c r="X51" i="17" s="1"/>
  <c r="E38" i="17"/>
  <c r="H38" i="17"/>
  <c r="F38" i="17" s="1"/>
  <c r="X38" i="17" s="1"/>
  <c r="E25" i="17"/>
  <c r="E20" i="17"/>
  <c r="E99" i="17"/>
  <c r="H99" i="17"/>
  <c r="F99" i="17" s="1"/>
  <c r="X99" i="17" s="1"/>
  <c r="E60" i="17"/>
  <c r="J60" i="17"/>
  <c r="F60" i="17" s="1"/>
  <c r="X60" i="17" s="1"/>
  <c r="E37" i="17"/>
  <c r="H37" i="17"/>
  <c r="F37" i="17" s="1"/>
  <c r="X37" i="17" s="1"/>
  <c r="E91" i="17"/>
  <c r="J91" i="17"/>
  <c r="F91" i="17" s="1"/>
  <c r="X91" i="17" s="1"/>
  <c r="E67" i="17"/>
  <c r="E48" i="17"/>
  <c r="H48" i="17"/>
  <c r="F48" i="17" s="1"/>
  <c r="X48" i="17" s="1"/>
  <c r="E32" i="17"/>
  <c r="H32" i="17"/>
  <c r="E23" i="17"/>
  <c r="E18" i="17"/>
  <c r="E55" i="17"/>
  <c r="E97" i="17"/>
  <c r="H97" i="17"/>
  <c r="H66" i="17"/>
  <c r="E66" i="17"/>
  <c r="E47" i="17"/>
  <c r="H47" i="17"/>
  <c r="F47" i="17" s="1"/>
  <c r="X47" i="17" s="1"/>
  <c r="E31" i="17"/>
  <c r="E17" i="17"/>
  <c r="H65" i="17"/>
  <c r="F65" i="17" s="1"/>
  <c r="X65" i="17" s="1"/>
  <c r="E65" i="17"/>
  <c r="E34" i="17"/>
  <c r="E21" i="17"/>
  <c r="E16" i="17"/>
  <c r="E92" i="17"/>
  <c r="J92" i="17"/>
  <c r="F92" i="17" s="1"/>
  <c r="X92" i="17" s="1"/>
  <c r="E76" i="17"/>
  <c r="J76" i="17"/>
  <c r="H68" i="17"/>
  <c r="F68" i="17" s="1"/>
  <c r="X68" i="17" s="1"/>
  <c r="E68" i="17"/>
  <c r="E49" i="17"/>
  <c r="H49" i="17"/>
  <c r="F49" i="17" s="1"/>
  <c r="X49" i="17" s="1"/>
  <c r="E33" i="17"/>
  <c r="H24" i="17"/>
  <c r="E24" i="17"/>
  <c r="E19" i="17"/>
  <c r="E87" i="17"/>
  <c r="J87" i="17"/>
  <c r="F87" i="17" s="1"/>
  <c r="X87" i="17" s="1"/>
  <c r="H82" i="17"/>
  <c r="F82" i="17" s="1"/>
  <c r="X82" i="17" s="1"/>
  <c r="E82" i="17"/>
  <c r="E44" i="17"/>
  <c r="H44" i="17"/>
  <c r="F44" i="17" s="1"/>
  <c r="X44" i="17" s="1"/>
  <c r="E14" i="17"/>
  <c r="L75" i="17"/>
  <c r="K7" i="17" s="1"/>
  <c r="L7" i="17" s="1"/>
  <c r="E86" i="17"/>
  <c r="J86" i="17"/>
  <c r="F86" i="17" s="1"/>
  <c r="X86" i="17" s="1"/>
  <c r="H62" i="17"/>
  <c r="F62" i="17" s="1"/>
  <c r="X62" i="17" s="1"/>
  <c r="E62" i="17"/>
  <c r="E43" i="17"/>
  <c r="H43" i="17"/>
  <c r="F43" i="17" s="1"/>
  <c r="X43" i="17" s="1"/>
  <c r="E85" i="17"/>
  <c r="J85" i="17"/>
  <c r="F85" i="17" s="1"/>
  <c r="X85" i="17" s="1"/>
  <c r="H80" i="17"/>
  <c r="F80" i="17" s="1"/>
  <c r="X80" i="17" s="1"/>
  <c r="E80" i="17"/>
  <c r="E46" i="17"/>
  <c r="H46" i="17"/>
  <c r="F46" i="17" s="1"/>
  <c r="X46" i="17" s="1"/>
  <c r="E104" i="17"/>
  <c r="H104" i="17"/>
  <c r="F104" i="17" s="1"/>
  <c r="X104" i="17" s="1"/>
  <c r="E69" i="17"/>
  <c r="J69" i="17"/>
  <c r="F69" i="17" s="1"/>
  <c r="X69" i="17" s="1"/>
  <c r="H64" i="17"/>
  <c r="F64" i="17" s="1"/>
  <c r="X64" i="17" s="1"/>
  <c r="E64" i="17"/>
  <c r="E45" i="17"/>
  <c r="H45" i="17"/>
  <c r="F45" i="17" s="1"/>
  <c r="X45" i="17" s="1"/>
  <c r="E15" i="17"/>
  <c r="E102" i="17"/>
  <c r="H102" i="17"/>
  <c r="F102" i="17" s="1"/>
  <c r="X102" i="17" s="1"/>
  <c r="E83" i="17"/>
  <c r="J83" i="17"/>
  <c r="F83" i="17" s="1"/>
  <c r="X83" i="17" s="1"/>
  <c r="E40" i="17"/>
  <c r="H40" i="17"/>
  <c r="F40" i="17" s="1"/>
  <c r="X40" i="17" s="1"/>
  <c r="G11" i="17"/>
  <c r="L107" i="17"/>
  <c r="K11" i="17" s="1"/>
  <c r="L11" i="17" s="1"/>
  <c r="F130" i="17"/>
  <c r="X130" i="17" s="1"/>
  <c r="AN31" i="17"/>
  <c r="I296" i="19"/>
  <c r="J296" i="19" s="1"/>
  <c r="I306" i="19"/>
  <c r="J306" i="19" s="1"/>
  <c r="A182" i="20"/>
  <c r="AZ393" i="20"/>
  <c r="BB393" i="20" s="1"/>
  <c r="G37" i="22"/>
  <c r="G12" i="22"/>
  <c r="K57" i="19" s="1"/>
  <c r="H32" i="22"/>
  <c r="AB204" i="19"/>
  <c r="AD204" i="19" s="1"/>
  <c r="H175" i="19"/>
  <c r="F51" i="18" s="1"/>
  <c r="AD451" i="20"/>
  <c r="C58" i="19" s="1"/>
  <c r="AH1380" i="20"/>
  <c r="I50" i="19"/>
  <c r="I89" i="19"/>
  <c r="I444" i="19"/>
  <c r="J444" i="19" s="1"/>
  <c r="I83" i="19"/>
  <c r="J83" i="19" s="1"/>
  <c r="I10" i="19"/>
  <c r="I292" i="19"/>
  <c r="J292" i="19" s="1"/>
  <c r="I36" i="19"/>
  <c r="F66" i="18"/>
  <c r="G358" i="23"/>
  <c r="I82" i="19"/>
  <c r="J82" i="19" s="1"/>
  <c r="AB139" i="21"/>
  <c r="I88" i="19"/>
  <c r="J263" i="19"/>
  <c r="G64" i="18" s="1"/>
  <c r="AB266" i="19"/>
  <c r="AD266" i="19" s="1"/>
  <c r="H127" i="19"/>
  <c r="F45" i="18" s="1"/>
  <c r="AB154" i="21"/>
  <c r="AD154" i="21" s="1"/>
  <c r="AF154" i="21" s="1"/>
  <c r="E154" i="21" s="1"/>
  <c r="B154" i="21" s="1"/>
  <c r="L267" i="19"/>
  <c r="F267" i="19" s="1"/>
  <c r="I34" i="19"/>
  <c r="J34" i="19" s="1"/>
  <c r="I48" i="19"/>
  <c r="J48" i="19" s="1"/>
  <c r="G312" i="19"/>
  <c r="H312" i="19" s="1"/>
  <c r="G302" i="19"/>
  <c r="H302" i="19" s="1"/>
  <c r="F275" i="19"/>
  <c r="J273" i="19"/>
  <c r="G66" i="18" s="1"/>
  <c r="G441" i="23"/>
  <c r="I417" i="19"/>
  <c r="J417" i="19" s="1"/>
  <c r="J416" i="19" s="1"/>
  <c r="G34" i="18" s="1"/>
  <c r="I331" i="19" s="1"/>
  <c r="J331" i="19" s="1"/>
  <c r="I421" i="19"/>
  <c r="I442" i="19"/>
  <c r="J442" i="19" s="1"/>
  <c r="I435" i="19"/>
  <c r="J435" i="19" s="1"/>
  <c r="AL665" i="20"/>
  <c r="C102" i="19" s="1"/>
  <c r="J102" i="19" s="1"/>
  <c r="F102" i="19" s="1"/>
  <c r="AB140" i="19"/>
  <c r="AD140" i="19" s="1"/>
  <c r="B1340" i="20"/>
  <c r="AH1340" i="20"/>
  <c r="C413" i="19" s="1"/>
  <c r="E31" i="22"/>
  <c r="G391" i="19" s="1"/>
  <c r="AV510" i="20"/>
  <c r="AX510" i="20" s="1"/>
  <c r="AB512" i="20" s="1"/>
  <c r="AD512" i="20" s="1"/>
  <c r="C68" i="19" s="1"/>
  <c r="AH184" i="20"/>
  <c r="F254" i="19"/>
  <c r="J252" i="19"/>
  <c r="G61" i="18" s="1"/>
  <c r="AH126" i="20"/>
  <c r="A126" i="20"/>
  <c r="I13" i="19"/>
  <c r="I16" i="19"/>
  <c r="I5" i="19"/>
  <c r="I8" i="19"/>
  <c r="F61" i="18"/>
  <c r="E24" i="22"/>
  <c r="G264" i="23"/>
  <c r="F367" i="19"/>
  <c r="E11" i="22"/>
  <c r="G110" i="23"/>
  <c r="H322" i="19"/>
  <c r="F322" i="19" s="1"/>
  <c r="AB321" i="19"/>
  <c r="AD321" i="19" s="1"/>
  <c r="F321" i="19"/>
  <c r="BB510" i="20"/>
  <c r="A510" i="20"/>
  <c r="E34" i="22"/>
  <c r="G382" i="23"/>
  <c r="E33" i="22"/>
  <c r="G370" i="23"/>
  <c r="E20" i="22"/>
  <c r="G216" i="23"/>
  <c r="G421" i="19"/>
  <c r="G442" i="19"/>
  <c r="G417" i="19"/>
  <c r="G435" i="19"/>
  <c r="A217" i="20"/>
  <c r="AD217" i="20"/>
  <c r="AF217" i="20" s="1"/>
  <c r="E3" i="22"/>
  <c r="G13" i="23"/>
  <c r="E17" i="22"/>
  <c r="G180" i="23"/>
  <c r="E8" i="22"/>
  <c r="G74" i="23"/>
  <c r="E5" i="22"/>
  <c r="G37" i="23"/>
  <c r="E36" i="22"/>
  <c r="G406" i="23"/>
  <c r="E14" i="22"/>
  <c r="G144" i="23"/>
  <c r="E25" i="22"/>
  <c r="G276" i="23"/>
  <c r="E23" i="22"/>
  <c r="G252" i="23"/>
  <c r="E18" i="22"/>
  <c r="G192" i="23"/>
  <c r="E22" i="22"/>
  <c r="G240" i="23"/>
  <c r="E15" i="22"/>
  <c r="G156" i="23"/>
  <c r="E35" i="22"/>
  <c r="G394" i="23"/>
  <c r="K318" i="19"/>
  <c r="L318" i="19" s="1"/>
  <c r="L314" i="19" s="1"/>
  <c r="H24" i="18" s="1"/>
  <c r="K324" i="19"/>
  <c r="L324" i="19" s="1"/>
  <c r="L320" i="19" s="1"/>
  <c r="H25" i="18" s="1"/>
  <c r="I443" i="19"/>
  <c r="J443" i="19" s="1"/>
  <c r="I291" i="19"/>
  <c r="J291" i="19" s="1"/>
  <c r="I84" i="19"/>
  <c r="J84" i="19" s="1"/>
  <c r="AB64" i="21"/>
  <c r="AB32" i="21"/>
  <c r="K406" i="19"/>
  <c r="L406" i="19" s="1"/>
  <c r="H30" i="22"/>
  <c r="G169" i="19"/>
  <c r="AH604" i="20"/>
  <c r="C90" i="19" s="1"/>
  <c r="J90" i="19" s="1"/>
  <c r="F90" i="19" s="1"/>
  <c r="B604" i="20"/>
  <c r="AD184" i="21"/>
  <c r="AF184" i="21" s="1"/>
  <c r="H232" i="19"/>
  <c r="F234" i="19"/>
  <c r="F75" i="19"/>
  <c r="AD1394" i="20"/>
  <c r="C424" i="19" s="1"/>
  <c r="B1394" i="20"/>
  <c r="AD208" i="21"/>
  <c r="AF208" i="21" s="1"/>
  <c r="D208" i="21" s="1"/>
  <c r="B208" i="21" s="1"/>
  <c r="G335" i="23"/>
  <c r="AB1317" i="20"/>
  <c r="AB1321" i="20"/>
  <c r="A1249" i="20"/>
  <c r="AH1094" i="20"/>
  <c r="C368" i="19" s="1"/>
  <c r="H368" i="19" s="1"/>
  <c r="F368" i="19" s="1"/>
  <c r="B1094" i="20"/>
  <c r="AH54" i="21"/>
  <c r="E54" i="21"/>
  <c r="B54" i="21" s="1"/>
  <c r="AH587" i="20"/>
  <c r="A587" i="20"/>
  <c r="AD183" i="21"/>
  <c r="AF183" i="21" s="1"/>
  <c r="AJ15" i="20"/>
  <c r="AL15" i="20" s="1"/>
  <c r="AB29" i="20" s="1"/>
  <c r="AN15" i="20"/>
  <c r="AV591" i="20"/>
  <c r="AX591" i="20" s="1"/>
  <c r="AR591" i="20"/>
  <c r="AT591" i="20" s="1"/>
  <c r="AN593" i="20" s="1"/>
  <c r="AZ215" i="20"/>
  <c r="F202" i="19"/>
  <c r="AB203" i="19"/>
  <c r="AD203" i="19" s="1"/>
  <c r="L207" i="19"/>
  <c r="H55" i="18" s="1"/>
  <c r="F215" i="19"/>
  <c r="J183" i="19"/>
  <c r="L188" i="19"/>
  <c r="F186" i="19"/>
  <c r="AB187" i="19"/>
  <c r="AD187" i="19" s="1"/>
  <c r="AB28" i="21"/>
  <c r="I406" i="19"/>
  <c r="J406" i="19" s="1"/>
  <c r="AB66" i="21"/>
  <c r="K384" i="19"/>
  <c r="L384" i="19" s="1"/>
  <c r="K372" i="19"/>
  <c r="L372" i="19" s="1"/>
  <c r="AB776" i="20"/>
  <c r="AD776" i="20" s="1"/>
  <c r="AB782" i="20" s="1"/>
  <c r="AF776" i="20"/>
  <c r="I145" i="19"/>
  <c r="J145" i="19" s="1"/>
  <c r="I153" i="19"/>
  <c r="J153" i="19" s="1"/>
  <c r="I161" i="19"/>
  <c r="J161" i="19" s="1"/>
  <c r="I290" i="19"/>
  <c r="J290" i="19" s="1"/>
  <c r="I68" i="19"/>
  <c r="H41" i="22"/>
  <c r="G39" i="19"/>
  <c r="G53" i="19"/>
  <c r="AF124" i="21"/>
  <c r="E124" i="21" s="1"/>
  <c r="AF115" i="21"/>
  <c r="E115" i="21" s="1"/>
  <c r="AF150" i="21"/>
  <c r="E150" i="21" s="1"/>
  <c r="AF141" i="21"/>
  <c r="E141" i="21" s="1"/>
  <c r="H19" i="22"/>
  <c r="G311" i="19"/>
  <c r="G301" i="19"/>
  <c r="H26" i="22"/>
  <c r="G410" i="19"/>
  <c r="G98" i="23"/>
  <c r="AR1253" i="20"/>
  <c r="AT1253" i="20" s="1"/>
  <c r="AV1253" i="20"/>
  <c r="AL675" i="20"/>
  <c r="C104" i="19" s="1"/>
  <c r="J104" i="19" s="1"/>
  <c r="F104" i="19" s="1"/>
  <c r="B675" i="20"/>
  <c r="AD56" i="20"/>
  <c r="J280" i="19"/>
  <c r="F282" i="19"/>
  <c r="AB435" i="19"/>
  <c r="AD435" i="19" s="1"/>
  <c r="F431" i="19"/>
  <c r="L436" i="19"/>
  <c r="F436" i="19" s="1"/>
  <c r="J271" i="19"/>
  <c r="H269" i="19"/>
  <c r="F270" i="19"/>
  <c r="AB270" i="19"/>
  <c r="AD270" i="19" s="1"/>
  <c r="F140" i="19"/>
  <c r="H136" i="19"/>
  <c r="I363" i="19"/>
  <c r="J363" i="19" s="1"/>
  <c r="J359" i="19" s="1"/>
  <c r="G28" i="18" s="1"/>
  <c r="I357" i="19"/>
  <c r="J357" i="19" s="1"/>
  <c r="J353" i="19" s="1"/>
  <c r="G27" i="18" s="1"/>
  <c r="I351" i="19"/>
  <c r="J351" i="19" s="1"/>
  <c r="J347" i="19" s="1"/>
  <c r="G26" i="18" s="1"/>
  <c r="I311" i="19"/>
  <c r="J311" i="19" s="1"/>
  <c r="I301" i="19"/>
  <c r="J301" i="19" s="1"/>
  <c r="G228" i="23"/>
  <c r="AL235" i="21"/>
  <c r="AN235" i="21" s="1"/>
  <c r="AP235" i="21" s="1"/>
  <c r="D138" i="21"/>
  <c r="B138" i="21" s="1"/>
  <c r="A138" i="21"/>
  <c r="AD650" i="20"/>
  <c r="H27" i="22"/>
  <c r="I409" i="19"/>
  <c r="I309" i="19"/>
  <c r="J309" i="19" s="1"/>
  <c r="I299" i="19"/>
  <c r="J299" i="19" s="1"/>
  <c r="I94" i="19"/>
  <c r="J94" i="19" s="1"/>
  <c r="J92" i="19" s="1"/>
  <c r="G18" i="18" s="1"/>
  <c r="I42" i="19"/>
  <c r="J42" i="19" s="1"/>
  <c r="I62" i="19"/>
  <c r="J62" i="19" s="1"/>
  <c r="I56" i="19"/>
  <c r="J56" i="19" s="1"/>
  <c r="K31" i="19"/>
  <c r="K76" i="19"/>
  <c r="K443" i="19"/>
  <c r="L443" i="19" s="1"/>
  <c r="K84" i="19"/>
  <c r="L84" i="19" s="1"/>
  <c r="K291" i="19"/>
  <c r="L291" i="19" s="1"/>
  <c r="K88" i="19"/>
  <c r="K82" i="19"/>
  <c r="L82" i="19" s="1"/>
  <c r="K306" i="19"/>
  <c r="L306" i="19" s="1"/>
  <c r="K296" i="19"/>
  <c r="L296" i="19" s="1"/>
  <c r="AD1382" i="20"/>
  <c r="C421" i="19" s="1"/>
  <c r="B1382" i="20"/>
  <c r="AD207" i="21"/>
  <c r="AF207" i="21" s="1"/>
  <c r="C207" i="21" s="1"/>
  <c r="B207" i="21" s="1"/>
  <c r="AR1235" i="20"/>
  <c r="AT1235" i="20" s="1"/>
  <c r="AV1235" i="20"/>
  <c r="AX1235" i="20" s="1"/>
  <c r="A54" i="21"/>
  <c r="A535" i="20"/>
  <c r="AD192" i="20"/>
  <c r="B759" i="20"/>
  <c r="AD759" i="20"/>
  <c r="C286" i="19" s="1"/>
  <c r="J286" i="19" s="1"/>
  <c r="AD161" i="20"/>
  <c r="L386" i="19"/>
  <c r="F386" i="19" s="1"/>
  <c r="AB385" i="19"/>
  <c r="AD385" i="19" s="1"/>
  <c r="F382" i="19"/>
  <c r="AV132" i="20"/>
  <c r="AX132" i="20" s="1"/>
  <c r="AN134" i="20" s="1"/>
  <c r="AZ132" i="20"/>
  <c r="BB132" i="20" s="1"/>
  <c r="F360" i="19"/>
  <c r="AL348" i="20"/>
  <c r="C44" i="19" s="1"/>
  <c r="B348" i="20"/>
  <c r="H57" i="19"/>
  <c r="F361" i="19"/>
  <c r="L125" i="19"/>
  <c r="F123" i="19"/>
  <c r="AB124" i="19"/>
  <c r="AD124" i="19" s="1"/>
  <c r="J118" i="19"/>
  <c r="G44" i="18" s="1"/>
  <c r="F193" i="19"/>
  <c r="H191" i="19"/>
  <c r="F308" i="19"/>
  <c r="F134" i="19"/>
  <c r="L127" i="19"/>
  <c r="H45" i="18" s="1"/>
  <c r="AB238" i="19"/>
  <c r="AD238" i="19" s="1"/>
  <c r="F237" i="19"/>
  <c r="L239" i="19"/>
  <c r="J232" i="19"/>
  <c r="G58" i="18" s="1"/>
  <c r="AR129" i="17"/>
  <c r="AT129" i="17" s="1"/>
  <c r="H10" i="22"/>
  <c r="G68" i="19"/>
  <c r="G290" i="19"/>
  <c r="H21" i="22"/>
  <c r="G76" i="19"/>
  <c r="G31" i="19"/>
  <c r="B295" i="20"/>
  <c r="AD295" i="20"/>
  <c r="C36" i="19" s="1"/>
  <c r="AH153" i="20"/>
  <c r="A153" i="20"/>
  <c r="AD105" i="20"/>
  <c r="F326" i="19"/>
  <c r="F69" i="18"/>
  <c r="I434" i="19"/>
  <c r="J434" i="19" s="1"/>
  <c r="I424" i="19"/>
  <c r="K310" i="19"/>
  <c r="L310" i="19" s="1"/>
  <c r="K300" i="19"/>
  <c r="L300" i="19" s="1"/>
  <c r="H9" i="22"/>
  <c r="G27" i="19"/>
  <c r="AN253" i="21"/>
  <c r="AJ253" i="21"/>
  <c r="AL253" i="21" s="1"/>
  <c r="AN255" i="21" s="1"/>
  <c r="G464" i="23"/>
  <c r="G323" i="23"/>
  <c r="K309" i="19"/>
  <c r="L309" i="19" s="1"/>
  <c r="K299" i="19"/>
  <c r="L299" i="19" s="1"/>
  <c r="E18" i="21"/>
  <c r="B18" i="21" s="1"/>
  <c r="AH18" i="21"/>
  <c r="A774" i="20"/>
  <c r="AH774" i="20"/>
  <c r="AH1164" i="20"/>
  <c r="C381" i="19" s="1"/>
  <c r="H381" i="19" s="1"/>
  <c r="F381" i="19" s="1"/>
  <c r="B1164" i="20"/>
  <c r="AL209" i="20"/>
  <c r="A209" i="20"/>
  <c r="AD58" i="20"/>
  <c r="AV190" i="20"/>
  <c r="AR190" i="20"/>
  <c r="AT190" i="20" s="1"/>
  <c r="AN192" i="20" s="1"/>
  <c r="AP192" i="20" s="1"/>
  <c r="J230" i="19"/>
  <c r="AB229" i="19"/>
  <c r="AD229" i="19" s="1"/>
  <c r="F229" i="19"/>
  <c r="F62" i="18"/>
  <c r="AH89" i="20"/>
  <c r="A89" i="20"/>
  <c r="F349" i="19"/>
  <c r="F370" i="19"/>
  <c r="AB373" i="19"/>
  <c r="AD373" i="19" s="1"/>
  <c r="L374" i="19"/>
  <c r="F374" i="19" s="1"/>
  <c r="I384" i="19"/>
  <c r="J384" i="19" s="1"/>
  <c r="I372" i="19"/>
  <c r="J372" i="19" s="1"/>
  <c r="K16" i="19"/>
  <c r="K8" i="19"/>
  <c r="K13" i="19"/>
  <c r="K5" i="19"/>
  <c r="G168" i="23"/>
  <c r="I310" i="19"/>
  <c r="J310" i="19" s="1"/>
  <c r="I300" i="19"/>
  <c r="J300" i="19" s="1"/>
  <c r="I385" i="19"/>
  <c r="J385" i="19" s="1"/>
  <c r="I373" i="19"/>
  <c r="J373" i="19" s="1"/>
  <c r="G62" i="23"/>
  <c r="G7" i="22"/>
  <c r="H7" i="22" s="1"/>
  <c r="G204" i="23"/>
  <c r="K48" i="19"/>
  <c r="L48" i="19" s="1"/>
  <c r="K34" i="19"/>
  <c r="L34" i="19" s="1"/>
  <c r="K53" i="19"/>
  <c r="L53" i="19" s="1"/>
  <c r="K39" i="19"/>
  <c r="L39" i="19" s="1"/>
  <c r="K42" i="19"/>
  <c r="L42" i="19" s="1"/>
  <c r="K94" i="19"/>
  <c r="L94" i="19" s="1"/>
  <c r="K56" i="19"/>
  <c r="L56" i="19" s="1"/>
  <c r="K62" i="19"/>
  <c r="L62" i="19" s="1"/>
  <c r="K363" i="19"/>
  <c r="L363" i="19" s="1"/>
  <c r="L359" i="19" s="1"/>
  <c r="H28" i="18" s="1"/>
  <c r="K357" i="19"/>
  <c r="L357" i="19" s="1"/>
  <c r="L353" i="19" s="1"/>
  <c r="H27" i="18" s="1"/>
  <c r="K351" i="19"/>
  <c r="L351" i="19" s="1"/>
  <c r="L347" i="19" s="1"/>
  <c r="H26" i="18" s="1"/>
  <c r="AD1303" i="20"/>
  <c r="AH1346" i="20"/>
  <c r="C414" i="19" s="1"/>
  <c r="B1346" i="20"/>
  <c r="H40" i="22"/>
  <c r="F43" i="23"/>
  <c r="G43" i="23" s="1"/>
  <c r="G44" i="23" s="1"/>
  <c r="AD93" i="20"/>
  <c r="F59" i="18"/>
  <c r="F348" i="19"/>
  <c r="F258" i="19"/>
  <c r="J256" i="19"/>
  <c r="G62" i="18" s="1"/>
  <c r="L175" i="19"/>
  <c r="H51" i="18" s="1"/>
  <c r="F180" i="19"/>
  <c r="BD250" i="20"/>
  <c r="AZ250" i="20"/>
  <c r="BB250" i="20" s="1"/>
  <c r="AB252" i="20" s="1"/>
  <c r="H29" i="22"/>
  <c r="G161" i="19"/>
  <c r="G145" i="19"/>
  <c r="G153" i="19"/>
  <c r="G311" i="23"/>
  <c r="G86" i="23"/>
  <c r="H13" i="22"/>
  <c r="K64" i="19"/>
  <c r="K58" i="19"/>
  <c r="K44" i="19"/>
  <c r="AB1300" i="20"/>
  <c r="AB1296" i="20"/>
  <c r="AD537" i="20"/>
  <c r="AF537" i="20" s="1"/>
  <c r="A537" i="20"/>
  <c r="AZ238" i="20"/>
  <c r="AV238" i="20"/>
  <c r="AX238" i="20" s="1"/>
  <c r="AB240" i="20" s="1"/>
  <c r="L204" i="19"/>
  <c r="F111" i="19"/>
  <c r="H113" i="19"/>
  <c r="AN129" i="17"/>
  <c r="AP129" i="17" s="1"/>
  <c r="F261" i="19"/>
  <c r="H260" i="19"/>
  <c r="H28" i="22"/>
  <c r="G363" i="19"/>
  <c r="G357" i="19"/>
  <c r="G351" i="19"/>
  <c r="K153" i="19"/>
  <c r="L153" i="19" s="1"/>
  <c r="K161" i="19"/>
  <c r="L161" i="19" s="1"/>
  <c r="K145" i="19"/>
  <c r="L145" i="19" s="1"/>
  <c r="AD209" i="21"/>
  <c r="AF209" i="21" s="1"/>
  <c r="E209" i="21" s="1"/>
  <c r="B209" i="21" s="1"/>
  <c r="G24" i="19"/>
  <c r="H16" i="22"/>
  <c r="G384" i="19"/>
  <c r="G372" i="19"/>
  <c r="K312" i="19"/>
  <c r="K302" i="19"/>
  <c r="AH1146" i="20"/>
  <c r="C378" i="19" s="1"/>
  <c r="H378" i="19" s="1"/>
  <c r="B1146" i="20"/>
  <c r="I31" i="19"/>
  <c r="I76" i="19"/>
  <c r="K434" i="19"/>
  <c r="L434" i="19" s="1"/>
  <c r="K424" i="19"/>
  <c r="K373" i="19"/>
  <c r="L373" i="19" s="1"/>
  <c r="K385" i="19"/>
  <c r="L385" i="19" s="1"/>
  <c r="K290" i="19"/>
  <c r="L290" i="19" s="1"/>
  <c r="K68" i="19"/>
  <c r="AB96" i="19"/>
  <c r="AD96" i="19" s="1"/>
  <c r="F95" i="19"/>
  <c r="L97" i="19"/>
  <c r="F97" i="19" s="1"/>
  <c r="A757" i="20"/>
  <c r="AV562" i="20"/>
  <c r="AX562" i="20" s="1"/>
  <c r="AB564" i="20" s="1"/>
  <c r="AZ562" i="20"/>
  <c r="AD185" i="21"/>
  <c r="AF185" i="21" s="1"/>
  <c r="AD75" i="20"/>
  <c r="C9" i="19" s="1"/>
  <c r="L9" i="19" s="1"/>
  <c r="B75" i="20"/>
  <c r="J241" i="19"/>
  <c r="G59" i="18" s="1"/>
  <c r="F243" i="19"/>
  <c r="L345" i="19"/>
  <c r="J340" i="19"/>
  <c r="G71" i="18" s="1"/>
  <c r="AB344" i="19"/>
  <c r="AD344" i="19" s="1"/>
  <c r="F344" i="19"/>
  <c r="F226" i="19"/>
  <c r="L217" i="19"/>
  <c r="H56" i="18" s="1"/>
  <c r="H212" i="19"/>
  <c r="F212" i="19" s="1"/>
  <c r="F209" i="19"/>
  <c r="AB211" i="19"/>
  <c r="AD211" i="19" s="1"/>
  <c r="L116" i="19"/>
  <c r="AB115" i="19"/>
  <c r="AD115" i="19" s="1"/>
  <c r="F114" i="19"/>
  <c r="J109" i="19"/>
  <c r="G20" i="18" s="1"/>
  <c r="J61" i="19" l="1"/>
  <c r="G14" i="18" s="1"/>
  <c r="H64" i="19"/>
  <c r="AH289" i="20"/>
  <c r="AD397" i="20"/>
  <c r="C50" i="19" s="1"/>
  <c r="J421" i="19"/>
  <c r="J420" i="19" s="1"/>
  <c r="G35" i="18" s="1"/>
  <c r="I332" i="19" s="1"/>
  <c r="J332" i="19" s="1"/>
  <c r="A27" i="20"/>
  <c r="B123" i="34"/>
  <c r="O130" i="17"/>
  <c r="R130" i="17"/>
  <c r="O38" i="17"/>
  <c r="R38" i="17"/>
  <c r="O78" i="17"/>
  <c r="R78" i="17"/>
  <c r="O46" i="17"/>
  <c r="R46" i="17"/>
  <c r="O57" i="17"/>
  <c r="R57" i="17"/>
  <c r="O49" i="17"/>
  <c r="R49" i="17"/>
  <c r="O62" i="17"/>
  <c r="R62" i="17"/>
  <c r="O52" i="17"/>
  <c r="R52" i="17"/>
  <c r="O81" i="17"/>
  <c r="R81" i="17"/>
  <c r="O64" i="17"/>
  <c r="R64" i="17"/>
  <c r="O37" i="17"/>
  <c r="R37" i="17"/>
  <c r="O45" i="17"/>
  <c r="R45" i="17"/>
  <c r="O86" i="17"/>
  <c r="R86" i="17"/>
  <c r="O79" i="17"/>
  <c r="R79" i="17"/>
  <c r="O68" i="17"/>
  <c r="R68" i="17"/>
  <c r="O99" i="17"/>
  <c r="R99" i="17"/>
  <c r="O69" i="17"/>
  <c r="R69" i="17"/>
  <c r="O90" i="17"/>
  <c r="R90" i="17"/>
  <c r="O92" i="17"/>
  <c r="R92" i="17"/>
  <c r="O98" i="17"/>
  <c r="R98" i="17"/>
  <c r="O40" i="17"/>
  <c r="R40" i="17"/>
  <c r="O82" i="17"/>
  <c r="R82" i="17"/>
  <c r="O51" i="17"/>
  <c r="R51" i="17"/>
  <c r="O63" i="17"/>
  <c r="R63" i="17"/>
  <c r="O93" i="17"/>
  <c r="R93" i="17"/>
  <c r="O104" i="17"/>
  <c r="R104" i="17"/>
  <c r="O77" i="17"/>
  <c r="R77" i="17"/>
  <c r="O43" i="17"/>
  <c r="R43" i="17"/>
  <c r="O47" i="17"/>
  <c r="R47" i="17"/>
  <c r="O56" i="17"/>
  <c r="R56" i="17"/>
  <c r="O60" i="17"/>
  <c r="R60" i="17"/>
  <c r="O44" i="17"/>
  <c r="R44" i="17"/>
  <c r="O70" i="17"/>
  <c r="R70" i="17"/>
  <c r="O87" i="17"/>
  <c r="R87" i="17"/>
  <c r="O48" i="17"/>
  <c r="R48" i="17"/>
  <c r="O89" i="17"/>
  <c r="R89" i="17"/>
  <c r="O83" i="17"/>
  <c r="R83" i="17"/>
  <c r="O80" i="17"/>
  <c r="R80" i="17"/>
  <c r="O94" i="17"/>
  <c r="R94" i="17"/>
  <c r="O84" i="17"/>
  <c r="R84" i="17"/>
  <c r="O85" i="17"/>
  <c r="R85" i="17"/>
  <c r="O65" i="17"/>
  <c r="R65" i="17"/>
  <c r="O88" i="17"/>
  <c r="R88" i="17"/>
  <c r="O102" i="17"/>
  <c r="R102" i="17"/>
  <c r="O91" i="17"/>
  <c r="R91" i="17"/>
  <c r="O100" i="17"/>
  <c r="R100" i="17"/>
  <c r="O101" i="17"/>
  <c r="R101" i="17"/>
  <c r="O103" i="17"/>
  <c r="R103" i="17"/>
  <c r="L263" i="19"/>
  <c r="H64" i="18" s="1"/>
  <c r="E64" i="18" s="1"/>
  <c r="Y64" i="18" s="1"/>
  <c r="F205" i="19"/>
  <c r="H96" i="17"/>
  <c r="A113" i="21"/>
  <c r="A1235" i="20"/>
  <c r="H118" i="19"/>
  <c r="F44" i="18" s="1"/>
  <c r="K10" i="19"/>
  <c r="AD112" i="21"/>
  <c r="AD113" i="21" s="1"/>
  <c r="AD121" i="21" s="1"/>
  <c r="AD122" i="21" s="1"/>
  <c r="A112" i="21"/>
  <c r="A291" i="20"/>
  <c r="J61" i="17"/>
  <c r="F61" i="17" s="1"/>
  <c r="X61" i="17" s="1"/>
  <c r="E61" i="17"/>
  <c r="E53" i="17"/>
  <c r="H53" i="17"/>
  <c r="F53" i="17" s="1"/>
  <c r="X53" i="17" s="1"/>
  <c r="B91" i="34"/>
  <c r="Y60" i="34" s="1"/>
  <c r="B125" i="34"/>
  <c r="E7" i="32"/>
  <c r="F22" i="17"/>
  <c r="X22" i="17" s="1"/>
  <c r="E33" i="34"/>
  <c r="E4" i="34" s="1"/>
  <c r="AF23" i="34"/>
  <c r="E23" i="34" s="1"/>
  <c r="AF29" i="34"/>
  <c r="E29" i="34" s="1"/>
  <c r="AF31" i="34"/>
  <c r="E31" i="34" s="1"/>
  <c r="C58" i="34"/>
  <c r="AB56" i="34"/>
  <c r="C56" i="34" s="1"/>
  <c r="C33" i="34"/>
  <c r="AB31" i="34"/>
  <c r="C31" i="34" s="1"/>
  <c r="AB23" i="34"/>
  <c r="C23" i="34" s="1"/>
  <c r="AB29" i="34"/>
  <c r="C29" i="34" s="1"/>
  <c r="AH27" i="34"/>
  <c r="AD23" i="34"/>
  <c r="D23" i="34" s="1"/>
  <c r="D58" i="34"/>
  <c r="D35" i="34" s="1"/>
  <c r="AD56" i="34"/>
  <c r="D56" i="34" s="1"/>
  <c r="E58" i="34"/>
  <c r="E35" i="34" s="1"/>
  <c r="AF56" i="34"/>
  <c r="E56" i="34" s="1"/>
  <c r="B127" i="34"/>
  <c r="F24" i="17"/>
  <c r="X24" i="17" s="1"/>
  <c r="F39" i="17"/>
  <c r="X39" i="17" s="1"/>
  <c r="H67" i="17"/>
  <c r="F66" i="17"/>
  <c r="X66" i="17" s="1"/>
  <c r="K444" i="19"/>
  <c r="L444" i="19" s="1"/>
  <c r="F444" i="19" s="1"/>
  <c r="K83" i="19"/>
  <c r="L83" i="19" s="1"/>
  <c r="F83" i="19" s="1"/>
  <c r="A391" i="20"/>
  <c r="K50" i="19"/>
  <c r="H38" i="22"/>
  <c r="H12" i="22"/>
  <c r="K292" i="19"/>
  <c r="L292" i="19" s="1"/>
  <c r="F292" i="19" s="1"/>
  <c r="L67" i="17"/>
  <c r="K89" i="19"/>
  <c r="E89" i="19" s="1"/>
  <c r="C226" i="21"/>
  <c r="B226" i="21" s="1"/>
  <c r="L105" i="19"/>
  <c r="F105" i="19" s="1"/>
  <c r="F36" i="17"/>
  <c r="X36" i="17" s="1"/>
  <c r="F32" i="17"/>
  <c r="X32" i="17" s="1"/>
  <c r="L59" i="17"/>
  <c r="J59" i="17"/>
  <c r="J42" i="17"/>
  <c r="L42" i="17"/>
  <c r="L58" i="17"/>
  <c r="H58" i="17"/>
  <c r="F41" i="17"/>
  <c r="X41" i="17" s="1"/>
  <c r="H59" i="17"/>
  <c r="L23" i="17"/>
  <c r="J23" i="17"/>
  <c r="L286" i="19"/>
  <c r="J429" i="19"/>
  <c r="G74" i="18" s="1"/>
  <c r="I338" i="19" s="1"/>
  <c r="J338" i="19" s="1"/>
  <c r="A393" i="20"/>
  <c r="AB104" i="19"/>
  <c r="AD104" i="19" s="1"/>
  <c r="J377" i="19"/>
  <c r="G30" i="18" s="1"/>
  <c r="J9" i="19"/>
  <c r="J438" i="19"/>
  <c r="G75" i="18" s="1"/>
  <c r="I427" i="19" s="1"/>
  <c r="J427" i="19" s="1"/>
  <c r="J426" i="19" s="1"/>
  <c r="G73" i="18" s="1"/>
  <c r="I335" i="19" s="1"/>
  <c r="J335" i="19" s="1"/>
  <c r="H207" i="19"/>
  <c r="F55" i="18" s="1"/>
  <c r="K63" i="19"/>
  <c r="L63" i="19" s="1"/>
  <c r="F63" i="19" s="1"/>
  <c r="AH154" i="21"/>
  <c r="AF156" i="21" s="1"/>
  <c r="E156" i="21" s="1"/>
  <c r="F252" i="19"/>
  <c r="L136" i="19"/>
  <c r="H46" i="18" s="1"/>
  <c r="K401" i="19" s="1"/>
  <c r="L401" i="19" s="1"/>
  <c r="F141" i="19"/>
  <c r="A154" i="21"/>
  <c r="F273" i="19"/>
  <c r="J75" i="17"/>
  <c r="I7" i="17" s="1"/>
  <c r="J7" i="17" s="1"/>
  <c r="F76" i="17"/>
  <c r="X76" i="17" s="1"/>
  <c r="F97" i="17"/>
  <c r="X97" i="17" s="1"/>
  <c r="H75" i="17"/>
  <c r="E11" i="17"/>
  <c r="H11" i="17"/>
  <c r="F11" i="17" s="1"/>
  <c r="X11" i="17" s="1"/>
  <c r="F107" i="17"/>
  <c r="X107" i="17" s="1"/>
  <c r="E66" i="18"/>
  <c r="Y66" i="18" s="1"/>
  <c r="B512" i="20"/>
  <c r="J365" i="19"/>
  <c r="G29" i="18" s="1"/>
  <c r="F217" i="19"/>
  <c r="A139" i="21"/>
  <c r="D139" i="21"/>
  <c r="B139" i="21" s="1"/>
  <c r="J78" i="19"/>
  <c r="G43" i="18" s="1"/>
  <c r="I400" i="19" s="1"/>
  <c r="J400" i="19" s="1"/>
  <c r="J304" i="19"/>
  <c r="G23" i="18" s="1"/>
  <c r="H31" i="22"/>
  <c r="J413" i="19"/>
  <c r="H413" i="19"/>
  <c r="L413" i="19"/>
  <c r="J58" i="19"/>
  <c r="J55" i="19" s="1"/>
  <c r="G13" i="18" s="1"/>
  <c r="H58" i="19"/>
  <c r="E61" i="18"/>
  <c r="Y61" i="18" s="1"/>
  <c r="AN229" i="21"/>
  <c r="H37" i="22"/>
  <c r="J424" i="19"/>
  <c r="J423" i="19" s="1"/>
  <c r="G36" i="18" s="1"/>
  <c r="I333" i="19" s="1"/>
  <c r="J333" i="19" s="1"/>
  <c r="L424" i="19"/>
  <c r="L423" i="19" s="1"/>
  <c r="H36" i="18" s="1"/>
  <c r="K333" i="19" s="1"/>
  <c r="L333" i="19" s="1"/>
  <c r="K43" i="19"/>
  <c r="L43" i="19" s="1"/>
  <c r="F43" i="19" s="1"/>
  <c r="D184" i="21"/>
  <c r="B184" i="21" s="1"/>
  <c r="AH184" i="21"/>
  <c r="A184" i="21"/>
  <c r="E185" i="21"/>
  <c r="B185" i="21" s="1"/>
  <c r="AH185" i="21"/>
  <c r="BB238" i="20"/>
  <c r="A238" i="20"/>
  <c r="AD1300" i="20"/>
  <c r="H153" i="19"/>
  <c r="E153" i="19"/>
  <c r="G50" i="23"/>
  <c r="G6" i="22"/>
  <c r="F230" i="19"/>
  <c r="J228" i="19"/>
  <c r="L118" i="19"/>
  <c r="H44" i="18" s="1"/>
  <c r="F125" i="19"/>
  <c r="E409" i="19"/>
  <c r="A235" i="21"/>
  <c r="F46" i="18"/>
  <c r="F65" i="18"/>
  <c r="A591" i="20"/>
  <c r="AF1259" i="20"/>
  <c r="AF1255" i="20"/>
  <c r="AB1259" i="20"/>
  <c r="AD1259" i="20" s="1"/>
  <c r="AB1261" i="20" s="1"/>
  <c r="AB1255" i="20"/>
  <c r="AD1255" i="20" s="1"/>
  <c r="E53" i="19"/>
  <c r="H53" i="19"/>
  <c r="F53" i="19" s="1"/>
  <c r="E28" i="21"/>
  <c r="B28" i="21" s="1"/>
  <c r="A28" i="21"/>
  <c r="A132" i="20"/>
  <c r="E10" i="19"/>
  <c r="H442" i="19"/>
  <c r="H34" i="22"/>
  <c r="G324" i="19"/>
  <c r="G318" i="19"/>
  <c r="H11" i="22"/>
  <c r="G30" i="19"/>
  <c r="AD1296" i="20"/>
  <c r="AX1253" i="20"/>
  <c r="A1253" i="20"/>
  <c r="H18" i="22"/>
  <c r="G309" i="19"/>
  <c r="G299" i="19"/>
  <c r="F271" i="19"/>
  <c r="J269" i="19"/>
  <c r="G65" i="18" s="1"/>
  <c r="AZ56" i="20"/>
  <c r="AV56" i="20"/>
  <c r="AX56" i="20" s="1"/>
  <c r="AN58" i="20" s="1"/>
  <c r="H39" i="19"/>
  <c r="F39" i="19" s="1"/>
  <c r="E39" i="19"/>
  <c r="AP15" i="20"/>
  <c r="A15" i="20"/>
  <c r="AF56" i="21"/>
  <c r="E56" i="21" s="1"/>
  <c r="B56" i="21" s="1"/>
  <c r="AD64" i="21"/>
  <c r="AD66" i="21" s="1"/>
  <c r="A208" i="21"/>
  <c r="A32" i="21"/>
  <c r="E32" i="21"/>
  <c r="B32" i="21" s="1"/>
  <c r="H35" i="22"/>
  <c r="G34" i="19"/>
  <c r="G48" i="19"/>
  <c r="H23" i="22"/>
  <c r="G310" i="19"/>
  <c r="G300" i="19"/>
  <c r="AB111" i="21"/>
  <c r="H5" i="22"/>
  <c r="AB137" i="21"/>
  <c r="G82" i="19"/>
  <c r="G88" i="19"/>
  <c r="AH217" i="20"/>
  <c r="C27" i="19" s="1"/>
  <c r="H27" i="19" s="1"/>
  <c r="B217" i="20"/>
  <c r="H421" i="19"/>
  <c r="H375" i="19"/>
  <c r="F375" i="19" s="1"/>
  <c r="BF250" i="20"/>
  <c r="A250" i="20"/>
  <c r="AV192" i="20"/>
  <c r="AX192" i="20" s="1"/>
  <c r="AB194" i="20" s="1"/>
  <c r="AZ192" i="20"/>
  <c r="BB192" i="20" s="1"/>
  <c r="L36" i="19"/>
  <c r="L33" i="19" s="1"/>
  <c r="H10" i="18" s="1"/>
  <c r="E36" i="19"/>
  <c r="H36" i="22"/>
  <c r="G101" i="19"/>
  <c r="L57" i="19"/>
  <c r="F57" i="19" s="1"/>
  <c r="E57" i="19"/>
  <c r="L109" i="19"/>
  <c r="H20" i="18" s="1"/>
  <c r="F116" i="19"/>
  <c r="H357" i="19"/>
  <c r="E357" i="19"/>
  <c r="B537" i="20"/>
  <c r="AH537" i="20"/>
  <c r="C76" i="19" s="1"/>
  <c r="L76" i="19" s="1"/>
  <c r="L74" i="19" s="1"/>
  <c r="H16" i="18" s="1"/>
  <c r="L58" i="19"/>
  <c r="E58" i="19"/>
  <c r="H161" i="19"/>
  <c r="E161" i="19"/>
  <c r="AX190" i="20"/>
  <c r="A190" i="20"/>
  <c r="E391" i="19"/>
  <c r="E31" i="19"/>
  <c r="AZ161" i="20"/>
  <c r="AV161" i="20"/>
  <c r="AX161" i="20" s="1"/>
  <c r="AN163" i="20" s="1"/>
  <c r="E51" i="18"/>
  <c r="Y51" i="18" s="1"/>
  <c r="E410" i="19"/>
  <c r="AH776" i="20"/>
  <c r="A776" i="20"/>
  <c r="AD29" i="20"/>
  <c r="E64" i="21"/>
  <c r="B64" i="21" s="1"/>
  <c r="A64" i="21"/>
  <c r="H24" i="22"/>
  <c r="G424" i="19"/>
  <c r="G434" i="19"/>
  <c r="AD240" i="20"/>
  <c r="C30" i="19" s="1"/>
  <c r="B240" i="20"/>
  <c r="F58" i="18"/>
  <c r="L44" i="19"/>
  <c r="E44" i="19"/>
  <c r="H44" i="19"/>
  <c r="J44" i="19"/>
  <c r="J41" i="19" s="1"/>
  <c r="G11" i="18" s="1"/>
  <c r="A209" i="21"/>
  <c r="F113" i="19"/>
  <c r="H109" i="19"/>
  <c r="E64" i="19"/>
  <c r="L64" i="19"/>
  <c r="F64" i="19" s="1"/>
  <c r="C183" i="21"/>
  <c r="B183" i="21" s="1"/>
  <c r="AH183" i="21"/>
  <c r="F54" i="18"/>
  <c r="E62" i="18"/>
  <c r="Y62" i="18" s="1"/>
  <c r="E76" i="19"/>
  <c r="G395" i="19"/>
  <c r="E45" i="18"/>
  <c r="Y45" i="18" s="1"/>
  <c r="F53" i="18"/>
  <c r="F191" i="19"/>
  <c r="AB1237" i="20"/>
  <c r="AD1237" i="20" s="1"/>
  <c r="AB1239" i="20" s="1"/>
  <c r="AF1237" i="20"/>
  <c r="I399" i="19"/>
  <c r="J399" i="19" s="1"/>
  <c r="AJ650" i="20"/>
  <c r="AF650" i="20"/>
  <c r="AH650" i="20" s="1"/>
  <c r="AB652" i="20" s="1"/>
  <c r="F175" i="19"/>
  <c r="J68" i="19"/>
  <c r="J67" i="19" s="1"/>
  <c r="G15" i="18" s="1"/>
  <c r="AD782" i="20"/>
  <c r="A183" i="21"/>
  <c r="H15" i="22"/>
  <c r="G385" i="19"/>
  <c r="G373" i="19"/>
  <c r="H25" i="22"/>
  <c r="AB68" i="21"/>
  <c r="AB30" i="21"/>
  <c r="G406" i="19"/>
  <c r="H8" i="22"/>
  <c r="G62" i="19"/>
  <c r="G56" i="19"/>
  <c r="G94" i="19"/>
  <c r="G42" i="19"/>
  <c r="AB374" i="19"/>
  <c r="AD374" i="19" s="1"/>
  <c r="L302" i="19"/>
  <c r="F302" i="19" s="1"/>
  <c r="E302" i="19"/>
  <c r="A185" i="21"/>
  <c r="L312" i="19"/>
  <c r="F312" i="19" s="1"/>
  <c r="E312" i="19"/>
  <c r="H363" i="19"/>
  <c r="E363" i="19"/>
  <c r="J414" i="19"/>
  <c r="H414" i="19"/>
  <c r="L414" i="19"/>
  <c r="L68" i="19"/>
  <c r="L67" i="19" s="1"/>
  <c r="H15" i="18" s="1"/>
  <c r="E372" i="19"/>
  <c r="H372" i="19"/>
  <c r="F372" i="19" s="1"/>
  <c r="E59" i="18"/>
  <c r="Y59" i="18" s="1"/>
  <c r="L92" i="19"/>
  <c r="H18" i="18" s="1"/>
  <c r="K435" i="19"/>
  <c r="L435" i="19" s="1"/>
  <c r="L429" i="19" s="1"/>
  <c r="H74" i="18" s="1"/>
  <c r="K338" i="19" s="1"/>
  <c r="L338" i="19" s="1"/>
  <c r="K421" i="19"/>
  <c r="L421" i="19" s="1"/>
  <c r="L420" i="19" s="1"/>
  <c r="H35" i="18" s="1"/>
  <c r="K332" i="19" s="1"/>
  <c r="L332" i="19" s="1"/>
  <c r="K417" i="19"/>
  <c r="L417" i="19" s="1"/>
  <c r="L416" i="19" s="1"/>
  <c r="H34" i="18" s="1"/>
  <c r="K331" i="19" s="1"/>
  <c r="L331" i="19" s="1"/>
  <c r="K442" i="19"/>
  <c r="L442" i="19" s="1"/>
  <c r="F256" i="19"/>
  <c r="AF20" i="21"/>
  <c r="E20" i="21" s="1"/>
  <c r="B20" i="21" s="1"/>
  <c r="AD28" i="21"/>
  <c r="AP255" i="21"/>
  <c r="F127" i="19"/>
  <c r="H301" i="19"/>
  <c r="F301" i="19" s="1"/>
  <c r="E301" i="19"/>
  <c r="L365" i="19"/>
  <c r="H29" i="18" s="1"/>
  <c r="H20" i="22"/>
  <c r="G443" i="19"/>
  <c r="G291" i="19"/>
  <c r="G84" i="19"/>
  <c r="H24" i="19"/>
  <c r="K395" i="19"/>
  <c r="L395" i="19" s="1"/>
  <c r="G68" i="18"/>
  <c r="F280" i="19"/>
  <c r="H3" i="22"/>
  <c r="G13" i="19"/>
  <c r="G5" i="19"/>
  <c r="G16" i="19"/>
  <c r="G8" i="19"/>
  <c r="L232" i="19"/>
  <c r="H58" i="18" s="1"/>
  <c r="F239" i="19"/>
  <c r="BB562" i="20"/>
  <c r="A562" i="20"/>
  <c r="E384" i="19"/>
  <c r="H384" i="19"/>
  <c r="F384" i="19" s="1"/>
  <c r="F260" i="19"/>
  <c r="F63" i="18"/>
  <c r="F204" i="19"/>
  <c r="L198" i="19"/>
  <c r="H54" i="18" s="1"/>
  <c r="F241" i="19"/>
  <c r="AP253" i="21"/>
  <c r="A253" i="21"/>
  <c r="E290" i="19"/>
  <c r="H290" i="19"/>
  <c r="F290" i="19" s="1"/>
  <c r="AP134" i="20"/>
  <c r="A207" i="21"/>
  <c r="I398" i="19"/>
  <c r="J398" i="19" s="1"/>
  <c r="H311" i="19"/>
  <c r="F311" i="19" s="1"/>
  <c r="E311" i="19"/>
  <c r="L377" i="19"/>
  <c r="H30" i="18" s="1"/>
  <c r="L183" i="19"/>
  <c r="H52" i="18" s="1"/>
  <c r="F188" i="19"/>
  <c r="BB215" i="20"/>
  <c r="A215" i="20"/>
  <c r="AD1321" i="20"/>
  <c r="H22" i="22"/>
  <c r="G9" i="19"/>
  <c r="H14" i="22"/>
  <c r="G286" i="19"/>
  <c r="H17" i="22"/>
  <c r="G287" i="19"/>
  <c r="H50" i="19"/>
  <c r="J50" i="19"/>
  <c r="J47" i="19" s="1"/>
  <c r="G12" i="18" s="1"/>
  <c r="AJ268" i="21"/>
  <c r="AL268" i="21" s="1"/>
  <c r="AJ265" i="21"/>
  <c r="AL265" i="21" s="1"/>
  <c r="AJ262" i="21"/>
  <c r="AL262" i="21" s="1"/>
  <c r="H417" i="19"/>
  <c r="H387" i="19"/>
  <c r="F387" i="19" s="1"/>
  <c r="F378" i="19"/>
  <c r="AB386" i="19"/>
  <c r="AD386" i="19" s="1"/>
  <c r="E351" i="19"/>
  <c r="H351" i="19"/>
  <c r="H145" i="19"/>
  <c r="E145" i="19"/>
  <c r="F345" i="19"/>
  <c r="L340" i="19"/>
  <c r="H71" i="18" s="1"/>
  <c r="AD564" i="20"/>
  <c r="C88" i="19" s="1"/>
  <c r="J88" i="19" s="1"/>
  <c r="B564" i="20"/>
  <c r="A252" i="20"/>
  <c r="AD252" i="20"/>
  <c r="AF252" i="20" s="1"/>
  <c r="AJ93" i="20"/>
  <c r="AF93" i="20"/>
  <c r="AH93" i="20" s="1"/>
  <c r="AF105" i="20" s="1"/>
  <c r="E27" i="19"/>
  <c r="E69" i="18"/>
  <c r="Y69" i="18" s="1"/>
  <c r="H36" i="19"/>
  <c r="J36" i="19"/>
  <c r="J33" i="19" s="1"/>
  <c r="G10" i="18" s="1"/>
  <c r="E68" i="19"/>
  <c r="H68" i="19"/>
  <c r="E56" i="18"/>
  <c r="Y56" i="18" s="1"/>
  <c r="J294" i="19"/>
  <c r="G22" i="18" s="1"/>
  <c r="E66" i="21"/>
  <c r="B66" i="21" s="1"/>
  <c r="A66" i="21"/>
  <c r="G52" i="18"/>
  <c r="AP593" i="20"/>
  <c r="AR593" i="20" s="1"/>
  <c r="A593" i="20"/>
  <c r="AD1317" i="20"/>
  <c r="E169" i="19"/>
  <c r="H169" i="19"/>
  <c r="H435" i="19"/>
  <c r="H33" i="22"/>
  <c r="G306" i="19"/>
  <c r="G296" i="19"/>
  <c r="F263" i="19" l="1"/>
  <c r="L50" i="19"/>
  <c r="L47" i="19" s="1"/>
  <c r="H12" i="18" s="1"/>
  <c r="E444" i="19"/>
  <c r="E83" i="19"/>
  <c r="O61" i="17"/>
  <c r="R61" i="17"/>
  <c r="O39" i="17"/>
  <c r="R39" i="17"/>
  <c r="O24" i="17"/>
  <c r="R24" i="17"/>
  <c r="O97" i="17"/>
  <c r="R97" i="17"/>
  <c r="O76" i="17"/>
  <c r="R76" i="17"/>
  <c r="O22" i="17"/>
  <c r="R22" i="17"/>
  <c r="O53" i="17"/>
  <c r="R53" i="17"/>
  <c r="O41" i="17"/>
  <c r="R41" i="17"/>
  <c r="O107" i="17"/>
  <c r="R107" i="17"/>
  <c r="O66" i="17"/>
  <c r="R66" i="17"/>
  <c r="O11" i="17"/>
  <c r="R11" i="17"/>
  <c r="O32" i="17"/>
  <c r="R32" i="17"/>
  <c r="O36" i="17"/>
  <c r="R36" i="17"/>
  <c r="F340" i="19"/>
  <c r="J412" i="19"/>
  <c r="G33" i="18" s="1"/>
  <c r="I248" i="19" s="1"/>
  <c r="J248" i="19" s="1"/>
  <c r="J245" i="19" s="1"/>
  <c r="G60" i="18" s="1"/>
  <c r="B60" i="34"/>
  <c r="E292" i="19"/>
  <c r="E63" i="19"/>
  <c r="L50" i="17"/>
  <c r="F50" i="17" s="1"/>
  <c r="X50" i="17" s="1"/>
  <c r="E50" i="17"/>
  <c r="F23" i="17"/>
  <c r="X23" i="17" s="1"/>
  <c r="D33" i="34"/>
  <c r="D4" i="34" s="1"/>
  <c r="AD31" i="34"/>
  <c r="D31" i="34" s="1"/>
  <c r="B31" i="34" s="1"/>
  <c r="AD29" i="34"/>
  <c r="D29" i="34" s="1"/>
  <c r="B29" i="34" s="1"/>
  <c r="B23" i="34"/>
  <c r="C4" i="34"/>
  <c r="C35" i="34"/>
  <c r="B58" i="34"/>
  <c r="B56" i="34"/>
  <c r="Y93" i="34"/>
  <c r="B93" i="34"/>
  <c r="F67" i="17"/>
  <c r="X67" i="17" s="1"/>
  <c r="E435" i="19"/>
  <c r="F42" i="17"/>
  <c r="X42" i="17" s="1"/>
  <c r="AD115" i="21"/>
  <c r="D115" i="21" s="1"/>
  <c r="E50" i="19"/>
  <c r="F435" i="19"/>
  <c r="F58" i="17"/>
  <c r="X58" i="17" s="1"/>
  <c r="F59" i="17"/>
  <c r="X59" i="17" s="1"/>
  <c r="J31" i="17"/>
  <c r="L31" i="17"/>
  <c r="H31" i="17"/>
  <c r="J35" i="17"/>
  <c r="L35" i="17"/>
  <c r="H35" i="17"/>
  <c r="J25" i="17"/>
  <c r="L25" i="17"/>
  <c r="H25" i="17"/>
  <c r="L26" i="17"/>
  <c r="J26" i="17"/>
  <c r="H26" i="17"/>
  <c r="L412" i="19"/>
  <c r="H33" i="18" s="1"/>
  <c r="K248" i="19" s="1"/>
  <c r="L248" i="19" s="1"/>
  <c r="L245" i="19" s="1"/>
  <c r="H60" i="18" s="1"/>
  <c r="F413" i="19"/>
  <c r="AF158" i="21"/>
  <c r="E158" i="21" s="1"/>
  <c r="F136" i="19"/>
  <c r="J330" i="19"/>
  <c r="G70" i="18" s="1"/>
  <c r="L304" i="19"/>
  <c r="H23" i="18" s="1"/>
  <c r="G34" i="16"/>
  <c r="L88" i="19"/>
  <c r="F207" i="19"/>
  <c r="E421" i="19"/>
  <c r="L78" i="19"/>
  <c r="H43" i="18" s="1"/>
  <c r="K400" i="19" s="1"/>
  <c r="L400" i="19" s="1"/>
  <c r="F232" i="19"/>
  <c r="L55" i="19"/>
  <c r="H13" i="18" s="1"/>
  <c r="K397" i="19" s="1"/>
  <c r="L397" i="19" s="1"/>
  <c r="F75" i="17"/>
  <c r="X75" i="17" s="1"/>
  <c r="G7" i="17"/>
  <c r="F96" i="17"/>
  <c r="X96" i="17" s="1"/>
  <c r="G8" i="17"/>
  <c r="I397" i="19"/>
  <c r="J397" i="19" s="1"/>
  <c r="L294" i="19"/>
  <c r="H22" i="18" s="1"/>
  <c r="L41" i="19"/>
  <c r="H11" i="18" s="1"/>
  <c r="E229" i="21"/>
  <c r="B229" i="21" s="1"/>
  <c r="A229" i="21"/>
  <c r="L438" i="19"/>
  <c r="H75" i="18" s="1"/>
  <c r="K427" i="19" s="1"/>
  <c r="L427" i="19" s="1"/>
  <c r="L426" i="19" s="1"/>
  <c r="H73" i="18" s="1"/>
  <c r="K335" i="19" s="1"/>
  <c r="L335" i="19" s="1"/>
  <c r="L330" i="19" s="1"/>
  <c r="H70" i="18" s="1"/>
  <c r="F58" i="19"/>
  <c r="E43" i="19"/>
  <c r="J76" i="19"/>
  <c r="J74" i="19" s="1"/>
  <c r="G16" i="18" s="1"/>
  <c r="H76" i="19"/>
  <c r="H74" i="19" s="1"/>
  <c r="AL31" i="17"/>
  <c r="F357" i="19"/>
  <c r="H353" i="19"/>
  <c r="H395" i="19"/>
  <c r="E395" i="19"/>
  <c r="E58" i="18"/>
  <c r="Y58" i="18" s="1"/>
  <c r="AP163" i="20"/>
  <c r="F421" i="19"/>
  <c r="H420" i="19"/>
  <c r="A111" i="21"/>
  <c r="AD111" i="21"/>
  <c r="C111" i="21"/>
  <c r="B111" i="21" s="1"/>
  <c r="H299" i="19"/>
  <c r="F299" i="19" s="1"/>
  <c r="E299" i="19"/>
  <c r="AH1255" i="20"/>
  <c r="A1255" i="20"/>
  <c r="K24" i="19"/>
  <c r="H6" i="22"/>
  <c r="AH105" i="20"/>
  <c r="F351" i="19"/>
  <c r="H347" i="19"/>
  <c r="E30" i="19"/>
  <c r="H30" i="19"/>
  <c r="H306" i="19"/>
  <c r="E306" i="19"/>
  <c r="F36" i="19"/>
  <c r="AH252" i="20"/>
  <c r="C31" i="19" s="1"/>
  <c r="B252" i="20"/>
  <c r="AR134" i="20"/>
  <c r="AT134" i="20" s="1"/>
  <c r="AB136" i="20" s="1"/>
  <c r="AV134" i="20"/>
  <c r="E5" i="19"/>
  <c r="F414" i="19"/>
  <c r="H412" i="19"/>
  <c r="E30" i="21"/>
  <c r="B30" i="21" s="1"/>
  <c r="A30" i="21"/>
  <c r="AH1237" i="20"/>
  <c r="A1237" i="20"/>
  <c r="AH207" i="21"/>
  <c r="AB193" i="21"/>
  <c r="C193" i="21" s="1"/>
  <c r="AB187" i="21"/>
  <c r="C187" i="21" s="1"/>
  <c r="AB201" i="21"/>
  <c r="C201" i="21" s="1"/>
  <c r="BB161" i="20"/>
  <c r="A161" i="20"/>
  <c r="F161" i="19"/>
  <c r="A194" i="20"/>
  <c r="AD194" i="20"/>
  <c r="AF194" i="20" s="1"/>
  <c r="H300" i="19"/>
  <c r="F300" i="19" s="1"/>
  <c r="E300" i="19"/>
  <c r="H309" i="19"/>
  <c r="F309" i="19" s="1"/>
  <c r="E309" i="19"/>
  <c r="H318" i="19"/>
  <c r="E318" i="19"/>
  <c r="AH1259" i="20"/>
  <c r="A1259" i="20"/>
  <c r="H310" i="19"/>
  <c r="F310" i="19" s="1"/>
  <c r="E310" i="19"/>
  <c r="AP58" i="20"/>
  <c r="H324" i="19"/>
  <c r="E324" i="19"/>
  <c r="AF187" i="21"/>
  <c r="E187" i="21" s="1"/>
  <c r="AL93" i="20"/>
  <c r="A93" i="20"/>
  <c r="E16" i="19"/>
  <c r="H406" i="19"/>
  <c r="E406" i="19"/>
  <c r="E13" i="19"/>
  <c r="H21" i="19"/>
  <c r="E68" i="21"/>
  <c r="B68" i="21" s="1"/>
  <c r="A68" i="21"/>
  <c r="F44" i="19"/>
  <c r="L61" i="19"/>
  <c r="H14" i="18" s="1"/>
  <c r="L27" i="19"/>
  <c r="L26" i="19" s="1"/>
  <c r="H8" i="18" s="1"/>
  <c r="J27" i="19"/>
  <c r="J26" i="19" s="1"/>
  <c r="G8" i="18" s="1"/>
  <c r="BB56" i="20"/>
  <c r="A56" i="20"/>
  <c r="E65" i="18"/>
  <c r="Y65" i="18" s="1"/>
  <c r="E8" i="19"/>
  <c r="AZ782" i="20"/>
  <c r="AV782" i="20"/>
  <c r="AX782" i="20" s="1"/>
  <c r="AN784" i="20" s="1"/>
  <c r="AJ1317" i="20"/>
  <c r="AF1317" i="20"/>
  <c r="AH1317" i="20" s="1"/>
  <c r="AJ1321" i="20" s="1"/>
  <c r="AF1239" i="20"/>
  <c r="AD1239" i="20"/>
  <c r="E84" i="19"/>
  <c r="H84" i="19"/>
  <c r="F84" i="19" s="1"/>
  <c r="AD30" i="21"/>
  <c r="AD32" i="21" s="1"/>
  <c r="AD34" i="21" s="1"/>
  <c r="AD36" i="21" s="1"/>
  <c r="F363" i="19"/>
  <c r="H359" i="19"/>
  <c r="H94" i="19"/>
  <c r="E94" i="19"/>
  <c r="H373" i="19"/>
  <c r="E373" i="19"/>
  <c r="AD652" i="20"/>
  <c r="E53" i="18"/>
  <c r="Y53" i="18" s="1"/>
  <c r="J30" i="19"/>
  <c r="L30" i="19"/>
  <c r="E44" i="18"/>
  <c r="Y44" i="18" s="1"/>
  <c r="E101" i="19"/>
  <c r="H88" i="19"/>
  <c r="E88" i="19"/>
  <c r="E48" i="19"/>
  <c r="H48" i="19"/>
  <c r="AD68" i="21"/>
  <c r="AD72" i="21" s="1"/>
  <c r="AD74" i="21" s="1"/>
  <c r="F442" i="19"/>
  <c r="F269" i="19"/>
  <c r="A1261" i="20"/>
  <c r="AD1261" i="20"/>
  <c r="H296" i="19"/>
  <c r="E296" i="19"/>
  <c r="AV593" i="20"/>
  <c r="AX593" i="20" s="1"/>
  <c r="AT593" i="20"/>
  <c r="AB595" i="20" s="1"/>
  <c r="H26" i="19"/>
  <c r="F169" i="19"/>
  <c r="F183" i="19"/>
  <c r="E417" i="19"/>
  <c r="H291" i="19"/>
  <c r="F291" i="19" s="1"/>
  <c r="E291" i="19"/>
  <c r="E56" i="19"/>
  <c r="H56" i="19"/>
  <c r="E385" i="19"/>
  <c r="H385" i="19"/>
  <c r="F385" i="19" s="1"/>
  <c r="E71" i="18"/>
  <c r="Y71" i="18" s="1"/>
  <c r="AL650" i="20"/>
  <c r="A650" i="20"/>
  <c r="E54" i="18"/>
  <c r="Y54" i="18" s="1"/>
  <c r="F109" i="19"/>
  <c r="F20" i="18"/>
  <c r="H434" i="19"/>
  <c r="E434" i="19"/>
  <c r="F118" i="19"/>
  <c r="E55" i="18"/>
  <c r="Y55" i="18" s="1"/>
  <c r="E82" i="19"/>
  <c r="H82" i="19"/>
  <c r="E34" i="19"/>
  <c r="H34" i="19"/>
  <c r="E442" i="19"/>
  <c r="G401" i="19"/>
  <c r="E46" i="18"/>
  <c r="Y46" i="18" s="1"/>
  <c r="F228" i="19"/>
  <c r="G57" i="18"/>
  <c r="F153" i="19"/>
  <c r="AD187" i="21"/>
  <c r="D187" i="21" s="1"/>
  <c r="AD193" i="21"/>
  <c r="D193" i="21" s="1"/>
  <c r="AD199" i="21"/>
  <c r="AB191" i="21"/>
  <c r="E9" i="19"/>
  <c r="H9" i="19"/>
  <c r="F9" i="19" s="1"/>
  <c r="A192" i="20"/>
  <c r="F50" i="19"/>
  <c r="AV255" i="21"/>
  <c r="AR255" i="21"/>
  <c r="AT255" i="21" s="1"/>
  <c r="E42" i="19"/>
  <c r="H42" i="19"/>
  <c r="AD124" i="21"/>
  <c r="D124" i="21" s="1"/>
  <c r="AD132" i="21"/>
  <c r="AD133" i="21" s="1"/>
  <c r="AD138" i="21" s="1"/>
  <c r="AD139" i="21" s="1"/>
  <c r="E287" i="19"/>
  <c r="E52" i="18"/>
  <c r="Y52" i="18" s="1"/>
  <c r="F68" i="19"/>
  <c r="H67" i="19"/>
  <c r="F145" i="19"/>
  <c r="F417" i="19"/>
  <c r="H416" i="19"/>
  <c r="E286" i="19"/>
  <c r="H286" i="19"/>
  <c r="E63" i="18"/>
  <c r="Y63" i="18" s="1"/>
  <c r="E68" i="18"/>
  <c r="Y68" i="18" s="1"/>
  <c r="H443" i="19"/>
  <c r="F443" i="19" s="1"/>
  <c r="E443" i="19"/>
  <c r="K398" i="19"/>
  <c r="L398" i="19" s="1"/>
  <c r="E62" i="19"/>
  <c r="H62" i="19"/>
  <c r="F198" i="19"/>
  <c r="H424" i="19"/>
  <c r="E424" i="19"/>
  <c r="AV29" i="20"/>
  <c r="AR29" i="20"/>
  <c r="AT29" i="20" s="1"/>
  <c r="AB31" i="20" s="1"/>
  <c r="A137" i="21"/>
  <c r="C137" i="21"/>
  <c r="B137" i="21" s="1"/>
  <c r="AJ1296" i="20"/>
  <c r="AF1296" i="20"/>
  <c r="AH1296" i="20" s="1"/>
  <c r="AJ1300" i="20" s="1"/>
  <c r="AB1257" i="20"/>
  <c r="AD1257" i="20" s="1"/>
  <c r="AF1257" i="20"/>
  <c r="B33" i="34" l="1"/>
  <c r="O75" i="17"/>
  <c r="R75" i="17"/>
  <c r="O42" i="17"/>
  <c r="R42" i="17"/>
  <c r="O59" i="17"/>
  <c r="R59" i="17"/>
  <c r="O58" i="17"/>
  <c r="R58" i="17"/>
  <c r="O23" i="17"/>
  <c r="R23" i="17"/>
  <c r="O50" i="17"/>
  <c r="R50" i="17"/>
  <c r="O67" i="17"/>
  <c r="R67" i="17"/>
  <c r="O96" i="17"/>
  <c r="R96" i="17"/>
  <c r="B35" i="34"/>
  <c r="Y35" i="34"/>
  <c r="B4" i="34"/>
  <c r="Y4" i="34"/>
  <c r="F26" i="17"/>
  <c r="X26" i="17" s="1"/>
  <c r="G33" i="16"/>
  <c r="F35" i="17"/>
  <c r="X35" i="17" s="1"/>
  <c r="L34" i="17"/>
  <c r="J34" i="17"/>
  <c r="H34" i="17"/>
  <c r="J33" i="17"/>
  <c r="L33" i="17"/>
  <c r="H33" i="17"/>
  <c r="F31" i="17"/>
  <c r="X31" i="17" s="1"/>
  <c r="J15" i="17"/>
  <c r="L15" i="17"/>
  <c r="H15" i="17"/>
  <c r="L14" i="17"/>
  <c r="J14" i="17"/>
  <c r="H14" i="17"/>
  <c r="J19" i="17"/>
  <c r="L19" i="17"/>
  <c r="H19" i="17"/>
  <c r="F25" i="17"/>
  <c r="X25" i="17" s="1"/>
  <c r="AF1261" i="20"/>
  <c r="AH1261" i="20" s="1"/>
  <c r="C391" i="19" s="1"/>
  <c r="E7" i="17"/>
  <c r="H7" i="17"/>
  <c r="F7" i="17" s="1"/>
  <c r="X7" i="17" s="1"/>
  <c r="E8" i="17"/>
  <c r="H8" i="17"/>
  <c r="F8" i="17" s="1"/>
  <c r="X8" i="17" s="1"/>
  <c r="F76" i="19"/>
  <c r="H438" i="19"/>
  <c r="F438" i="19" s="1"/>
  <c r="P19" i="16"/>
  <c r="AX29" i="20"/>
  <c r="A29" i="20"/>
  <c r="F26" i="19"/>
  <c r="F8" i="18"/>
  <c r="F88" i="19"/>
  <c r="F30" i="19"/>
  <c r="F67" i="19"/>
  <c r="F15" i="18"/>
  <c r="E20" i="18"/>
  <c r="Y20" i="18" s="1"/>
  <c r="AD595" i="20"/>
  <c r="C89" i="19" s="1"/>
  <c r="B595" i="20"/>
  <c r="AJ652" i="20"/>
  <c r="AF652" i="20"/>
  <c r="AH652" i="20" s="1"/>
  <c r="AL1321" i="20"/>
  <c r="F406" i="19"/>
  <c r="F324" i="19"/>
  <c r="H320" i="19"/>
  <c r="F318" i="19"/>
  <c r="H314" i="19"/>
  <c r="AD136" i="20"/>
  <c r="AF136" i="20" s="1"/>
  <c r="A136" i="20"/>
  <c r="F347" i="19"/>
  <c r="F26" i="18"/>
  <c r="AR163" i="20"/>
  <c r="AT163" i="20" s="1"/>
  <c r="AB165" i="20" s="1"/>
  <c r="AV163" i="20"/>
  <c r="H92" i="19"/>
  <c r="F94" i="19"/>
  <c r="AB217" i="21"/>
  <c r="C217" i="21" s="1"/>
  <c r="AB211" i="21"/>
  <c r="C211" i="21" s="1"/>
  <c r="AP226" i="21"/>
  <c r="H429" i="19"/>
  <c r="F434" i="19"/>
  <c r="F359" i="19"/>
  <c r="F28" i="18"/>
  <c r="F286" i="19"/>
  <c r="H41" i="19"/>
  <c r="F42" i="19"/>
  <c r="E57" i="18"/>
  <c r="Y57" i="18" s="1"/>
  <c r="F82" i="19"/>
  <c r="H78" i="19"/>
  <c r="E40" i="21"/>
  <c r="AF38" i="21"/>
  <c r="E38" i="21" s="1"/>
  <c r="B38" i="21" s="1"/>
  <c r="AL1317" i="20"/>
  <c r="A1317" i="20"/>
  <c r="AL1296" i="20"/>
  <c r="A1296" i="20"/>
  <c r="E78" i="21"/>
  <c r="AF76" i="21"/>
  <c r="E76" i="21" s="1"/>
  <c r="B76" i="21" s="1"/>
  <c r="AP784" i="20"/>
  <c r="F41" i="18"/>
  <c r="AV58" i="20"/>
  <c r="AR58" i="20"/>
  <c r="AT58" i="20" s="1"/>
  <c r="AB60" i="20" s="1"/>
  <c r="L31" i="19"/>
  <c r="L29" i="19" s="1"/>
  <c r="H9" i="18" s="1"/>
  <c r="J31" i="19"/>
  <c r="J29" i="19" s="1"/>
  <c r="G9" i="18" s="1"/>
  <c r="H31" i="19"/>
  <c r="A1257" i="20"/>
  <c r="AH1257" i="20"/>
  <c r="K399" i="19"/>
  <c r="L399" i="19" s="1"/>
  <c r="AX134" i="20"/>
  <c r="A134" i="20"/>
  <c r="F412" i="19"/>
  <c r="F33" i="18"/>
  <c r="AN105" i="20"/>
  <c r="AJ105" i="20"/>
  <c r="AL105" i="20" s="1"/>
  <c r="AB107" i="20" s="1"/>
  <c r="AB124" i="21"/>
  <c r="C124" i="21" s="1"/>
  <c r="B124" i="21" s="1"/>
  <c r="AD137" i="21"/>
  <c r="AB115" i="21"/>
  <c r="C115" i="21" s="1"/>
  <c r="B115" i="21" s="1"/>
  <c r="F395" i="19"/>
  <c r="F34" i="19"/>
  <c r="H33" i="19"/>
  <c r="F27" i="19"/>
  <c r="B1261" i="20"/>
  <c r="AL1300" i="20"/>
  <c r="AB257" i="21"/>
  <c r="AJ259" i="21"/>
  <c r="F62" i="19"/>
  <c r="H61" i="19"/>
  <c r="AX255" i="21"/>
  <c r="A255" i="21"/>
  <c r="AH208" i="21"/>
  <c r="AD201" i="21"/>
  <c r="D201" i="21" s="1"/>
  <c r="F296" i="19"/>
  <c r="H294" i="19"/>
  <c r="F373" i="19"/>
  <c r="H365" i="19"/>
  <c r="B187" i="21"/>
  <c r="F353" i="19"/>
  <c r="F27" i="18"/>
  <c r="H423" i="19"/>
  <c r="F424" i="19"/>
  <c r="F416" i="19"/>
  <c r="F34" i="18"/>
  <c r="A191" i="21"/>
  <c r="E191" i="21"/>
  <c r="B191" i="21" s="1"/>
  <c r="F56" i="19"/>
  <c r="H55" i="19"/>
  <c r="H47" i="19"/>
  <c r="F48" i="19"/>
  <c r="BB782" i="20"/>
  <c r="A782" i="20"/>
  <c r="AD31" i="20"/>
  <c r="C5" i="19" s="1"/>
  <c r="B31" i="20"/>
  <c r="AD141" i="21"/>
  <c r="D141" i="21" s="1"/>
  <c r="AD147" i="21"/>
  <c r="AD148" i="21" s="1"/>
  <c r="H401" i="19"/>
  <c r="F401" i="19" s="1"/>
  <c r="E401" i="19"/>
  <c r="H377" i="19"/>
  <c r="AH1239" i="20"/>
  <c r="C390" i="19" s="1"/>
  <c r="B1239" i="20"/>
  <c r="F16" i="18"/>
  <c r="F74" i="19"/>
  <c r="AD191" i="21"/>
  <c r="AH194" i="20"/>
  <c r="C19" i="19" s="1"/>
  <c r="B194" i="20"/>
  <c r="F306" i="19"/>
  <c r="H304" i="19"/>
  <c r="L24" i="19"/>
  <c r="E24" i="19"/>
  <c r="F420" i="19"/>
  <c r="F35" i="18"/>
  <c r="O8" i="17" l="1"/>
  <c r="R8" i="17"/>
  <c r="O7" i="17"/>
  <c r="R7" i="17"/>
  <c r="O31" i="17"/>
  <c r="R31" i="17"/>
  <c r="O25" i="17"/>
  <c r="R25" i="17"/>
  <c r="O35" i="17"/>
  <c r="R35" i="17"/>
  <c r="O26" i="17"/>
  <c r="R26" i="17"/>
  <c r="F75" i="18"/>
  <c r="E75" i="18" s="1"/>
  <c r="Y75" i="18" s="1"/>
  <c r="H30" i="17"/>
  <c r="G6" i="17" s="1"/>
  <c r="F19" i="17"/>
  <c r="X19" i="17" s="1"/>
  <c r="F15" i="17"/>
  <c r="X15" i="17" s="1"/>
  <c r="J30" i="17"/>
  <c r="I6" i="17" s="1"/>
  <c r="J6" i="17" s="1"/>
  <c r="L30" i="17"/>
  <c r="K6" i="17" s="1"/>
  <c r="L6" i="17" s="1"/>
  <c r="F33" i="17"/>
  <c r="X33" i="17" s="1"/>
  <c r="F34" i="17"/>
  <c r="X34" i="17" s="1"/>
  <c r="L18" i="17"/>
  <c r="J18" i="17"/>
  <c r="H18" i="17"/>
  <c r="J28" i="17"/>
  <c r="L28" i="17"/>
  <c r="H28" i="17"/>
  <c r="F14" i="17"/>
  <c r="X14" i="17" s="1"/>
  <c r="F31" i="19"/>
  <c r="H29" i="19"/>
  <c r="F29" i="19" s="1"/>
  <c r="E4" i="21"/>
  <c r="H37" i="18" s="1"/>
  <c r="B40" i="21"/>
  <c r="E26" i="18"/>
  <c r="Y26" i="18" s="1"/>
  <c r="AF201" i="21"/>
  <c r="E201" i="21" s="1"/>
  <c r="B201" i="21" s="1"/>
  <c r="AF193" i="21"/>
  <c r="E193" i="21" s="1"/>
  <c r="B193" i="21" s="1"/>
  <c r="AH209" i="21"/>
  <c r="AM31" i="17"/>
  <c r="F13" i="18"/>
  <c r="F55" i="19"/>
  <c r="G331" i="19"/>
  <c r="E34" i="18"/>
  <c r="Y34" i="18" s="1"/>
  <c r="F29" i="18"/>
  <c r="F365" i="19"/>
  <c r="L391" i="19"/>
  <c r="J391" i="19"/>
  <c r="H391" i="19"/>
  <c r="AB150" i="21"/>
  <c r="C150" i="21" s="1"/>
  <c r="AB158" i="21"/>
  <c r="C158" i="21" s="1"/>
  <c r="AB161" i="21"/>
  <c r="AB156" i="21"/>
  <c r="C156" i="21" s="1"/>
  <c r="AB141" i="21"/>
  <c r="C141" i="21" s="1"/>
  <c r="B141" i="21" s="1"/>
  <c r="AB231" i="21"/>
  <c r="C231" i="21" s="1"/>
  <c r="AD165" i="20"/>
  <c r="AF165" i="20" s="1"/>
  <c r="A165" i="20"/>
  <c r="H89" i="19"/>
  <c r="J89" i="19"/>
  <c r="J86" i="19" s="1"/>
  <c r="G17" i="18" s="1"/>
  <c r="L89" i="19"/>
  <c r="L86" i="19" s="1"/>
  <c r="H17" i="18" s="1"/>
  <c r="G332" i="19"/>
  <c r="E35" i="18"/>
  <c r="Y35" i="18" s="1"/>
  <c r="H19" i="19"/>
  <c r="J19" i="19"/>
  <c r="J18" i="19" s="1"/>
  <c r="G7" i="18" s="1"/>
  <c r="L19" i="19"/>
  <c r="L18" i="19" s="1"/>
  <c r="H7" i="18" s="1"/>
  <c r="H390" i="19"/>
  <c r="J390" i="19"/>
  <c r="L390" i="19"/>
  <c r="F47" i="19"/>
  <c r="F12" i="18"/>
  <c r="AV784" i="20"/>
  <c r="AR784" i="20"/>
  <c r="AT784" i="20" s="1"/>
  <c r="AB786" i="20" s="1"/>
  <c r="F41" i="19"/>
  <c r="F11" i="18"/>
  <c r="F429" i="19"/>
  <c r="F74" i="18"/>
  <c r="F61" i="19"/>
  <c r="F14" i="18"/>
  <c r="L21" i="19"/>
  <c r="F24" i="19"/>
  <c r="E16" i="18"/>
  <c r="Y16" i="18" s="1"/>
  <c r="F377" i="19"/>
  <c r="F30" i="18"/>
  <c r="J5" i="19"/>
  <c r="J4" i="19" s="1"/>
  <c r="G3" i="18" s="1"/>
  <c r="L5" i="19"/>
  <c r="L4" i="19" s="1"/>
  <c r="H3" i="18" s="1"/>
  <c r="H5" i="19"/>
  <c r="F10" i="18"/>
  <c r="F33" i="19"/>
  <c r="AD107" i="20"/>
  <c r="C10" i="19" s="1"/>
  <c r="B107" i="20"/>
  <c r="AH136" i="20"/>
  <c r="C13" i="19" s="1"/>
  <c r="B136" i="20"/>
  <c r="AR1321" i="20"/>
  <c r="AT1321" i="20" s="1"/>
  <c r="AV1321" i="20"/>
  <c r="E8" i="18"/>
  <c r="Y8" i="18" s="1"/>
  <c r="F423" i="19"/>
  <c r="F36" i="18"/>
  <c r="F294" i="19"/>
  <c r="F22" i="18"/>
  <c r="AL259" i="21"/>
  <c r="AP105" i="20"/>
  <c r="A105" i="20"/>
  <c r="E42" i="21"/>
  <c r="H38" i="18" s="1"/>
  <c r="B78" i="21"/>
  <c r="F24" i="18"/>
  <c r="F314" i="19"/>
  <c r="AB656" i="20"/>
  <c r="AF658" i="20"/>
  <c r="AD217" i="21"/>
  <c r="D217" i="21" s="1"/>
  <c r="AD211" i="21"/>
  <c r="D211" i="21" s="1"/>
  <c r="AB215" i="21"/>
  <c r="AD231" i="21"/>
  <c r="D231" i="21" s="1"/>
  <c r="F304" i="19"/>
  <c r="F23" i="18"/>
  <c r="E33" i="18"/>
  <c r="Y33" i="18" s="1"/>
  <c r="G248" i="19"/>
  <c r="AV1300" i="20"/>
  <c r="AR1300" i="20"/>
  <c r="AT1300" i="20" s="1"/>
  <c r="AN1303" i="20" s="1"/>
  <c r="AD257" i="21"/>
  <c r="AD60" i="20"/>
  <c r="AF60" i="20" s="1"/>
  <c r="A60" i="20"/>
  <c r="F78" i="19"/>
  <c r="F43" i="18"/>
  <c r="E28" i="18"/>
  <c r="Y28" i="18" s="1"/>
  <c r="F18" i="18"/>
  <c r="F92" i="19"/>
  <c r="AL652" i="20"/>
  <c r="A652" i="20"/>
  <c r="E15" i="18"/>
  <c r="Y15" i="18" s="1"/>
  <c r="AD156" i="21"/>
  <c r="D156" i="21" s="1"/>
  <c r="AD150" i="21"/>
  <c r="D150" i="21" s="1"/>
  <c r="AD158" i="21"/>
  <c r="D158" i="21" s="1"/>
  <c r="E27" i="18"/>
  <c r="Y27" i="18" s="1"/>
  <c r="AX58" i="20"/>
  <c r="A58" i="20"/>
  <c r="AX163" i="20"/>
  <c r="A163" i="20"/>
  <c r="F320" i="19"/>
  <c r="F25" i="18"/>
  <c r="G427" i="19" l="1"/>
  <c r="O15" i="17"/>
  <c r="R15" i="17"/>
  <c r="O19" i="17"/>
  <c r="R19" i="17"/>
  <c r="O14" i="17"/>
  <c r="R14" i="17"/>
  <c r="O34" i="17"/>
  <c r="R34" i="17"/>
  <c r="O33" i="17"/>
  <c r="R33" i="17"/>
  <c r="F9" i="18"/>
  <c r="E9" i="18" s="1"/>
  <c r="Y9" i="18" s="1"/>
  <c r="F28" i="17"/>
  <c r="X28" i="17" s="1"/>
  <c r="F30" i="17"/>
  <c r="X30" i="17" s="1"/>
  <c r="H6" i="17"/>
  <c r="F6" i="17" s="1"/>
  <c r="X6" i="17" s="1"/>
  <c r="E6" i="17"/>
  <c r="F18" i="17"/>
  <c r="X18" i="17" s="1"/>
  <c r="L21" i="17"/>
  <c r="J21" i="17"/>
  <c r="H21" i="17"/>
  <c r="L20" i="17"/>
  <c r="J20" i="17"/>
  <c r="H20" i="17"/>
  <c r="B156" i="21"/>
  <c r="AP1303" i="20"/>
  <c r="E11" i="18"/>
  <c r="Y11" i="18" s="1"/>
  <c r="B158" i="21"/>
  <c r="H331" i="19"/>
  <c r="E331" i="19"/>
  <c r="B42" i="21"/>
  <c r="Y42" i="21"/>
  <c r="E10" i="18"/>
  <c r="Y10" i="18" s="1"/>
  <c r="H4" i="19"/>
  <c r="F5" i="19"/>
  <c r="H41" i="18"/>
  <c r="F21" i="19"/>
  <c r="B150" i="21"/>
  <c r="G333" i="19"/>
  <c r="E36" i="18"/>
  <c r="Y36" i="18" s="1"/>
  <c r="E12" i="18"/>
  <c r="Y12" i="18" s="1"/>
  <c r="AH165" i="20"/>
  <c r="C16" i="19" s="1"/>
  <c r="B165" i="20"/>
  <c r="E29" i="18"/>
  <c r="Y29" i="18" s="1"/>
  <c r="AX1300" i="20"/>
  <c r="A1300" i="20"/>
  <c r="J13" i="19"/>
  <c r="J12" i="19" s="1"/>
  <c r="G5" i="18" s="1"/>
  <c r="L13" i="19"/>
  <c r="L12" i="19" s="1"/>
  <c r="H5" i="18" s="1"/>
  <c r="H13" i="19"/>
  <c r="A161" i="21"/>
  <c r="AD161" i="21"/>
  <c r="E163" i="21" s="1"/>
  <c r="E161" i="21"/>
  <c r="B161" i="21" s="1"/>
  <c r="H248" i="19"/>
  <c r="E248" i="19"/>
  <c r="B658" i="20"/>
  <c r="AH658" i="20"/>
  <c r="C101" i="19" s="1"/>
  <c r="H427" i="19"/>
  <c r="E427" i="19"/>
  <c r="AD786" i="20"/>
  <c r="C287" i="19" s="1"/>
  <c r="B786" i="20"/>
  <c r="L392" i="19"/>
  <c r="AB391" i="19"/>
  <c r="AD391" i="19" s="1"/>
  <c r="F390" i="19"/>
  <c r="F391" i="19"/>
  <c r="G397" i="19"/>
  <c r="E13" i="18"/>
  <c r="Y13" i="18" s="1"/>
  <c r="B4" i="21"/>
  <c r="Y4" i="21"/>
  <c r="B60" i="20"/>
  <c r="AH60" i="20"/>
  <c r="C8" i="19" s="1"/>
  <c r="E25" i="18"/>
  <c r="Y25" i="18" s="1"/>
  <c r="AD656" i="20"/>
  <c r="AR259" i="21"/>
  <c r="AN259" i="21"/>
  <c r="AP259" i="21" s="1"/>
  <c r="E14" i="18"/>
  <c r="Y14" i="18" s="1"/>
  <c r="G399" i="19"/>
  <c r="AX784" i="20"/>
  <c r="A784" i="20"/>
  <c r="E37" i="18"/>
  <c r="Y37" i="18" s="1"/>
  <c r="E43" i="18"/>
  <c r="Y43" i="18" s="1"/>
  <c r="G400" i="19"/>
  <c r="E38" i="18"/>
  <c r="Y38" i="18" s="1"/>
  <c r="H332" i="19"/>
  <c r="F332" i="19" s="1"/>
  <c r="E332" i="19"/>
  <c r="E23" i="18"/>
  <c r="Y23" i="18" s="1"/>
  <c r="G398" i="19"/>
  <c r="E18" i="18"/>
  <c r="Y18" i="18" s="1"/>
  <c r="AN257" i="21"/>
  <c r="AJ257" i="21"/>
  <c r="AL257" i="21" s="1"/>
  <c r="E22" i="18"/>
  <c r="Y22" i="18" s="1"/>
  <c r="AX1321" i="20"/>
  <c r="A1321" i="20"/>
  <c r="J10" i="19"/>
  <c r="H10" i="19"/>
  <c r="L10" i="19"/>
  <c r="E30" i="18"/>
  <c r="Y30" i="18" s="1"/>
  <c r="F89" i="19"/>
  <c r="H86" i="19"/>
  <c r="E215" i="21"/>
  <c r="B215" i="21" s="1"/>
  <c r="A215" i="21"/>
  <c r="E24" i="18"/>
  <c r="Y24" i="18" s="1"/>
  <c r="AB1326" i="20"/>
  <c r="AD1326" i="20" s="1"/>
  <c r="AB1328" i="20" s="1"/>
  <c r="AN1324" i="20"/>
  <c r="AF1326" i="20"/>
  <c r="G338" i="19"/>
  <c r="E74" i="18"/>
  <c r="Y74" i="18" s="1"/>
  <c r="F19" i="19"/>
  <c r="H18" i="19"/>
  <c r="AF211" i="21"/>
  <c r="E211" i="21" s="1"/>
  <c r="B211" i="21" s="1"/>
  <c r="AD215" i="21"/>
  <c r="O18" i="17" l="1"/>
  <c r="R18" i="17"/>
  <c r="O28" i="17"/>
  <c r="R28" i="17"/>
  <c r="O6" i="17"/>
  <c r="R6" i="17"/>
  <c r="O30" i="17"/>
  <c r="R30" i="17"/>
  <c r="F20" i="17"/>
  <c r="X20" i="17" s="1"/>
  <c r="F21" i="17"/>
  <c r="X21" i="17" s="1"/>
  <c r="H12" i="19"/>
  <c r="F13" i="19"/>
  <c r="F18" i="19"/>
  <c r="F7" i="18"/>
  <c r="F392" i="19"/>
  <c r="L389" i="19"/>
  <c r="F10" i="19"/>
  <c r="AT259" i="21"/>
  <c r="A259" i="21"/>
  <c r="AN656" i="20"/>
  <c r="AJ656" i="20"/>
  <c r="AL656" i="20" s="1"/>
  <c r="F248" i="19"/>
  <c r="H245" i="19"/>
  <c r="E41" i="18"/>
  <c r="Y41" i="18" s="1"/>
  <c r="AP257" i="21"/>
  <c r="A257" i="21"/>
  <c r="J101" i="19"/>
  <c r="J99" i="19" s="1"/>
  <c r="G19" i="18" s="1"/>
  <c r="L101" i="19"/>
  <c r="L99" i="19" s="1"/>
  <c r="H19" i="18" s="1"/>
  <c r="H101" i="19"/>
  <c r="L287" i="19"/>
  <c r="L284" i="19" s="1"/>
  <c r="H21" i="18" s="1"/>
  <c r="J287" i="19"/>
  <c r="J284" i="19" s="1"/>
  <c r="G21" i="18" s="1"/>
  <c r="H287" i="19"/>
  <c r="AH1326" i="20"/>
  <c r="A1326" i="20"/>
  <c r="F17" i="18"/>
  <c r="F86" i="19"/>
  <c r="H398" i="19"/>
  <c r="F398" i="19" s="1"/>
  <c r="E398" i="19"/>
  <c r="E399" i="19"/>
  <c r="H399" i="19"/>
  <c r="F399" i="19" s="1"/>
  <c r="H397" i="19"/>
  <c r="F397" i="19" s="1"/>
  <c r="E397" i="19"/>
  <c r="AV1303" i="20"/>
  <c r="AR1303" i="20"/>
  <c r="AT1303" i="20" s="1"/>
  <c r="AB1305" i="20" s="1"/>
  <c r="E338" i="19"/>
  <c r="H338" i="19"/>
  <c r="F338" i="19" s="1"/>
  <c r="AP1324" i="20"/>
  <c r="H426" i="19"/>
  <c r="F427" i="19"/>
  <c r="B163" i="21"/>
  <c r="E80" i="21"/>
  <c r="H39" i="18" s="1"/>
  <c r="H333" i="19"/>
  <c r="F333" i="19" s="1"/>
  <c r="E333" i="19"/>
  <c r="F4" i="19"/>
  <c r="F3" i="18"/>
  <c r="F331" i="19"/>
  <c r="J16" i="19"/>
  <c r="J15" i="19" s="1"/>
  <c r="G6" i="18" s="1"/>
  <c r="L16" i="19"/>
  <c r="L15" i="19" s="1"/>
  <c r="H6" i="18" s="1"/>
  <c r="H16" i="19"/>
  <c r="AB262" i="21"/>
  <c r="AB268" i="21"/>
  <c r="AB265" i="21"/>
  <c r="AF217" i="21"/>
  <c r="E217" i="21" s="1"/>
  <c r="B217" i="21" s="1"/>
  <c r="AP229" i="21"/>
  <c r="AD1328" i="20"/>
  <c r="A1328" i="20"/>
  <c r="E400" i="19"/>
  <c r="H400" i="19"/>
  <c r="F400" i="19" s="1"/>
  <c r="J8" i="19"/>
  <c r="J7" i="19" s="1"/>
  <c r="G4" i="18" s="1"/>
  <c r="L8" i="19"/>
  <c r="L7" i="19" s="1"/>
  <c r="H4" i="18" s="1"/>
  <c r="H8" i="19"/>
  <c r="O21" i="17" l="1"/>
  <c r="R21" i="17"/>
  <c r="O20" i="17"/>
  <c r="R20" i="17"/>
  <c r="J17" i="17"/>
  <c r="L17" i="17"/>
  <c r="H17" i="17"/>
  <c r="J16" i="17"/>
  <c r="L16" i="17"/>
  <c r="H16" i="17"/>
  <c r="H13" i="17" s="1"/>
  <c r="H15" i="19"/>
  <c r="F16" i="19"/>
  <c r="F60" i="18"/>
  <c r="F245" i="19"/>
  <c r="AF231" i="21"/>
  <c r="E231" i="21" s="1"/>
  <c r="B231" i="21" s="1"/>
  <c r="E39" i="18"/>
  <c r="Y39" i="18" s="1"/>
  <c r="H7" i="19"/>
  <c r="F8" i="19"/>
  <c r="Y80" i="21"/>
  <c r="B80" i="21"/>
  <c r="AD265" i="21"/>
  <c r="AN265" i="21" s="1"/>
  <c r="A265" i="21" s="1"/>
  <c r="AD1305" i="20"/>
  <c r="C409" i="19" s="1"/>
  <c r="B1305" i="20"/>
  <c r="H99" i="19"/>
  <c r="F101" i="19"/>
  <c r="AP656" i="20"/>
  <c r="A656" i="20"/>
  <c r="E7" i="18"/>
  <c r="Y7" i="18" s="1"/>
  <c r="AX1303" i="20"/>
  <c r="A1303" i="20"/>
  <c r="E17" i="18"/>
  <c r="Y17" i="18" s="1"/>
  <c r="AD262" i="21"/>
  <c r="AN262" i="21" s="1"/>
  <c r="E3" i="18"/>
  <c r="Y3" i="18" s="1"/>
  <c r="I396" i="19"/>
  <c r="J396" i="19" s="1"/>
  <c r="AD268" i="21"/>
  <c r="AN268" i="21" s="1"/>
  <c r="E268" i="21" s="1"/>
  <c r="B268" i="21" s="1"/>
  <c r="K396" i="19"/>
  <c r="L396" i="19" s="1"/>
  <c r="F426" i="19"/>
  <c r="F73" i="18"/>
  <c r="AV1324" i="20"/>
  <c r="AR1324" i="20"/>
  <c r="AT1324" i="20" s="1"/>
  <c r="AF1328" i="20" s="1"/>
  <c r="F287" i="19"/>
  <c r="H284" i="19"/>
  <c r="F389" i="19"/>
  <c r="H31" i="18"/>
  <c r="F5" i="18"/>
  <c r="F12" i="19"/>
  <c r="J13" i="17" l="1"/>
  <c r="L13" i="17"/>
  <c r="K5" i="17" s="1"/>
  <c r="L5" i="17" s="1"/>
  <c r="I5" i="17"/>
  <c r="J5" i="17" s="1"/>
  <c r="F17" i="17"/>
  <c r="X17" i="17" s="1"/>
  <c r="F16" i="17"/>
  <c r="X16" i="17" s="1"/>
  <c r="F99" i="19"/>
  <c r="F19" i="18"/>
  <c r="C262" i="21"/>
  <c r="B262" i="21" s="1"/>
  <c r="AP262" i="21"/>
  <c r="E5" i="18"/>
  <c r="Y5" i="18" s="1"/>
  <c r="E31" i="18"/>
  <c r="Y31" i="18" s="1"/>
  <c r="G335" i="19"/>
  <c r="E73" i="18"/>
  <c r="Y73" i="18" s="1"/>
  <c r="F15" i="19"/>
  <c r="F6" i="18"/>
  <c r="F284" i="19"/>
  <c r="F21" i="18"/>
  <c r="B1328" i="20"/>
  <c r="AH1328" i="20"/>
  <c r="C410" i="19" s="1"/>
  <c r="AX1324" i="20"/>
  <c r="A1324" i="20"/>
  <c r="H409" i="19"/>
  <c r="L409" i="19"/>
  <c r="J409" i="19"/>
  <c r="A268" i="21"/>
  <c r="A262" i="21"/>
  <c r="D265" i="21"/>
  <c r="B265" i="21" s="1"/>
  <c r="AP265" i="21"/>
  <c r="AP268" i="21"/>
  <c r="F7" i="19"/>
  <c r="F4" i="18"/>
  <c r="E60" i="18"/>
  <c r="Y60" i="18" s="1"/>
  <c r="O17" i="17" l="1"/>
  <c r="R17" i="17"/>
  <c r="J4" i="17"/>
  <c r="J9" i="17"/>
  <c r="O16" i="17"/>
  <c r="R16" i="17"/>
  <c r="L4" i="17"/>
  <c r="L9" i="17"/>
  <c r="G10" i="16"/>
  <c r="F13" i="17"/>
  <c r="X13" i="17" s="1"/>
  <c r="G5" i="17"/>
  <c r="E6" i="18"/>
  <c r="Y6" i="18" s="1"/>
  <c r="F409" i="19"/>
  <c r="AB270" i="21"/>
  <c r="C270" i="21" s="1"/>
  <c r="AB272" i="21"/>
  <c r="C272" i="21" s="1"/>
  <c r="H335" i="19"/>
  <c r="E335" i="19"/>
  <c r="E274" i="21"/>
  <c r="AF272" i="21"/>
  <c r="E272" i="21" s="1"/>
  <c r="AF270" i="21"/>
  <c r="E270" i="21" s="1"/>
  <c r="J410" i="19"/>
  <c r="J405" i="19" s="1"/>
  <c r="G32" i="18" s="1"/>
  <c r="L410" i="19"/>
  <c r="L405" i="19" s="1"/>
  <c r="H32" i="18" s="1"/>
  <c r="H410" i="19"/>
  <c r="G396" i="19"/>
  <c r="E19" i="18"/>
  <c r="Y19" i="18" s="1"/>
  <c r="AD272" i="21"/>
  <c r="D272" i="21" s="1"/>
  <c r="AD270" i="21"/>
  <c r="D270" i="21" s="1"/>
  <c r="E4" i="18"/>
  <c r="Y4" i="18" s="1"/>
  <c r="E21" i="18"/>
  <c r="Y21" i="18" s="1"/>
  <c r="G11" i="16" l="1"/>
  <c r="G15" i="16" s="1"/>
  <c r="I10" i="16"/>
  <c r="J10" i="16" s="1"/>
  <c r="H10" i="16"/>
  <c r="O13" i="17"/>
  <c r="R13" i="17"/>
  <c r="M17" i="16"/>
  <c r="M19" i="16"/>
  <c r="M16" i="16"/>
  <c r="E5" i="17"/>
  <c r="H5" i="17"/>
  <c r="H9" i="17" s="1"/>
  <c r="F410" i="19"/>
  <c r="H405" i="19"/>
  <c r="F32" i="18" s="1"/>
  <c r="I149" i="19"/>
  <c r="J149" i="19" s="1"/>
  <c r="J143" i="19" s="1"/>
  <c r="G47" i="18" s="1"/>
  <c r="I157" i="19"/>
  <c r="J157" i="19" s="1"/>
  <c r="J151" i="19" s="1"/>
  <c r="G48" i="18" s="1"/>
  <c r="I165" i="19"/>
  <c r="J165" i="19" s="1"/>
  <c r="J159" i="19" s="1"/>
  <c r="G49" i="18" s="1"/>
  <c r="I173" i="19"/>
  <c r="J173" i="19" s="1"/>
  <c r="J167" i="19" s="1"/>
  <c r="G50" i="18" s="1"/>
  <c r="E396" i="19"/>
  <c r="H396" i="19"/>
  <c r="F335" i="19"/>
  <c r="H330" i="19"/>
  <c r="E165" i="21"/>
  <c r="H40" i="18" s="1"/>
  <c r="B274" i="21"/>
  <c r="K157" i="19"/>
  <c r="L157" i="19" s="1"/>
  <c r="L151" i="19" s="1"/>
  <c r="H48" i="18" s="1"/>
  <c r="K165" i="19"/>
  <c r="L165" i="19" s="1"/>
  <c r="L159" i="19" s="1"/>
  <c r="H49" i="18" s="1"/>
  <c r="K173" i="19"/>
  <c r="L173" i="19" s="1"/>
  <c r="L167" i="19" s="1"/>
  <c r="H50" i="18" s="1"/>
  <c r="K149" i="19"/>
  <c r="L149" i="19" s="1"/>
  <c r="L143" i="19" s="1"/>
  <c r="H47" i="18" s="1"/>
  <c r="B270" i="21"/>
  <c r="B272" i="21"/>
  <c r="G14" i="16" l="1"/>
  <c r="I14" i="16" s="1"/>
  <c r="J14" i="16" s="1"/>
  <c r="H15" i="16"/>
  <c r="I15" i="16"/>
  <c r="J15" i="16" s="1"/>
  <c r="I11" i="16"/>
  <c r="J11" i="16" s="1"/>
  <c r="H11" i="16"/>
  <c r="M18" i="16"/>
  <c r="F5" i="17"/>
  <c r="X5" i="17" s="1"/>
  <c r="H4" i="17"/>
  <c r="F405" i="19"/>
  <c r="AN30" i="17"/>
  <c r="AM30" i="17"/>
  <c r="F330" i="19"/>
  <c r="F70" i="18"/>
  <c r="G149" i="19"/>
  <c r="G165" i="19"/>
  <c r="G157" i="19"/>
  <c r="G173" i="19"/>
  <c r="E32" i="18"/>
  <c r="Y32" i="18" s="1"/>
  <c r="B165" i="21"/>
  <c r="Y165" i="21"/>
  <c r="F396" i="19"/>
  <c r="K402" i="19"/>
  <c r="E40" i="18"/>
  <c r="Y40" i="18" s="1"/>
  <c r="H14" i="16" l="1"/>
  <c r="F9" i="17"/>
  <c r="X9" i="17" s="1"/>
  <c r="O5" i="17"/>
  <c r="R5" i="17"/>
  <c r="F4" i="17"/>
  <c r="X4" i="17" s="1"/>
  <c r="H149" i="19"/>
  <c r="E149" i="19"/>
  <c r="E70" i="18"/>
  <c r="Y70" i="18" s="1"/>
  <c r="E173" i="19"/>
  <c r="H173" i="19"/>
  <c r="L402" i="19"/>
  <c r="E402" i="19"/>
  <c r="H157" i="19"/>
  <c r="E157" i="19"/>
  <c r="E165" i="19"/>
  <c r="H165" i="19"/>
  <c r="O4" i="17" l="1"/>
  <c r="R4" i="17"/>
  <c r="O9" i="17"/>
  <c r="R9" i="17"/>
  <c r="G8" i="16"/>
  <c r="M21" i="16"/>
  <c r="F165" i="19"/>
  <c r="H159" i="19"/>
  <c r="F157" i="19"/>
  <c r="H151" i="19"/>
  <c r="F149" i="19"/>
  <c r="H143" i="19"/>
  <c r="F173" i="19"/>
  <c r="H167" i="19"/>
  <c r="F402" i="19"/>
  <c r="AB402" i="19"/>
  <c r="AD402" i="19" s="1"/>
  <c r="L403" i="19"/>
  <c r="H8" i="16" l="1"/>
  <c r="I8" i="16"/>
  <c r="J8" i="16" s="1"/>
  <c r="G23" i="16"/>
  <c r="F48" i="18"/>
  <c r="F151" i="19"/>
  <c r="F159" i="19"/>
  <c r="F49" i="18"/>
  <c r="F403" i="19"/>
  <c r="L394" i="19"/>
  <c r="F167" i="19"/>
  <c r="F50" i="18"/>
  <c r="F143" i="19"/>
  <c r="F47" i="18"/>
  <c r="H23" i="16" l="1"/>
  <c r="I23" i="16"/>
  <c r="J23" i="16" s="1"/>
  <c r="G25" i="16"/>
  <c r="E50" i="18"/>
  <c r="Y50" i="18" s="1"/>
  <c r="E49" i="18"/>
  <c r="Y49" i="18" s="1"/>
  <c r="H72" i="18"/>
  <c r="F394" i="19"/>
  <c r="E47" i="18"/>
  <c r="Y47" i="18" s="1"/>
  <c r="E48" i="18"/>
  <c r="Y48" i="18" s="1"/>
  <c r="I25" i="16" l="1"/>
  <c r="J25" i="16" s="1"/>
  <c r="H25" i="16"/>
  <c r="G26" i="16"/>
  <c r="E72" i="18"/>
  <c r="Y72" i="18" s="1"/>
  <c r="I26" i="16" l="1"/>
  <c r="J26" i="16" s="1"/>
  <c r="H26" i="16"/>
  <c r="G27" i="16"/>
  <c r="AL30" i="17"/>
  <c r="I27" i="16" l="1"/>
  <c r="J27" i="16" s="1"/>
  <c r="H27" i="16"/>
  <c r="G28" i="16"/>
  <c r="I28" i="16" l="1"/>
  <c r="J28" i="16" s="1"/>
  <c r="H28" i="16"/>
  <c r="I29" i="16"/>
  <c r="J29" i="16" s="1"/>
  <c r="H29" i="16"/>
  <c r="G30" i="16"/>
  <c r="I30" i="16" l="1"/>
  <c r="J30" i="16" s="1"/>
  <c r="H30" i="16"/>
  <c r="G31" i="16"/>
  <c r="I31" i="16" l="1"/>
  <c r="J31" i="16" s="1"/>
  <c r="H31" i="16"/>
  <c r="G32" i="16"/>
  <c r="H13" i="31" s="1"/>
  <c r="H14" i="31" l="1"/>
  <c r="D13" i="31"/>
  <c r="I32" i="16"/>
  <c r="H32" i="16"/>
  <c r="G36" i="16"/>
  <c r="P21" i="16"/>
  <c r="P20" i="16"/>
  <c r="D14" i="31" l="1"/>
  <c r="H15" i="31"/>
  <c r="D15" i="31" s="1"/>
  <c r="I36" i="16"/>
  <c r="J32" i="16"/>
  <c r="F33" i="33"/>
  <c r="F31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30" authorId="0" shapeId="0" xr:uid="{00000000-0006-0000-0100-000004000000}">
      <text>
        <r>
          <rPr>
            <sz val="8"/>
            <color indexed="8"/>
            <rFont val="Arial"/>
            <family val="2"/>
          </rPr>
          <t>Z열에 수식을 나누어 참조하였습니다.</t>
        </r>
      </text>
    </comment>
    <comment ref="J30" authorId="0" shapeId="0" xr:uid="{00000000-0006-0000-0100-000005000000}">
      <text>
        <r>
          <rPr>
            <sz val="8"/>
            <color indexed="8"/>
            <rFont val="Arial"/>
            <family val="2"/>
          </rPr>
          <t>Z열에 수식을 나누어 참조하였습니다.</t>
        </r>
      </text>
    </comment>
    <comment ref="L30" authorId="0" shapeId="0" xr:uid="{00000000-0006-0000-0100-000006000000}">
      <text>
        <r>
          <rPr>
            <sz val="8"/>
            <color indexed="8"/>
            <rFont val="Arial"/>
            <family val="2"/>
          </rPr>
          <t>Z열에 수식을 나누어 참조하였습니다.</t>
        </r>
      </text>
    </comment>
    <comment ref="Q30" authorId="0" shapeId="0" xr:uid="{4D32F2D2-C408-44B9-A9C6-1815B3C426E4}">
      <text>
        <r>
          <rPr>
            <sz val="8"/>
            <color indexed="8"/>
            <rFont val="Arial"/>
            <family val="2"/>
          </rPr>
          <t>Z열에 수식을 나누어 참조하였습니다.</t>
        </r>
      </text>
    </comment>
    <comment ref="S30" authorId="0" shapeId="0" xr:uid="{6634C73C-57E7-4975-B282-3A55C2C9B23B}">
      <text>
        <r>
          <rPr>
            <sz val="8"/>
            <color indexed="8"/>
            <rFont val="Arial"/>
            <family val="2"/>
          </rPr>
          <t>Z열에 수식을 나누어 참조하였습니다.</t>
        </r>
      </text>
    </comment>
    <comment ref="T30" authorId="0" shapeId="0" xr:uid="{D6216E3F-4916-4C42-ABEB-3814841E8623}">
      <text>
        <r>
          <rPr>
            <sz val="8"/>
            <color indexed="8"/>
            <rFont val="Arial"/>
            <family val="2"/>
          </rPr>
          <t>Z열에 수식을 나누어 참조하였습니다.</t>
        </r>
      </text>
    </comment>
    <comment ref="U30" authorId="0" shapeId="0" xr:uid="{0AE34502-947F-46C1-A5B4-AE73EAE359A3}">
      <text>
        <r>
          <rPr>
            <sz val="8"/>
            <color indexed="8"/>
            <rFont val="Arial"/>
            <family val="2"/>
          </rPr>
          <t>Z열에 수식을 나누어 참조하였습니다.</t>
        </r>
      </text>
    </comment>
  </commentList>
</comments>
</file>

<file path=xl/sharedStrings.xml><?xml version="1.0" encoding="utf-8"?>
<sst xmlns="http://schemas.openxmlformats.org/spreadsheetml/2006/main" count="15012" uniqueCount="3258">
  <si>
    <t xml:space="preserve">HPN3                                                                                                </t>
  </si>
  <si>
    <t>10-12 TON</t>
  </si>
  <si>
    <t xml:space="preserve"> 4. 공구손료 및 경장비(전동드릴 등) 의 기계경비 :  인건비3%</t>
  </si>
  <si>
    <t>무근</t>
  </si>
  <si>
    <t xml:space="preserve">161_1_6+ = </t>
  </si>
  <si>
    <t>No.45 경고테이프 설치</t>
  </si>
  <si>
    <t xml:space="preserve">LAA2 = </t>
  </si>
  <si>
    <t xml:space="preserve">  '-볼트/너트         :' ~MZE006~ * 26.66'EA'=?EQ+</t>
  </si>
  <si>
    <t xml:space="preserve">163_1_5 = </t>
  </si>
  <si>
    <t>3인/4t+2인/1t</t>
  </si>
  <si>
    <t xml:space="preserve">   '보 통 인 부:' 0.005'인' * ~L085.L~ = ?LA+:LAA8</t>
  </si>
  <si>
    <t>0.2 M3</t>
  </si>
  <si>
    <t>50x50x6t (도착도)</t>
  </si>
  <si>
    <t xml:space="preserve">   고원식횡단보도</t>
  </si>
  <si>
    <t>No.22 합판거푸집</t>
  </si>
  <si>
    <t xml:space="preserve">   굴삭기(타이어)</t>
  </si>
  <si>
    <t xml:space="preserve">134_1_1 = </t>
  </si>
  <si>
    <t xml:space="preserve">103_1_2+ = </t>
  </si>
  <si>
    <t xml:space="preserve">         '1 M2당 0.75 리터 살포, 할증 1.03'</t>
  </si>
  <si>
    <t xml:space="preserve">         '작업 보조인부 :'</t>
  </si>
  <si>
    <t>트럭탑제형 크레인   5 TON</t>
  </si>
  <si>
    <t>QEQTY2</t>
  </si>
  <si>
    <t>(SANG + JUNG + KWAN)*10^-4</t>
  </si>
  <si>
    <t>일위대가_호표</t>
  </si>
  <si>
    <t>물탱크</t>
  </si>
  <si>
    <t xml:space="preserve">393_1_6 = </t>
  </si>
  <si>
    <t>L087</t>
  </si>
  <si>
    <t xml:space="preserve">      Q = 60 * qo * f * E / Cm</t>
  </si>
  <si>
    <t xml:space="preserve"> '(2024년 건설공사표준품셈-토목 1-5-7 아스팔트 표층 기계포설(대형장비))'</t>
  </si>
  <si>
    <t xml:space="preserve">268_1_1 = </t>
  </si>
  <si>
    <t xml:space="preserve">387_1_1 = </t>
  </si>
  <si>
    <t xml:space="preserve">      Q = 3600 * {qo} *{k} *{f} * {E} / {Cm} = {?,'9.9R'}'m3/hr'</t>
  </si>
  <si>
    <t>No.42</t>
  </si>
  <si>
    <t xml:space="preserve">   '1) 보통인부  90 m당 1인 소요 '</t>
  </si>
  <si>
    <t xml:space="preserve">   (2024년 건설공사표준품셈-토목 1-8-7 주차 블록 설치)</t>
  </si>
  <si>
    <t xml:space="preserve">650_1_2+ = </t>
  </si>
  <si>
    <t xml:space="preserve">          특별인부 : 500 m 당 1인 소요</t>
  </si>
  <si>
    <t xml:space="preserve">   '보 통 인 부:' 0.011'인' * ~L085.L~ = ?LA+:LAA4</t>
  </si>
  <si>
    <t>No.38 모르터</t>
  </si>
  <si>
    <t>E0027020022</t>
  </si>
  <si>
    <t>300㎜</t>
  </si>
  <si>
    <t xml:space="preserve">                    F  : 작업계수</t>
  </si>
  <si>
    <t>E0072040055</t>
  </si>
  <si>
    <t xml:space="preserve">          f  = 0.875 / 1.25 = {?,'9.9R'}</t>
  </si>
  <si>
    <t xml:space="preserve">   카스토퍼설치</t>
  </si>
  <si>
    <t>아스팔트콘크리트</t>
  </si>
  <si>
    <t xml:space="preserve">   부자재</t>
  </si>
  <si>
    <t xml:space="preserve">675_1_2 = </t>
  </si>
  <si>
    <t>M0723005</t>
  </si>
  <si>
    <t xml:space="preserve">656_1_3 = </t>
  </si>
  <si>
    <t xml:space="preserve">262_1_2+ = </t>
  </si>
  <si>
    <t xml:space="preserve">215_1_3+ = </t>
  </si>
  <si>
    <t>290</t>
  </si>
  <si>
    <t>WL 1.72M3</t>
  </si>
  <si>
    <t>BH 0.2M3</t>
  </si>
  <si>
    <t xml:space="preserve">   적    재</t>
  </si>
  <si>
    <t xml:space="preserve">778_1_1 = </t>
  </si>
  <si>
    <t xml:space="preserve">    1) 보통인부  170 m당 1인 소요</t>
  </si>
  <si>
    <t xml:space="preserve">         '삽날의 용량 :'qo = {q} * {e} = {?,'9.9R'}'m3'</t>
  </si>
  <si>
    <t>별표 10/#9 아스팔트 깨기</t>
  </si>
  <si>
    <t xml:space="preserve">485_1_1 = </t>
  </si>
  <si>
    <t xml:space="preserve">          qo = T / rt * L = 15 / 1.7 * 1.15 = {?,'9.9R'}'m3'</t>
  </si>
  <si>
    <t>WD26D000</t>
  </si>
  <si>
    <t xml:space="preserve">           융착식 도료 10㎡당 45.3 KG 소요</t>
  </si>
  <si>
    <t xml:space="preserve">         '작업 보조인부 :'( 1.0 '인/일' * 1 / 8 ) / 2.45'm3/hr' = {?,'9.999R'}qty'인/m3'</t>
  </si>
  <si>
    <t xml:space="preserve">          치즐 소모량 :</t>
  </si>
  <si>
    <t>물자/1-114/</t>
  </si>
  <si>
    <t xml:space="preserve">  1.0 'hr' * ~E0021040010.M~ * 2 = ?EQ+</t>
  </si>
  <si>
    <t xml:space="preserve"> 나. 운반 (10 TON : 재료비)</t>
  </si>
  <si>
    <t xml:space="preserve">          모래의 소요 함수량 : 23.7 - 6.6 = 17.1 %   ( 171 L/m3 )</t>
  </si>
  <si>
    <t>적용단위</t>
  </si>
  <si>
    <t xml:space="preserve">   ◎ 사용 시간    :    {Dh=2.0} &lt;Hr/일&gt;</t>
  </si>
  <si>
    <t xml:space="preserve">&gt;LA = </t>
  </si>
  <si>
    <t>수 량</t>
  </si>
  <si>
    <t xml:space="preserve">   형틀목공</t>
  </si>
  <si>
    <t xml:space="preserve">      '재 료 비 :'</t>
  </si>
  <si>
    <t xml:space="preserve">         '포설두께 10 Cm, 단위중량 2.35 ton/m3, 할증 1.02'</t>
  </si>
  <si>
    <t>1.콘테이너 하우스 (3.0*12.0)</t>
  </si>
  <si>
    <t xml:space="preserve">510_1_1 = </t>
  </si>
  <si>
    <t>I-50, 900X900</t>
  </si>
  <si>
    <t xml:space="preserve">650_1_1 = </t>
  </si>
  <si>
    <t xml:space="preserve">OT                                                                                                  </t>
  </si>
  <si>
    <t xml:space="preserve">   경고테이프 설치</t>
  </si>
  <si>
    <t xml:space="preserve">        '콘크리트공 :' 3'인' / 63 'm3' = {?,'9.999R'}QTY'인/m3'</t>
  </si>
  <si>
    <t>E0021050005</t>
  </si>
  <si>
    <t xml:space="preserve">   O.M.C = 13 %  , N.M.C = 8 %</t>
  </si>
  <si>
    <t>T=20</t>
  </si>
  <si>
    <t>D19M/M(현장도착도)</t>
  </si>
  <si>
    <t>K60000200</t>
  </si>
  <si>
    <t>별표 58/#27 차선도색(실선) | 백색:융착식|M2</t>
  </si>
  <si>
    <t xml:space="preserve">   프라이머</t>
  </si>
  <si>
    <t xml:space="preserve">동시굴착 범위 (복선)                    </t>
  </si>
  <si>
    <t>KO010010</t>
  </si>
  <si>
    <t>실런트</t>
  </si>
  <si>
    <t xml:space="preserve">          qo = q * e = {?,'9.9R'}'m3'</t>
  </si>
  <si>
    <t>'(2024년 건설공사표준품셈 8-1-4 시공능력 산정 기본식)'</t>
  </si>
  <si>
    <t xml:space="preserve">   보통인부(부설)(0.19/6)</t>
  </si>
  <si>
    <t>250</t>
  </si>
  <si>
    <t>81350257081</t>
  </si>
  <si>
    <t>MZZ007000</t>
  </si>
  <si>
    <t xml:space="preserve">535_1_2+ = </t>
  </si>
  <si>
    <t>L007</t>
  </si>
  <si>
    <t>볼트/너트</t>
  </si>
  <si>
    <t xml:space="preserve">   (2024년 건설공사표준품셈-토목 6-1-1 레디믹스트콘크리트 타설)</t>
  </si>
  <si>
    <t xml:space="preserve">393_1_2+ = </t>
  </si>
  <si>
    <t xml:space="preserve">EX3                                                                                                 </t>
  </si>
  <si>
    <t xml:space="preserve">1321_1_5 = </t>
  </si>
  <si>
    <t>M0015006</t>
  </si>
  <si>
    <t>E0002110080</t>
  </si>
  <si>
    <t xml:space="preserve">  '경  비 :' 1.0'HR'*~E0021040010.E~*2=?EQ+</t>
  </si>
  <si>
    <t>노임계금액소숫점</t>
  </si>
  <si>
    <t xml:space="preserve">591_1_3 = </t>
  </si>
  <si>
    <t xml:space="preserve"> 가.비 자주식</t>
  </si>
  <si>
    <t xml:space="preserve">562_1_6 = </t>
  </si>
  <si>
    <t xml:space="preserve">1360_1_4+ = </t>
  </si>
  <si>
    <t xml:space="preserve">259_1_1+ = </t>
  </si>
  <si>
    <t xml:space="preserve">757_1_2+ = </t>
  </si>
  <si>
    <t>No.27</t>
  </si>
  <si>
    <t xml:space="preserve">1324_1_4 = </t>
  </si>
  <si>
    <t xml:space="preserve">535_1_2 = </t>
  </si>
  <si>
    <t xml:space="preserve">V = </t>
  </si>
  <si>
    <t>NP0410-24</t>
  </si>
  <si>
    <t>E0072021000</t>
  </si>
  <si>
    <t>QEINC2</t>
  </si>
  <si>
    <t>No.35 스틸그레이팅 설치</t>
  </si>
  <si>
    <t xml:space="preserve">1249_1_2+ = </t>
  </si>
  <si>
    <t xml:space="preserve">1253_1_4+ = </t>
  </si>
  <si>
    <t xml:space="preserve">1324_1_1+ = </t>
  </si>
  <si>
    <t>No.29</t>
  </si>
  <si>
    <t xml:space="preserve">M3    </t>
  </si>
  <si>
    <t>8 - 15 TON</t>
  </si>
  <si>
    <t>N6030-24</t>
  </si>
  <si>
    <t>210</t>
  </si>
  <si>
    <t>특별인부</t>
  </si>
  <si>
    <t>K5011050</t>
  </si>
  <si>
    <t xml:space="preserve">            기 타 장 비             : 1 대 ---- 1 회</t>
  </si>
  <si>
    <t>G21050010</t>
  </si>
  <si>
    <t xml:space="preserve">   깨    기</t>
  </si>
  <si>
    <t xml:space="preserve">   (2024년 건설공사표준품셈 8-2-15 대형브레이커)</t>
  </si>
  <si>
    <t xml:space="preserve">CM = </t>
  </si>
  <si>
    <t>물탱크 5500 L</t>
  </si>
  <si>
    <t xml:space="preserve">132_1_3 = </t>
  </si>
  <si>
    <t>별표 3/#3 흙 쌓 기 | 주간(토사)(비다짐)|M3</t>
  </si>
  <si>
    <t xml:space="preserve">장대터널할증                            </t>
  </si>
  <si>
    <t xml:space="preserve">208_1_1+ = </t>
  </si>
  <si>
    <t xml:space="preserve">   흙깍기</t>
  </si>
  <si>
    <t xml:space="preserve">439_1_1+ = </t>
  </si>
  <si>
    <t xml:space="preserve">289_1_1 = </t>
  </si>
  <si>
    <t xml:space="preserve">238_1_1+ = </t>
  </si>
  <si>
    <t xml:space="preserve">190_1_2+ = </t>
  </si>
  <si>
    <t xml:space="preserve">58_1_1+ = </t>
  </si>
  <si>
    <t>I-50, 400X995</t>
  </si>
  <si>
    <t xml:space="preserve">CPI                                                                                                 </t>
  </si>
  <si>
    <t>LA</t>
  </si>
  <si>
    <t xml:space="preserve">252_1_1 = </t>
  </si>
  <si>
    <t xml:space="preserve">    1) 보통인부  90 m당 1인 소요</t>
  </si>
  <si>
    <t xml:space="preserve">LAA7+ = </t>
  </si>
  <si>
    <t xml:space="preserve">   '비   계  공:' 0.018'인' * ~L015~ = ?LA+:LAA5</t>
  </si>
  <si>
    <t>불도저(무한궤도)   32 TON</t>
  </si>
  <si>
    <t>KSM6020 2급 흑색 18ℓ</t>
  </si>
  <si>
    <t>│ 손율(%)│  12  │  16  │  25  │  38  │  53  │  70  │   100    │</t>
  </si>
  <si>
    <t xml:space="preserve">  '노무비 :' 1.0'HR'*~E0021040010.L~*2=?EQ+</t>
  </si>
  <si>
    <t xml:space="preserve">784_1_3 = </t>
  </si>
  <si>
    <t>No.41 스페이서 설치</t>
  </si>
  <si>
    <t>'(2024년 건설공사표준품셈 3-2-4 기초지정)'</t>
  </si>
  <si>
    <t>별표 63/#34  시멘트 운반</t>
  </si>
  <si>
    <t xml:space="preserve">          Cm = {L}/{V1} + {L}/{V2} + {t} = {?,'9.9R'}'min'</t>
  </si>
  <si>
    <t xml:space="preserve">   (2024년 건설공사표준품셈-건축 9-1-1 모르타르 배합)</t>
  </si>
  <si>
    <t>.eq=(LA(30,0,40))*0.02</t>
  </si>
  <si>
    <t xml:space="preserve">161_1_1+ = </t>
  </si>
  <si>
    <t>56100087101</t>
  </si>
  <si>
    <t>경    비</t>
  </si>
  <si>
    <t xml:space="preserve">                   t4 = 1.35 * 1.4 * 1.2 * {Q} = {?,'9.9R'}</t>
  </si>
  <si>
    <t xml:space="preserve">    &gt;'소     계'</t>
  </si>
  <si>
    <t>보통인부</t>
  </si>
  <si>
    <t xml:space="preserve">103_1_5+ = </t>
  </si>
  <si>
    <t>140</t>
  </si>
  <si>
    <t>전 력 비</t>
  </si>
  <si>
    <t>1-174</t>
  </si>
  <si>
    <t>#31 가설창고  (3.0×12.0) | 콘테이너|식</t>
  </si>
  <si>
    <t>N0800-2</t>
  </si>
  <si>
    <t xml:space="preserve">작업능률저하                            </t>
  </si>
  <si>
    <t xml:space="preserve">1300_1_5 = </t>
  </si>
  <si>
    <t>No.23</t>
  </si>
  <si>
    <t>시간당노임산출계수(해상장비:버켓준설선)</t>
  </si>
  <si>
    <t xml:space="preserve">GBO2                                                                                                </t>
  </si>
  <si>
    <t>철 근 공</t>
  </si>
  <si>
    <t>G11060012</t>
  </si>
  <si>
    <t xml:space="preserve">593_1_2 = </t>
  </si>
  <si>
    <t xml:space="preserve">   FRP오수처리시설 설치</t>
  </si>
  <si>
    <t>본</t>
  </si>
  <si>
    <t xml:space="preserve">      Q = 1'TON' / 1000 = {?,'9.999R'}qty'TON/KG'</t>
  </si>
  <si>
    <t>M1536009</t>
  </si>
  <si>
    <t xml:space="preserve"> 나. 인력살포</t>
  </si>
  <si>
    <t>35</t>
  </si>
  <si>
    <t xml:space="preserve">          Q * {OH} =  {?,'9.999C'}qty'hr/m3'</t>
  </si>
  <si>
    <t>'(2024년 건설공사표준품셈 8-2-5 로더)'</t>
  </si>
  <si>
    <t>화물차운전사</t>
  </si>
  <si>
    <t>M8916012</t>
  </si>
  <si>
    <t>M1209024</t>
  </si>
  <si>
    <t xml:space="preserve">작업능률 저하(야간작업)                 </t>
  </si>
  <si>
    <t>노임금액소숫점</t>
  </si>
  <si>
    <t xml:space="preserve">TO = </t>
  </si>
  <si>
    <t>G01010019</t>
  </si>
  <si>
    <t>K3061110</t>
  </si>
  <si>
    <t xml:space="preserve">215_1_4+ = </t>
  </si>
  <si>
    <t>노임단가소숫점</t>
  </si>
  <si>
    <t>구역화물 하차비</t>
  </si>
  <si>
    <t xml:space="preserve">         '1 M2당 0.3 리터 살포, 할증 1.03'</t>
  </si>
  <si>
    <t xml:space="preserve">    Qw = (60*5500*0.9) / ({CM}*{WQ}) = ?'M2/HR'</t>
  </si>
  <si>
    <t xml:space="preserve">   조합페인트</t>
  </si>
  <si>
    <t>(2024년 건설공사표준품셈-토목 6-1-1 레디믹스트콘크리트 타설)</t>
  </si>
  <si>
    <t xml:space="preserve">QW = </t>
  </si>
  <si>
    <t>화강석(200X250)</t>
  </si>
  <si>
    <t>100</t>
  </si>
  <si>
    <t>.MA=LA(20,0,50)*0.03</t>
  </si>
  <si>
    <t xml:space="preserve">155_1_1 = </t>
  </si>
  <si>
    <t xml:space="preserve">60_1_1+ = </t>
  </si>
  <si>
    <t>K1010250</t>
  </si>
  <si>
    <t>덤프트럭   15 TON</t>
  </si>
  <si>
    <t>M15750900</t>
  </si>
  <si>
    <t>E0006020150</t>
  </si>
  <si>
    <t xml:space="preserve">       t3 (살수시간)  = 20 &lt;min&gt;</t>
  </si>
  <si>
    <t>90</t>
  </si>
  <si>
    <t xml:space="preserve"> 가. 보차도경계석(200x250x1000㎜ :곡선)</t>
  </si>
  <si>
    <t>G14060015</t>
  </si>
  <si>
    <t xml:space="preserve">18_1_1 = </t>
  </si>
  <si>
    <t>.sang=750, jung=583, kwan=478</t>
  </si>
  <si>
    <t xml:space="preserve">209_1_1 = </t>
  </si>
  <si>
    <t xml:space="preserve">255_1_1 = </t>
  </si>
  <si>
    <t xml:space="preserve">50_1_1+ = </t>
  </si>
  <si>
    <t xml:space="preserve">          3 / 80 = {?,'9.999R'}QTY'인/m'</t>
  </si>
  <si>
    <t xml:space="preserve">   (2024년 건설공사표준품셈 11-2-6 녹막이 페인트칠)</t>
  </si>
  <si>
    <t>K2010120</t>
  </si>
  <si>
    <t xml:space="preserve">73_1_7 = </t>
  </si>
  <si>
    <t xml:space="preserve">291_1_2 = </t>
  </si>
  <si>
    <t>소모재료및잡재료</t>
  </si>
  <si>
    <t xml:space="preserve">431_1_1+ = </t>
  </si>
  <si>
    <t>QLINCZ</t>
  </si>
  <si>
    <t>QH21</t>
  </si>
  <si>
    <t>진동롤러(자주식)   2.5 TON</t>
  </si>
  <si>
    <t>별표 60/#29 장비 운반비 | |식</t>
  </si>
  <si>
    <t xml:space="preserve">235_1_3 = </t>
  </si>
  <si>
    <t>.eq=LA(50,0,60)*0.03</t>
  </si>
  <si>
    <t>입력단가</t>
  </si>
  <si>
    <t>별표 60/#29 장비 운반비</t>
  </si>
  <si>
    <t>물자/1-776/</t>
  </si>
  <si>
    <t>K50200450</t>
  </si>
  <si>
    <t xml:space="preserve">1328_1_1+ = </t>
  </si>
  <si>
    <t xml:space="preserve">192_1_1 = </t>
  </si>
  <si>
    <t xml:space="preserve">161_1_4 = </t>
  </si>
  <si>
    <t>별표 47/#19 보조기층 포설다짐 | 주간|M3</t>
  </si>
  <si>
    <t xml:space="preserve">          0.11 * 0.8  = {?,'9.999R'}qty'인'</t>
  </si>
  <si>
    <t>1-1387</t>
  </si>
  <si>
    <t>2022-08-23 09:56:44</t>
  </si>
  <si>
    <t>변 수 명</t>
  </si>
  <si>
    <t xml:space="preserve">   터파기(기계)</t>
  </si>
  <si>
    <t>.LA=MA(10)/1.1*5/100</t>
  </si>
  <si>
    <t xml:space="preserve">   (2024년 건설공사표준품셈 3-7-2 뿌리뽑기)</t>
  </si>
  <si>
    <t xml:space="preserve">      보통인부 : 0.15 인/(10m3 당)</t>
  </si>
  <si>
    <t xml:space="preserve">          Cm = {t1} + {t2} + {t3} + {t4} = {?,'9.9R'}'min'</t>
  </si>
  <si>
    <t>총   계</t>
  </si>
  <si>
    <t>L028</t>
  </si>
  <si>
    <t xml:space="preserve">SPN3                                                                                                </t>
  </si>
  <si>
    <t xml:space="preserve">BH+ = </t>
  </si>
  <si>
    <t>QUS2WON3</t>
  </si>
  <si>
    <t>E0002300007</t>
  </si>
  <si>
    <t>50</t>
  </si>
  <si>
    <t xml:space="preserve">757_1_5+ = </t>
  </si>
  <si>
    <t xml:space="preserve">1317_1_2+ = </t>
  </si>
  <si>
    <t xml:space="preserve">238_1_5 = </t>
  </si>
  <si>
    <t xml:space="preserve">56_1_4 = </t>
  </si>
  <si>
    <t xml:space="preserve">1360_1_3+ = </t>
  </si>
  <si>
    <t xml:space="preserve">54_1_1+ = </t>
  </si>
  <si>
    <t xml:space="preserve">253_1_3 = </t>
  </si>
  <si>
    <t xml:space="preserve">29_1_5 = </t>
  </si>
  <si>
    <t xml:space="preserve">58_1_1 = </t>
  </si>
  <si>
    <t>25-24-12</t>
  </si>
  <si>
    <t xml:space="preserve">535_1_5+ = </t>
  </si>
  <si>
    <t>굴삭기(무한궤도)   0.8 M3</t>
  </si>
  <si>
    <t xml:space="preserve">215_1_1 = </t>
  </si>
  <si>
    <t xml:space="preserve">393_1_5+ = </t>
  </si>
  <si>
    <t>대형브레이카용 치즐   0.7 M3용</t>
  </si>
  <si>
    <t xml:space="preserve">   아스팔트 깨기</t>
  </si>
  <si>
    <t>No.46</t>
  </si>
  <si>
    <t xml:space="preserve">134_1_1+ = </t>
  </si>
  <si>
    <t xml:space="preserve">        '특별인부 :' 2'인' * {T} / 8 / {Q} = {?,'9.999R'}QTY'인/m3'</t>
  </si>
  <si>
    <t xml:space="preserve">LA+ = </t>
  </si>
  <si>
    <t>5 TON</t>
  </si>
  <si>
    <t>56900017030</t>
  </si>
  <si>
    <t xml:space="preserve">A33                                                                                                 </t>
  </si>
  <si>
    <t>E0012060008</t>
  </si>
  <si>
    <t xml:space="preserve">   혼합골재</t>
  </si>
  <si>
    <t xml:space="preserve">  '(2024년 건설공사표준품셈 8-2-15 대형브레이커)'</t>
  </si>
  <si>
    <t>No.22  합판거푸집</t>
  </si>
  <si>
    <t>'(2024년 건설공사표준품셈-토목 1-8-9 차선도색)'</t>
  </si>
  <si>
    <t xml:space="preserve">강재 손율(6개월)                        </t>
  </si>
  <si>
    <t>물자/1-174/</t>
  </si>
  <si>
    <t xml:space="preserve">   신축이음재설치</t>
  </si>
  <si>
    <t>No.48</t>
  </si>
  <si>
    <t>.eq=LA(60,0,70)*0.1</t>
  </si>
  <si>
    <t xml:space="preserve">1253_1_3+ = </t>
  </si>
  <si>
    <t>고무링(흄관용)</t>
  </si>
  <si>
    <t xml:space="preserve">782_1_1 = </t>
  </si>
  <si>
    <t xml:space="preserve"> 3. 자동 세륜기 사용 (2.20×5.15×1.00m)</t>
  </si>
  <si>
    <t xml:space="preserve">165_1_1+ = </t>
  </si>
  <si>
    <t>165</t>
  </si>
  <si>
    <t xml:space="preserve">   매캐덤 로울러(자주식)</t>
  </si>
  <si>
    <t>180</t>
  </si>
  <si>
    <t xml:space="preserve">   잡재료비</t>
  </si>
  <si>
    <t>EQ=LA(30,0,40)*0.03</t>
  </si>
  <si>
    <t xml:space="preserve">757_1_4 = </t>
  </si>
  <si>
    <t xml:space="preserve">           '타이어로울러   8-15 TON : 1 대 ---- 1 회'</t>
  </si>
  <si>
    <t xml:space="preserve"> 가. 보차도경계석(200x250x1000㎜ :직선)</t>
  </si>
  <si>
    <t xml:space="preserve">265_1_1+ = </t>
  </si>
  <si>
    <t>QDECLA</t>
  </si>
  <si>
    <t xml:space="preserve">KG    </t>
  </si>
  <si>
    <t xml:space="preserve">238_1_6+ = </t>
  </si>
  <si>
    <t>G01010032</t>
  </si>
  <si>
    <t xml:space="preserve">190_1_5+ = </t>
  </si>
  <si>
    <t xml:space="preserve">   콘크리트스페이서</t>
  </si>
  <si>
    <t>M1500009</t>
  </si>
  <si>
    <t>10</t>
  </si>
  <si>
    <t xml:space="preserve">   모래채움및다짐</t>
  </si>
  <si>
    <t>'다. 공구손료 맟 가계정비 : 인력품의 3% 적용'</t>
  </si>
  <si>
    <t>별표 59/#28 차선도색(문자,기호) | 백색:융착식|M2</t>
  </si>
  <si>
    <t xml:space="preserve">          0.10 * 2.35 * 1.02 = {?,'9.999R'}qty'ton/m2'</t>
  </si>
  <si>
    <t xml:space="preserve">255_1_1+ = </t>
  </si>
  <si>
    <t>Φ450mm, PE100</t>
  </si>
  <si>
    <t xml:space="preserve"> (2023년 건설공사표준품셈-토목 1-5-1 텍코팅 및 프라임 코팅 살포)</t>
  </si>
  <si>
    <t>No.15 인력터파기</t>
  </si>
  <si>
    <t>M15750700</t>
  </si>
  <si>
    <t>QYEN2WON</t>
  </si>
  <si>
    <t xml:space="preserve">D = </t>
  </si>
  <si>
    <t>E0003020172</t>
  </si>
  <si>
    <t xml:space="preserve">   (2024년 건설공사표준품셈-토목 1-3-1 인력식 소규모장비 포설)</t>
  </si>
  <si>
    <t xml:space="preserve"> 나. 운반 (10 TON : 노무비경비)</t>
  </si>
  <si>
    <t xml:space="preserve">591_1_1+ = </t>
  </si>
  <si>
    <t xml:space="preserve">천원  </t>
  </si>
  <si>
    <t xml:space="preserve">1317_1_1 = </t>
  </si>
  <si>
    <t xml:space="preserve">1259_1_1 = </t>
  </si>
  <si>
    <t xml:space="preserve">155_1_1+ = </t>
  </si>
  <si>
    <t xml:space="preserve">   '비   계  공:' 0.012'인' * ~L015~ = ?LA+:LAA7</t>
  </si>
  <si>
    <t>QOPtimeDecOp</t>
  </si>
  <si>
    <t>KSM-6060 2종 18ℓ (조합페인트류)</t>
  </si>
  <si>
    <t>상    차</t>
  </si>
  <si>
    <t>4.5 톤</t>
  </si>
  <si>
    <t>동력분무기   4.85Kw</t>
  </si>
  <si>
    <t xml:space="preserve">1231_1_1 = </t>
  </si>
  <si>
    <t>아스팔트 피니셔   3 M</t>
  </si>
  <si>
    <t>트럭탑제형 크레인   10 TON</t>
  </si>
  <si>
    <t>레미콘</t>
  </si>
  <si>
    <t>금 액</t>
  </si>
  <si>
    <t>E0002010060</t>
  </si>
  <si>
    <t xml:space="preserve">431_1_1 = </t>
  </si>
  <si>
    <t xml:space="preserve">          20 / 60 / (4 * 2.5) * 2'(상하차)'= {?,'9.999R'}qty'hr/m'</t>
  </si>
  <si>
    <t>.eq=la(30,40)*0.02</t>
  </si>
  <si>
    <t>No.15  인력터파기</t>
  </si>
  <si>
    <t>11TON</t>
  </si>
  <si>
    <t xml:space="preserve">250_1_4+ = </t>
  </si>
  <si>
    <t xml:space="preserve">1360_1_2 = </t>
  </si>
  <si>
    <t>운반</t>
  </si>
  <si>
    <t>No.40  세퍼레이터 설치</t>
  </si>
  <si>
    <t xml:space="preserve">     '1) 트레일러 20 TON : 노무비경비'</t>
  </si>
  <si>
    <t>EQ</t>
  </si>
  <si>
    <t xml:space="preserve">   (2024년 건설공사표준품셈 6-5-1 조임식 접합 및 부설</t>
  </si>
  <si>
    <t xml:space="preserve">T1+ = </t>
  </si>
  <si>
    <t xml:space="preserve">556_2_1 = </t>
  </si>
  <si>
    <t>물가정보</t>
  </si>
  <si>
    <t>No.27  흄관 접합및부설</t>
  </si>
  <si>
    <t xml:space="preserve">   머캐덤 로울러(자주식)</t>
  </si>
  <si>
    <t>인력품의 1%</t>
  </si>
  <si>
    <t xml:space="preserve">774_1_1+ = </t>
  </si>
  <si>
    <t>자재조서</t>
  </si>
  <si>
    <t>.EQ=LA(50,60)*0.03</t>
  </si>
  <si>
    <t xml:space="preserve">1321_1_3+ = </t>
  </si>
  <si>
    <t xml:space="preserve">15_1_1+ = </t>
  </si>
  <si>
    <t xml:space="preserve">   퍼    티</t>
  </si>
  <si>
    <t>1.72 M3</t>
  </si>
  <si>
    <t xml:space="preserve">   치    즐</t>
  </si>
  <si>
    <t xml:space="preserve"> 라. 마카담 로라 (10-12 TON)</t>
  </si>
  <si>
    <t xml:space="preserve">.EQ=LA(70,0,80)*0.02_x000D_
</t>
  </si>
  <si>
    <t xml:space="preserve">73_1_2 = </t>
  </si>
  <si>
    <t xml:space="preserve">262_1_2 = </t>
  </si>
  <si>
    <t>크레인(타이어:노무비,경비)   10 TON</t>
  </si>
  <si>
    <t xml:space="preserve">          1'일' / 500 * 4'hr' = {?,'9.999R'}qty'hr/m'</t>
  </si>
  <si>
    <t xml:space="preserve">255_1_4 = </t>
  </si>
  <si>
    <t xml:space="preserve">          1.0 * 1.04 * 1.15 / 0.90 = {?,'9.999R'}qty'm3'</t>
  </si>
  <si>
    <t xml:space="preserve">  (2024년 건설공사표준품셈 8-2-9 롤러)</t>
  </si>
  <si>
    <t xml:space="preserve">          보통인부 : 500 m 당 1인 소요</t>
  </si>
  <si>
    <t>G06020045</t>
  </si>
  <si>
    <t xml:space="preserve">207_1_1 = </t>
  </si>
  <si>
    <t>최저단가</t>
  </si>
  <si>
    <t xml:space="preserve">  '-클램프(고정)      :' ~MZE004~ * 4.52'EA' * 0.1=?EQ+</t>
  </si>
  <si>
    <t xml:space="preserve"> 2-1 강관지주(H=6.0m이하)</t>
  </si>
  <si>
    <t xml:space="preserve">   &lt;품셈 2-2-2&gt;</t>
  </si>
  <si>
    <t xml:space="preserve">    '재 료 비 :'</t>
  </si>
  <si>
    <t>별표 8/#7  되메우기및다짐(기계)</t>
  </si>
  <si>
    <t xml:space="preserve">   ◎ 공사 기간    :    {Y=~MZZ0150~} &lt;개월&gt;</t>
  </si>
  <si>
    <t xml:space="preserve">250_1_5 = </t>
  </si>
  <si>
    <t>부착용 집게</t>
  </si>
  <si>
    <t xml:space="preserve">782_1_1+ = </t>
  </si>
  <si>
    <t>G13050007</t>
  </si>
  <si>
    <t xml:space="preserve">124_1_1+ = </t>
  </si>
  <si>
    <t xml:space="preserve">   조합 페인트</t>
  </si>
  <si>
    <t xml:space="preserve">         ~E0072040055.L~ / {Q} * {Bw} * {Bh}'&lt;Hr&gt;'  =  ?LA+</t>
  </si>
  <si>
    <t>별표 7/#6 터파기</t>
  </si>
  <si>
    <t>E0002010020</t>
  </si>
  <si>
    <t xml:space="preserve">   와이어메쉬설치</t>
  </si>
  <si>
    <t xml:space="preserve">183_1_1+ = </t>
  </si>
  <si>
    <t>1-2</t>
  </si>
  <si>
    <t xml:space="preserve">   보통철선</t>
  </si>
  <si>
    <t xml:space="preserve">         '보통인부 :'1'인' * QTY(10)'hr/EA'/ 8'hr' = {?,'9.999R'}qty'인/EA'</t>
  </si>
  <si>
    <t>철근</t>
  </si>
  <si>
    <t>500X5000</t>
  </si>
  <si>
    <t>QOPtimeDecCnt</t>
  </si>
  <si>
    <t xml:space="preserve">   보차도 경계석(직선)</t>
  </si>
  <si>
    <t>현장도착도</t>
  </si>
  <si>
    <t>SA00230</t>
  </si>
  <si>
    <t>용 접 공</t>
  </si>
  <si>
    <t xml:space="preserve">           '기 타 장 비             : 1 대 ---- 1 회'</t>
  </si>
  <si>
    <t xml:space="preserve">         '용인시청--------------------현장'</t>
  </si>
  <si>
    <t>K7011770-2</t>
  </si>
  <si>
    <t xml:space="preserve">562_1_4+ = </t>
  </si>
  <si>
    <t>No.25</t>
  </si>
  <si>
    <t xml:space="preserve">1303_1_2+ = </t>
  </si>
  <si>
    <t xml:space="preserve">215_1_4 = </t>
  </si>
  <si>
    <t xml:space="preserve">   ㄱ형강</t>
  </si>
  <si>
    <t>별표 48/#20 표층포설및다짐(기계)</t>
  </si>
  <si>
    <t>'(2024년 건설공사표준품셈 8-1-3 운반 및 수송('10,'17년 보완))'</t>
  </si>
  <si>
    <t xml:space="preserve"> (2024년 건설공사표준품셈 2-1-2 포장 절단)</t>
  </si>
  <si>
    <t>K5015100</t>
  </si>
  <si>
    <t xml:space="preserve">27_1_5 = </t>
  </si>
  <si>
    <t xml:space="preserve">58_1_4 = </t>
  </si>
  <si>
    <t xml:space="preserve">192_1_4+ = </t>
  </si>
  <si>
    <t xml:space="preserve">   설치비</t>
  </si>
  <si>
    <t xml:space="preserve">56_1_1 = </t>
  </si>
  <si>
    <t>물자/1-593/</t>
  </si>
  <si>
    <t>PE우수받이</t>
  </si>
  <si>
    <t>굴삭기(무한궤도)   0.6 M3</t>
  </si>
  <si>
    <t xml:space="preserve">   CON'C 타설(펌프차)</t>
  </si>
  <si>
    <t xml:space="preserve">15_1_2 = </t>
  </si>
  <si>
    <t xml:space="preserve">   W : Ww / Ws* 100</t>
  </si>
  <si>
    <t>No.25 흄관 접합및부설</t>
  </si>
  <si>
    <t>별표 4/#4 유용토운반</t>
  </si>
  <si>
    <t>공 종 명</t>
  </si>
  <si>
    <t>12x910x1820㎜(내수합판)</t>
  </si>
  <si>
    <t xml:space="preserve">192_1_4 = </t>
  </si>
  <si>
    <t xml:space="preserve">161_1_1 = </t>
  </si>
  <si>
    <t xml:space="preserve">                   't4 : 기준시간 x f1 x f2 x 타설량 (펌프차 타설)'</t>
  </si>
  <si>
    <t xml:space="preserve">268_1_3+ = </t>
  </si>
  <si>
    <t>3-1 강관지주(H=6.0m 이하)</t>
  </si>
  <si>
    <t>경    유</t>
  </si>
  <si>
    <t>M1749425</t>
  </si>
  <si>
    <t>경비</t>
  </si>
  <si>
    <t xml:space="preserve">   크레인(타이어:재료비)</t>
  </si>
  <si>
    <t xml:space="preserve">   보조기층 부설 및 다짐</t>
  </si>
  <si>
    <t xml:space="preserve">              T  = {Tc} + {Tb} = {?,'9.999R'}'hr'</t>
  </si>
  <si>
    <t>A-Type</t>
  </si>
  <si>
    <t>/</t>
  </si>
  <si>
    <t>M0144009</t>
  </si>
  <si>
    <t>노임할증계수(터널구간:야간)</t>
  </si>
  <si>
    <t>QECU2WON</t>
  </si>
  <si>
    <t xml:space="preserve">   세륜시설운영</t>
  </si>
  <si>
    <t>노임할증계수(장대터널:주야간)</t>
  </si>
  <si>
    <t>별표 9/#8 아스팔트 포장절단</t>
  </si>
  <si>
    <t>별표 50/#22  택 코 팅</t>
  </si>
  <si>
    <t>융착식 도료용 접착제 18ℓ</t>
  </si>
  <si>
    <t xml:space="preserve">   보차도 경계석(곡선)</t>
  </si>
  <si>
    <t xml:space="preserve">   원지반 다짐</t>
  </si>
  <si>
    <t>510X410X940</t>
  </si>
  <si>
    <t>M5380300</t>
  </si>
  <si>
    <t xml:space="preserve">184,499 천원  </t>
  </si>
  <si>
    <t>E0072060020</t>
  </si>
  <si>
    <t xml:space="preserve">A = </t>
  </si>
  <si>
    <t xml:space="preserve">대    </t>
  </si>
  <si>
    <t>잡 재 료</t>
  </si>
  <si>
    <t xml:space="preserve">JS                                                                                                  </t>
  </si>
  <si>
    <t xml:space="preserve">89_1_2+ = </t>
  </si>
  <si>
    <t>No.38  모르터</t>
  </si>
  <si>
    <t>별표 55/#24 보차도 경계석(직선)</t>
  </si>
  <si>
    <t xml:space="preserve">1257_1_1 = </t>
  </si>
  <si>
    <t xml:space="preserve">1303_1_3 = </t>
  </si>
  <si>
    <t xml:space="preserve">   값   </t>
  </si>
  <si>
    <t xml:space="preserve">         '보통인부 : 500 m 당 1인 소요'</t>
  </si>
  <si>
    <t>L085</t>
  </si>
  <si>
    <t>경비계금액소숫점</t>
  </si>
  <si>
    <t xml:space="preserve">770_1_1+ = </t>
  </si>
  <si>
    <t xml:space="preserve">73_1_5+ = </t>
  </si>
  <si>
    <t xml:space="preserve">   덤프트럭</t>
  </si>
  <si>
    <t>도저운반(토사)</t>
  </si>
  <si>
    <t>하이바(고장력철근)</t>
  </si>
  <si>
    <t xml:space="preserve">   PVC 지수판설치</t>
  </si>
  <si>
    <t xml:space="preserve">782_1_4 = </t>
  </si>
  <si>
    <t>벽체용</t>
  </si>
  <si>
    <t>No.40</t>
  </si>
  <si>
    <t xml:space="preserve">          0.03'매'/ 10'm2' = {?,'9.999R'}qty'매'</t>
  </si>
  <si>
    <t xml:space="preserve">   (2024년 건설공사표준품셈 6-1-6 콘크리트 치핑)</t>
  </si>
  <si>
    <t xml:space="preserve">.MA=MA(10,0,20)*0.05_x000D_
</t>
  </si>
  <si>
    <t xml:space="preserve">757_1_1 = </t>
  </si>
  <si>
    <t xml:space="preserve">  (2024년 건설공사표준품셈-토목 1-3-1 인력식 소규모장비 포설)</t>
  </si>
  <si>
    <t xml:space="preserve">DH = </t>
  </si>
  <si>
    <t>2024-01-10 16:32:09</t>
  </si>
  <si>
    <t xml:space="preserve">   카스토퍼(주차블럭)</t>
  </si>
  <si>
    <t xml:space="preserve">Q+ = </t>
  </si>
  <si>
    <t xml:space="preserve">          1 / 80 = {?,'9.999R'}QTY'인/m'</t>
  </si>
  <si>
    <t xml:space="preserve">48_1_1+ = </t>
  </si>
  <si>
    <t xml:space="preserve">393_1_3 = </t>
  </si>
  <si>
    <t>#30 가설사무소(3.0×12.0) | 콘테이너|식</t>
  </si>
  <si>
    <t xml:space="preserve">   아스팔트 스프레이어</t>
  </si>
  <si>
    <t xml:space="preserve">   세퍼레이터</t>
  </si>
  <si>
    <t xml:space="preserve">T3 = </t>
  </si>
  <si>
    <t>살    수</t>
  </si>
  <si>
    <t>철재면 1회</t>
  </si>
  <si>
    <t>M1143066</t>
  </si>
  <si>
    <t>별표 48/#20 표층포설및다짐(기계) | 주간:T=5CM|M2</t>
  </si>
  <si>
    <t>물탱크(살수차)</t>
  </si>
  <si>
    <t>56801007022</t>
  </si>
  <si>
    <t xml:space="preserve">   포 장 공</t>
  </si>
  <si>
    <t xml:space="preserve"> 나. 노무비</t>
  </si>
  <si>
    <t xml:space="preserve">   굴 삭 기</t>
  </si>
  <si>
    <t>크레인(타이어)</t>
  </si>
  <si>
    <t xml:space="preserve">250_1_3+ = </t>
  </si>
  <si>
    <t>로더(타이어)   1.72 M3</t>
  </si>
  <si>
    <t>0.7 M3</t>
  </si>
  <si>
    <t>공구손료및경장비</t>
  </si>
  <si>
    <t>MP-T70</t>
  </si>
  <si>
    <t xml:space="preserve">1393_1_1+ = </t>
  </si>
  <si>
    <t>철재면 2회(붓칠)</t>
  </si>
  <si>
    <t xml:space="preserve">190_1_5 = </t>
  </si>
  <si>
    <t xml:space="preserve">  (2024년 건설공사표준품셈 8-2-15 대형브레이커)</t>
  </si>
  <si>
    <t>K2020010</t>
  </si>
  <si>
    <t>방음벽(H5.0m)+방진망(H1.0m)</t>
  </si>
  <si>
    <t xml:space="preserve">LAA7 = </t>
  </si>
  <si>
    <t xml:space="preserve">   배 관 공</t>
  </si>
  <si>
    <t>390</t>
  </si>
  <si>
    <t>QDECEQ</t>
  </si>
  <si>
    <t xml:space="preserve">1321_1_4+ = </t>
  </si>
  <si>
    <t>200x250x1000㎜(곡선)</t>
  </si>
  <si>
    <t xml:space="preserve">   터 파 기</t>
  </si>
  <si>
    <t>M9366005</t>
  </si>
  <si>
    <t>별표 55/#24 보차도 경계석(직선) | 화강석(200*250)|M</t>
  </si>
  <si>
    <t xml:space="preserve">위험할증(교량작업:인도교)               </t>
  </si>
  <si>
    <t xml:space="preserve">103_1_2 = </t>
  </si>
  <si>
    <t xml:space="preserve">134_1_4 = </t>
  </si>
  <si>
    <t xml:space="preserve">ZT00010                                                                                             </t>
  </si>
  <si>
    <t>별표 8/#7 되메우기및다짐(기계)</t>
  </si>
  <si>
    <t>양생품의41%</t>
  </si>
  <si>
    <t>20 TON(노무비경비)</t>
  </si>
  <si>
    <t xml:space="preserve">1235_1_2 = </t>
  </si>
  <si>
    <t>40mm이하</t>
  </si>
  <si>
    <t xml:space="preserve"> 가. 되메우기 (인력)</t>
  </si>
  <si>
    <t xml:space="preserve">29_1_1+ = </t>
  </si>
  <si>
    <t>BH 0.6M3, 인력10%</t>
  </si>
  <si>
    <t>K7011031</t>
  </si>
  <si>
    <t>별표 21/#18 유 로 폼</t>
  </si>
  <si>
    <t>M3357018</t>
  </si>
  <si>
    <t>별표 51/#23 프라임 코팅 | 주간:수동식|M2</t>
  </si>
  <si>
    <t xml:space="preserve">    ' Q = 60 * W * E * f / Cm'</t>
  </si>
  <si>
    <t xml:space="preserve">V2 = </t>
  </si>
  <si>
    <t>별표 7/#6  터파기</t>
  </si>
  <si>
    <t>G32010003</t>
  </si>
  <si>
    <t xml:space="preserve">510_1_4 = </t>
  </si>
  <si>
    <t>M1749015</t>
  </si>
  <si>
    <t>%</t>
  </si>
  <si>
    <t xml:space="preserve">         '특별인부 : 450 m 당 1인 소요'</t>
  </si>
  <si>
    <t xml:space="preserve">782_1_6+ = </t>
  </si>
  <si>
    <t>QUS2WON1</t>
  </si>
  <si>
    <t>대</t>
  </si>
  <si>
    <t xml:space="preserve">슬래브관 관두께(m)                      </t>
  </si>
  <si>
    <t>탠덤롤러(자주식)</t>
  </si>
  <si>
    <t xml:space="preserve">          0.3 'L/m2' * 1.03 = {?,'9.999R'}qty'L/m2'</t>
  </si>
  <si>
    <t xml:space="preserve">   작업보조인부</t>
  </si>
  <si>
    <t xml:space="preserve">   보차도용콘크리트블록</t>
  </si>
  <si>
    <t xml:space="preserve">  '-EGI철판(550X2400) :' ~MZE001~ * 2'매'* 0.25 =?EQ+</t>
  </si>
  <si>
    <t xml:space="preserve">         '운반비 : RSC-4재료비의 10 %'</t>
  </si>
  <si>
    <t xml:space="preserve">   와이어메쉬</t>
  </si>
  <si>
    <t xml:space="preserve">개월  </t>
  </si>
  <si>
    <t xml:space="preserve">778_1_1+ = </t>
  </si>
  <si>
    <t xml:space="preserve">         '단위중량 2.35 톤/m3, 할증 1.02, 포설두께 0.05 m'</t>
  </si>
  <si>
    <t xml:space="preserve">1237_1_1+ = </t>
  </si>
  <si>
    <t>No.44</t>
  </si>
  <si>
    <t>1000X150X120</t>
  </si>
  <si>
    <t xml:space="preserve">776_1_1 = </t>
  </si>
  <si>
    <t>M0765215</t>
  </si>
  <si>
    <t xml:space="preserve">   보조기층 포설다짐</t>
  </si>
  <si>
    <t xml:space="preserve"> 가. 자 재 비</t>
  </si>
  <si>
    <t xml:space="preserve">562_1_3+ = </t>
  </si>
  <si>
    <t>80100037011</t>
  </si>
  <si>
    <t>200x250x1000㎜(직선)</t>
  </si>
  <si>
    <t>6회</t>
  </si>
  <si>
    <t>기구손료및기계정비</t>
  </si>
  <si>
    <t>별표 50/#22 택 코 팅 | 주간:수동식|M2</t>
  </si>
  <si>
    <t xml:space="preserve">         '포화 함수비 : 23.7 %'</t>
  </si>
  <si>
    <t xml:space="preserve">      Q = 3600 * {qo} * {f} * {k} * {E} / {Cm} = {?,'9.9R'}'m3/hr'</t>
  </si>
  <si>
    <t xml:space="preserve">          1.0 / 450 = {?,'9.999R'}qty'인'</t>
  </si>
  <si>
    <t xml:space="preserve">562_1_3 = </t>
  </si>
  <si>
    <t xml:space="preserve">         '치즐 소모량 :'</t>
  </si>
  <si>
    <t>M1749030</t>
  </si>
  <si>
    <t xml:space="preserve">   플레이트 콤팩터</t>
  </si>
  <si>
    <t xml:space="preserve">192_1_3+ = </t>
  </si>
  <si>
    <t>중기야간경비산출계수</t>
  </si>
  <si>
    <t>비교검토</t>
  </si>
  <si>
    <t xml:space="preserve">1303_1_5+ = </t>
  </si>
  <si>
    <t>46300117102</t>
  </si>
  <si>
    <t xml:space="preserve">   LADDER</t>
  </si>
  <si>
    <t xml:space="preserve">656_1_3+ = </t>
  </si>
  <si>
    <t xml:space="preserve">S = </t>
  </si>
  <si>
    <t>K2010330</t>
  </si>
  <si>
    <t xml:space="preserve">1253_1_2 = </t>
  </si>
  <si>
    <t xml:space="preserve">   (2024년 건설공사표준품셈 3-2-1 인력 흙 다지기)</t>
  </si>
  <si>
    <t xml:space="preserve">535_1_7 = </t>
  </si>
  <si>
    <t>32 M (80~95 M3/hr)</t>
  </si>
  <si>
    <t xml:space="preserve">1378_1_1 = </t>
  </si>
  <si>
    <t xml:space="preserve">          운반거리 35.0KM</t>
  </si>
  <si>
    <t>56900017059</t>
  </si>
  <si>
    <t xml:space="preserve">235_1_3+ = </t>
  </si>
  <si>
    <t xml:space="preserve">1324_1_1 = </t>
  </si>
  <si>
    <t>No.61</t>
  </si>
  <si>
    <t>310</t>
  </si>
  <si>
    <t xml:space="preserve">          1 / Q = {?,'9.999R'}qty'hr/m'</t>
  </si>
  <si>
    <t xml:space="preserve">     'Q = 60 * qo * f * E / Cm'</t>
  </si>
  <si>
    <t>D=500MM</t>
  </si>
  <si>
    <t>단 가</t>
  </si>
  <si>
    <t>비 계 공</t>
  </si>
  <si>
    <t>QLINCX</t>
  </si>
  <si>
    <t>건설기계운전사</t>
  </si>
  <si>
    <t>L041</t>
  </si>
  <si>
    <t xml:space="preserve">&gt;&gt;EQ = </t>
  </si>
  <si>
    <t>Ø648㎜</t>
  </si>
  <si>
    <t>비    고</t>
  </si>
  <si>
    <t xml:space="preserve">   '(2024년 건설공사표준품셈 8-2-3 굴삭기)'</t>
  </si>
  <si>
    <t>주재료비의1%</t>
  </si>
  <si>
    <t>G72100485</t>
  </si>
  <si>
    <t xml:space="preserve">   보차도 경계석(낮춤석)</t>
  </si>
  <si>
    <t xml:space="preserve">         '100 m 당 물소요량은 2톤'</t>
  </si>
  <si>
    <t>별표 7/#6 터파기 | 무대,토사|M3</t>
  </si>
  <si>
    <t xml:space="preserve">   탠덤로울러(자주식)</t>
  </si>
  <si>
    <t xml:space="preserve">1294_1_1+ = </t>
  </si>
  <si>
    <t xml:space="preserve">105_1_3+ = </t>
  </si>
  <si>
    <t>1-898</t>
  </si>
  <si>
    <t>No.68  보도용블럭설치(소형)</t>
  </si>
  <si>
    <t>12×3.0×2.6ｍ  (사무실용)</t>
  </si>
  <si>
    <t>S</t>
  </si>
  <si>
    <t>부착용 집게   0.2 KW</t>
  </si>
  <si>
    <t xml:space="preserve">226_1_1 = </t>
  </si>
  <si>
    <t xml:space="preserve">          단위중량 2.35 톤/m3, 할증 1.02, 포설두께 0.05 m</t>
  </si>
  <si>
    <t xml:space="preserve">          3 / 170 = {?,'9.999R'}QTY'인/m'</t>
  </si>
  <si>
    <t xml:space="preserve">  적  재 (BH 0.6 M3)</t>
  </si>
  <si>
    <t>.MA= MA(20,30) * 0.08</t>
  </si>
  <si>
    <t xml:space="preserve">병렬터널 할증 (양방향)                  </t>
  </si>
  <si>
    <t xml:space="preserve">TB+ = </t>
  </si>
  <si>
    <t>별표 50/#22 택 코 팅</t>
  </si>
  <si>
    <t>MS-120   벽체용</t>
  </si>
  <si>
    <t xml:space="preserve">   모르터</t>
  </si>
  <si>
    <t>430</t>
  </si>
  <si>
    <t xml:space="preserve">1300_1_1+ = </t>
  </si>
  <si>
    <t xml:space="preserve">   보차도경계석(화강석)</t>
  </si>
  <si>
    <t xml:space="preserve">89_1_2 = </t>
  </si>
  <si>
    <t>물탱크(살수차)   5500 L</t>
  </si>
  <si>
    <t xml:space="preserve">265_1_2 = </t>
  </si>
  <si>
    <t xml:space="preserve">   철    공</t>
  </si>
  <si>
    <t xml:space="preserve">   L P G</t>
  </si>
  <si>
    <t>M4329011</t>
  </si>
  <si>
    <t xml:space="preserve">※ 노란색 셀을 수정하고 툴바에서 수식 &gt; 시트계산을 하면 </t>
  </si>
  <si>
    <t xml:space="preserve">   (2024년 건설공사표준품셈 6-6-1 고무링 접합 및 부설)</t>
  </si>
  <si>
    <t>연결핀(단관비계)</t>
  </si>
  <si>
    <t>No.21</t>
  </si>
  <si>
    <t>Φ48.6×1.8t</t>
  </si>
  <si>
    <t xml:space="preserve">          100 m 당 물소요량은 2톤</t>
  </si>
  <si>
    <t xml:space="preserve">    2) 특별인부  90 m당 3인 소요</t>
  </si>
  <si>
    <t xml:space="preserve">      Q = 2.0 / 10 = {?,'9.999R'}QTY' ㎏/㎡'</t>
  </si>
  <si>
    <t xml:space="preserve">         '상     차 :  20분당 4본 상차 '</t>
  </si>
  <si>
    <t xml:space="preserve">670_1_2+ = </t>
  </si>
  <si>
    <t>350</t>
  </si>
  <si>
    <t xml:space="preserve">   8.0'hr'/ 63'm3' = {?,'9.999R'}qty'hr/m3'</t>
  </si>
  <si>
    <t xml:space="preserve">OH = </t>
  </si>
  <si>
    <t>56201007271</t>
  </si>
  <si>
    <t>노임할증계수(해상장비:주간)</t>
  </si>
  <si>
    <t xml:space="preserve">H-형강손료                              </t>
  </si>
  <si>
    <t xml:space="preserve">73_1_2+ = </t>
  </si>
  <si>
    <t>대형 브레이카   0.7 M3용</t>
  </si>
  <si>
    <t xml:space="preserve">126_1_1 = </t>
  </si>
  <si>
    <t xml:space="preserve">132_1_6 = </t>
  </si>
  <si>
    <t xml:space="preserve">QO+ = </t>
  </si>
  <si>
    <t>M4077023</t>
  </si>
  <si>
    <t xml:space="preserve"> 가. 원석대(모래)</t>
  </si>
  <si>
    <t>K2040220</t>
  </si>
  <si>
    <t>No.54  카스토퍼설치</t>
  </si>
  <si>
    <t xml:space="preserve">   철근운반</t>
  </si>
  <si>
    <t xml:space="preserve">   되메우기및다짐(인력)</t>
  </si>
  <si>
    <t xml:space="preserve">          8.0'hr'/ 4500'm2' = {?,'9.999R'}qty'hr/m2'</t>
  </si>
  <si>
    <t>주간(토사)</t>
  </si>
  <si>
    <t xml:space="preserve">잭손율(24개월받침철물적용)              </t>
  </si>
  <si>
    <t>타이어롤러(자주식)   8 - 15 TON</t>
  </si>
  <si>
    <t xml:space="preserve">250_1_4 = </t>
  </si>
  <si>
    <t xml:space="preserve">   '특별인부 :' 2.44'인' * ~L084~ =?LA+</t>
  </si>
  <si>
    <t xml:space="preserve">T+ = </t>
  </si>
  <si>
    <t xml:space="preserve">        '콘크리트공 :' 5'인' * {T} / 8.0 / {Q} = {?,'9.999R'}QTY'인/m3'</t>
  </si>
  <si>
    <t>절     취</t>
  </si>
  <si>
    <t>1-477</t>
  </si>
  <si>
    <t xml:space="preserve">MA=MA(20,0,30)*0.05_x000D_
</t>
  </si>
  <si>
    <t>QLINCB</t>
  </si>
  <si>
    <t>56900017122</t>
  </si>
  <si>
    <t xml:space="preserve">   계</t>
  </si>
  <si>
    <t xml:space="preserve">   2. 우수,오수,상수공</t>
  </si>
  <si>
    <t xml:space="preserve">285_1_1 = </t>
  </si>
  <si>
    <t xml:space="preserve">     '고휘도용 유리알 :'  (45.3 * 0.25) / 10 * 0.4 = {?,'9.9R'}QTY' ㎏/㎡'</t>
  </si>
  <si>
    <t xml:space="preserve">73_1_3 = </t>
  </si>
  <si>
    <t>별표 60/#29  장비 운반비</t>
  </si>
  <si>
    <t xml:space="preserve">255_1_5 = </t>
  </si>
  <si>
    <t xml:space="preserve">262_1_3 = </t>
  </si>
  <si>
    <t xml:space="preserve">291_1_6 = </t>
  </si>
  <si>
    <t xml:space="preserve">   스페이서 설치</t>
  </si>
  <si>
    <t xml:space="preserve">132_1_2+ = </t>
  </si>
  <si>
    <t xml:space="preserve">250_1_6+ = </t>
  </si>
  <si>
    <t>비 고</t>
  </si>
  <si>
    <t xml:space="preserve">              Tc : 콘크리트 펌프차 운전시간</t>
  </si>
  <si>
    <t xml:space="preserve">     'Q = 1000 * V * W * D * E * f / N'</t>
  </si>
  <si>
    <t>컷    터</t>
  </si>
  <si>
    <t xml:space="preserve">하반할증                                </t>
  </si>
  <si>
    <t>No.8</t>
  </si>
  <si>
    <t xml:space="preserve">HR    </t>
  </si>
  <si>
    <t xml:space="preserve">          작업 보조인부 :</t>
  </si>
  <si>
    <t>No.36  PVC 지수판설치</t>
  </si>
  <si>
    <t xml:space="preserve"> '(2024년 건설공사표준품셈 8-2-1 불도저)'</t>
  </si>
  <si>
    <t xml:space="preserve">124_1_1 = </t>
  </si>
  <si>
    <t>[EMPTY DB]</t>
  </si>
  <si>
    <t xml:space="preserve">185_1_1 = </t>
  </si>
  <si>
    <t>No.69  보조기층 부설 및 다짐</t>
  </si>
  <si>
    <t>QDM2WON</t>
  </si>
  <si>
    <t>노임할증계수(터널구간:주간)</t>
  </si>
  <si>
    <t xml:space="preserve"> 1) 노무비</t>
  </si>
  <si>
    <t xml:space="preserve">T3+ = </t>
  </si>
  <si>
    <t xml:space="preserve">   진동 로울러 (핸드가이드식)</t>
  </si>
  <si>
    <t xml:space="preserve">1321_1_1+ = </t>
  </si>
  <si>
    <t xml:space="preserve">15_1_3+ = </t>
  </si>
  <si>
    <t>별표 49/#21 기층포설및다짐(기계)</t>
  </si>
  <si>
    <t>별표 12/#11  철근콘크리트 깨기</t>
  </si>
  <si>
    <t xml:space="preserve">   PE관</t>
  </si>
  <si>
    <t>No.52</t>
  </si>
  <si>
    <t>.eq=LA(20,30)*0.03</t>
  </si>
  <si>
    <t>1-594</t>
  </si>
  <si>
    <t xml:space="preserve">             'Tb : 인력에의한 타설준비 및 마무리시간'</t>
  </si>
  <si>
    <t xml:space="preserve">   작업보조인부(보통인부)</t>
  </si>
  <si>
    <t xml:space="preserve">29_1_4+ = </t>
  </si>
  <si>
    <t xml:space="preserve">1360_1_3 = </t>
  </si>
  <si>
    <t xml:space="preserve">BS02                                                                                                </t>
  </si>
  <si>
    <t>280</t>
  </si>
  <si>
    <t xml:space="preserve">   비 계 공</t>
  </si>
  <si>
    <t xml:space="preserve">      '경    비 :'</t>
  </si>
  <si>
    <t xml:space="preserve">          100 M 당  0.27개 소요</t>
  </si>
  <si>
    <t xml:space="preserve">          보통인부 : 인력 흙다지기 - 성토두께 30cm, 토사</t>
  </si>
  <si>
    <t>원형맨홀(주철제)</t>
  </si>
  <si>
    <t>K3060116</t>
  </si>
  <si>
    <t xml:space="preserve">253_1_2+ = </t>
  </si>
  <si>
    <t xml:space="preserve">1326_1_1 = </t>
  </si>
  <si>
    <t xml:space="preserve">M/T   </t>
  </si>
  <si>
    <t>화강석(200X100)</t>
  </si>
  <si>
    <t>#.30</t>
  </si>
  <si>
    <t>No.6</t>
  </si>
  <si>
    <t>발포폴리스티랜</t>
  </si>
  <si>
    <t xml:space="preserve">587_1_1 = </t>
  </si>
  <si>
    <t>2.5 TON</t>
  </si>
  <si>
    <t>SF031050</t>
  </si>
  <si>
    <t>혼합골재</t>
  </si>
  <si>
    <t xml:space="preserve">1300_1_1 = </t>
  </si>
  <si>
    <t xml:space="preserve">782_1_3+ = </t>
  </si>
  <si>
    <t xml:space="preserve">로드헤드운전원                          </t>
  </si>
  <si>
    <t>별표 13/#12 무근콘크리트 깨기</t>
  </si>
  <si>
    <t>M15750400</t>
  </si>
  <si>
    <t>거래</t>
  </si>
  <si>
    <t>L032</t>
  </si>
  <si>
    <t>EA</t>
  </si>
  <si>
    <t>2인/90개</t>
  </si>
  <si>
    <t xml:space="preserve">.EQ=LA(60,0,70)*0.02_x000D_
</t>
  </si>
  <si>
    <t xml:space="preserve">163_1_2+ = </t>
  </si>
  <si>
    <t>M1209015</t>
  </si>
  <si>
    <t xml:space="preserve">    Q = (1000*V*W*E)/N =? '㎡/HR'</t>
  </si>
  <si>
    <t xml:space="preserve">BW = </t>
  </si>
  <si>
    <t>중기가격</t>
  </si>
  <si>
    <t>No.53 인조화강석블럭포장</t>
  </si>
  <si>
    <t>제외</t>
  </si>
  <si>
    <t>N0303</t>
  </si>
  <si>
    <t xml:space="preserve"> (2024년 건설공사표준품셈-토목 1-8-9 차선도색)</t>
  </si>
  <si>
    <t>No.12</t>
  </si>
  <si>
    <t>환율(사용자 환율1)</t>
  </si>
  <si>
    <t xml:space="preserve">665_1_2 = </t>
  </si>
  <si>
    <t xml:space="preserve">       재 료 비 :</t>
  </si>
  <si>
    <t xml:space="preserve">          8.0'hr'/ 90'm' = {?,'9.999R'}qty'hr/m'</t>
  </si>
  <si>
    <t xml:space="preserve">562_1_6+ = </t>
  </si>
  <si>
    <t>K2010500</t>
  </si>
  <si>
    <t>운    반</t>
  </si>
  <si>
    <t>와이어메쉬</t>
  </si>
  <si>
    <t xml:space="preserve">192_1_6+ = </t>
  </si>
  <si>
    <t xml:space="preserve">          1 / Q * A = {?,'9.999R'}qty'본/m3'</t>
  </si>
  <si>
    <t>RC-1,3 P/K(200ℓ) Tack coat용</t>
  </si>
  <si>
    <t xml:space="preserve"> 다. 아스팔트 스프레이어 (400 L)</t>
  </si>
  <si>
    <t xml:space="preserve">   유 로 폼</t>
  </si>
  <si>
    <t xml:space="preserve">1303_1_2 = </t>
  </si>
  <si>
    <t>240</t>
  </si>
  <si>
    <t>80100047105</t>
  </si>
  <si>
    <t xml:space="preserve">257_1_2+ = </t>
  </si>
  <si>
    <t>1</t>
  </si>
  <si>
    <t xml:space="preserve">BW+ = </t>
  </si>
  <si>
    <t>고정</t>
  </si>
  <si>
    <t xml:space="preserve">K = </t>
  </si>
  <si>
    <t xml:space="preserve">   아스팔트콘크리트</t>
  </si>
  <si>
    <t>KSM6030 18ℓ</t>
  </si>
  <si>
    <t xml:space="preserve">          1 / Q * {OH} =  {?,'9.999C'}qty'hr/m3'</t>
  </si>
  <si>
    <t>휘 발 유</t>
  </si>
  <si>
    <t>E0021050015</t>
  </si>
  <si>
    <t xml:space="preserve">1296_1_2 = </t>
  </si>
  <si>
    <t xml:space="preserve">   발포폴리스티랜</t>
  </si>
  <si>
    <t xml:space="preserve">593_1_2+ = </t>
  </si>
  <si>
    <t>불도저(무한궤도)</t>
  </si>
  <si>
    <t xml:space="preserve">   CON'C 타설(굴삭기)</t>
  </si>
  <si>
    <t>별표 64/#35 터파기 | BH 0.6M3, 인력10%|m3</t>
  </si>
  <si>
    <t>2인/50일</t>
  </si>
  <si>
    <t xml:space="preserve">774_1_1 = </t>
  </si>
  <si>
    <t>산 출 근 거</t>
  </si>
  <si>
    <t xml:space="preserve">  (2024년 건설공사표준품셈 2-1-2 포장 절단)</t>
  </si>
  <si>
    <t>56900017041</t>
  </si>
  <si>
    <t>No.37</t>
  </si>
  <si>
    <t>M1155009</t>
  </si>
  <si>
    <t>1. 콘테이너하우스 (3.0*12.0*2.6)</t>
  </si>
  <si>
    <t>No.30  PE관 설치</t>
  </si>
  <si>
    <t xml:space="preserve">268_1_1+ = </t>
  </si>
  <si>
    <t>별표 57/#26  보차도 경계석(낮춤석)</t>
  </si>
  <si>
    <t>계산제외</t>
  </si>
  <si>
    <t xml:space="preserve">   합판거푸집</t>
  </si>
  <si>
    <t xml:space="preserve">782_1_5 = </t>
  </si>
  <si>
    <t xml:space="preserve">      Q = {60} * {q} * {f} * {E} / {Cm} = {?,'9.9R'}'톤/hr'</t>
  </si>
  <si>
    <t>대형 브레이카</t>
  </si>
  <si>
    <t>M1209030</t>
  </si>
  <si>
    <t>QDATE</t>
  </si>
  <si>
    <t>200</t>
  </si>
  <si>
    <t>1-85</t>
  </si>
  <si>
    <t xml:space="preserve"> 라. 배치인원</t>
  </si>
  <si>
    <t>대형브레이카</t>
  </si>
  <si>
    <t xml:space="preserve">   절     취</t>
  </si>
  <si>
    <t>E0045040032</t>
  </si>
  <si>
    <t xml:space="preserve">1315_1_1+ = </t>
  </si>
  <si>
    <t>배 관 공</t>
  </si>
  <si>
    <t xml:space="preserve">15_1_3 = </t>
  </si>
  <si>
    <t xml:space="preserve">56_1_2+ = </t>
  </si>
  <si>
    <t>별표 65/#36  잔토처리</t>
  </si>
  <si>
    <t xml:space="preserve">AA                                                                                                  </t>
  </si>
  <si>
    <t xml:space="preserve">291_1_2+ = </t>
  </si>
  <si>
    <t>물정/1-239/</t>
  </si>
  <si>
    <t xml:space="preserve">27_1_4 = </t>
  </si>
  <si>
    <t xml:space="preserve">58_1_5 = </t>
  </si>
  <si>
    <t>시간당노임산출계수(터널구간)</t>
  </si>
  <si>
    <t>포    설</t>
  </si>
  <si>
    <t>터 파 기</t>
  </si>
  <si>
    <t>굴삭기(타이어)</t>
  </si>
  <si>
    <t xml:space="preserve">215_1_5 = </t>
  </si>
  <si>
    <t>No.39</t>
  </si>
  <si>
    <t xml:space="preserve">          포화 함수비 : 23.7 %</t>
  </si>
  <si>
    <t>K3032412</t>
  </si>
  <si>
    <t xml:space="preserve">   '2) 특별인부  170 m당 3인 소요 '</t>
  </si>
  <si>
    <t xml:space="preserve">   PE관 설치(상수)</t>
  </si>
  <si>
    <t xml:space="preserve">야간할증                                </t>
  </si>
  <si>
    <t xml:space="preserve">1300_1_4+ = </t>
  </si>
  <si>
    <t>조단/유물/</t>
  </si>
  <si>
    <t xml:space="preserve">238_1_1 = </t>
  </si>
  <si>
    <t xml:space="preserve">29_1_1 = </t>
  </si>
  <si>
    <t>K3010112</t>
  </si>
  <si>
    <t>No.61 세륜 세차 시설</t>
  </si>
  <si>
    <t>세퍼레이터</t>
  </si>
  <si>
    <t xml:space="preserve"> (2024년 건설공사표준품셈 8-2-5 로더)</t>
  </si>
  <si>
    <t>E0017300015</t>
  </si>
  <si>
    <t xml:space="preserve">73_1_7+ = </t>
  </si>
  <si>
    <t xml:space="preserve">   표지시트</t>
  </si>
  <si>
    <t>MA</t>
  </si>
  <si>
    <t xml:space="preserve">          1 / Qw  = {?,'9.999R'}qty'hr/m3'</t>
  </si>
  <si>
    <t>진동 로울러 (핸드가이드식)</t>
  </si>
  <si>
    <t xml:space="preserve"> 바. 덤프트럭(4.5TON)</t>
  </si>
  <si>
    <t>주간(토사)(비다짐)</t>
  </si>
  <si>
    <t xml:space="preserve">209_1_1+ = </t>
  </si>
  <si>
    <t xml:space="preserve">   배 관 공(부설)(0.37/6)</t>
  </si>
  <si>
    <t>아스팔트 피니셔</t>
  </si>
  <si>
    <t>재료비할증계수(주야간)</t>
  </si>
  <si>
    <t>MHJ0170</t>
  </si>
  <si>
    <t xml:space="preserve">    '특별인부:' 2 '인'/ 126'㎡' = {?,'9.999R'}QTY'인/㎡'</t>
  </si>
  <si>
    <t>56300117821</t>
  </si>
  <si>
    <t>포 장 공</t>
  </si>
  <si>
    <t xml:space="preserve">192_1_5 = </t>
  </si>
  <si>
    <t>G02110060</t>
  </si>
  <si>
    <t>K2010220</t>
  </si>
  <si>
    <t>별표 11/#10  콘크리트 포장절단</t>
  </si>
  <si>
    <t xml:space="preserve">   보통인부</t>
  </si>
  <si>
    <t>별표 57/#26 보차도 경계석(낮춤석)</t>
  </si>
  <si>
    <t xml:space="preserve">665_1_2+ = </t>
  </si>
  <si>
    <t>굴삭기(무한궤도)</t>
  </si>
  <si>
    <t>.T1=3.30</t>
  </si>
  <si>
    <t xml:space="preserve">EQ = TOT(10,0,240) * 0.54 /100 - 04899  = ?_x000D_
</t>
  </si>
  <si>
    <t>150</t>
  </si>
  <si>
    <t xml:space="preserve">      Q = 1 / ( 275 * 40) = {?,'9.999R'}qty'대/KG'</t>
  </si>
  <si>
    <t xml:space="preserve">510_1_5 = </t>
  </si>
  <si>
    <t>합 계</t>
  </si>
  <si>
    <t xml:space="preserve">4공구 장대할증                          </t>
  </si>
  <si>
    <t>물자/1-167/</t>
  </si>
  <si>
    <t xml:space="preserve">751_1_1+ = </t>
  </si>
  <si>
    <t xml:space="preserve">1255_1_1 = </t>
  </si>
  <si>
    <t xml:space="preserve">S+ = </t>
  </si>
  <si>
    <t>No.52 와이어메쉬설치</t>
  </si>
  <si>
    <t xml:space="preserve">EQ+ = </t>
  </si>
  <si>
    <t xml:space="preserve">          N = qo / (1.72 * 1.0) = {?,'9.9R'}</t>
  </si>
  <si>
    <t xml:space="preserve">           ------------------------------------------</t>
  </si>
  <si>
    <t xml:space="preserve">1235_1_3 = </t>
  </si>
  <si>
    <t xml:space="preserve">250_1_1+ = </t>
  </si>
  <si>
    <t>0.7 톤</t>
  </si>
  <si>
    <t xml:space="preserve"> 나. 콘크리트 펌프차 (80 M3/hr)</t>
  </si>
  <si>
    <t>Φ300</t>
  </si>
  <si>
    <t xml:space="preserve">  1/Q = {?,'9.999C'}qty'hr/m3'</t>
  </si>
  <si>
    <t>6개월</t>
  </si>
  <si>
    <t xml:space="preserve">   고무링(흄관용)</t>
  </si>
  <si>
    <t xml:space="preserve">132_1_5+ = </t>
  </si>
  <si>
    <t>5</t>
  </si>
  <si>
    <t>K7002200</t>
  </si>
  <si>
    <t xml:space="preserve">   콘크리트 포장절단</t>
  </si>
  <si>
    <t>5인/45일</t>
  </si>
  <si>
    <t>할 증</t>
  </si>
  <si>
    <t xml:space="preserve">755_1_1 = </t>
  </si>
  <si>
    <t xml:space="preserve">      Q = To * 5'대' * 2'회(왕복)' = {?,'9.999R'}qty'hr'</t>
  </si>
  <si>
    <t>별표 20/#17 CON'C 타설(펌프차) | 철근|M3</t>
  </si>
  <si>
    <t xml:space="preserve">T4+ = </t>
  </si>
  <si>
    <t xml:space="preserve">PHH1                                                                                                </t>
  </si>
  <si>
    <t xml:space="preserve">   프라임 코팅</t>
  </si>
  <si>
    <t xml:space="preserve">인                                                                                                  </t>
  </si>
  <si>
    <t>콘크리트스페이서</t>
  </si>
  <si>
    <t xml:space="preserve">   특별인부</t>
  </si>
  <si>
    <t>#32 전기아연도금 강판가설울타리</t>
  </si>
  <si>
    <t>No.33</t>
  </si>
  <si>
    <t xml:space="preserve">   잡 재 료</t>
  </si>
  <si>
    <t xml:space="preserve">       t4'(운반시간)' = ({L} / {V}) * 60 * 2  = ?'&lt;min&gt;'</t>
  </si>
  <si>
    <t xml:space="preserve">         '포 장 공 :' 4.0'인'/ 4800'm2' = {?,'9.999R'}qty'인/m2'</t>
  </si>
  <si>
    <t>30cm미만</t>
  </si>
  <si>
    <t>MZ2001000</t>
  </si>
  <si>
    <t xml:space="preserve">          BH 0.7 M3</t>
  </si>
  <si>
    <t xml:space="preserve"> 다. 물탱크 (5500L)</t>
  </si>
  <si>
    <t xml:space="preserve">29_1_3+ = </t>
  </si>
  <si>
    <t xml:space="preserve">348_1_2 = </t>
  </si>
  <si>
    <t xml:space="preserve"> '(2024년 건설공사표준품셈 8-2-9 롤러)'</t>
  </si>
  <si>
    <t>110</t>
  </si>
  <si>
    <t xml:space="preserve">   (2024년 건설공사표준품셈 3-1-2 인력굴착(토사))</t>
  </si>
  <si>
    <t>물자/1-292/</t>
  </si>
  <si>
    <t>K1010240</t>
  </si>
  <si>
    <t xml:space="preserve">   '보 통 인 부:' 0.006'인' * ~L085.L~ = ?LA+:LAA6</t>
  </si>
  <si>
    <t>문자</t>
  </si>
  <si>
    <t>t=6~8</t>
  </si>
  <si>
    <t>유로폼(내부패널)</t>
  </si>
  <si>
    <t xml:space="preserve">T2 = </t>
  </si>
  <si>
    <t>D13</t>
  </si>
  <si>
    <t xml:space="preserve">54_1_1 = </t>
  </si>
  <si>
    <t xml:space="preserve">393_1_2 = </t>
  </si>
  <si>
    <t>GS012</t>
  </si>
  <si>
    <t xml:space="preserve">          Cm = 1.8 * 8 + 9 + 14 = {?,'9.9R'}'sec'</t>
  </si>
  <si>
    <t xml:space="preserve">782_1_4+ = </t>
  </si>
  <si>
    <t xml:space="preserve">   PVC지수판</t>
  </si>
  <si>
    <t xml:space="preserve">652_1_1+ = </t>
  </si>
  <si>
    <t>별표 1/#1  흙깍기</t>
  </si>
  <si>
    <t xml:space="preserve">163_1_5+ = </t>
  </si>
  <si>
    <t xml:space="preserve">134_1_5 = </t>
  </si>
  <si>
    <t xml:space="preserve">103_1_3 = </t>
  </si>
  <si>
    <t xml:space="preserve">          치즐 소모량</t>
  </si>
  <si>
    <t>#32 전기아연도금 강판가설울타리 | EGI휀스, 6개월|m</t>
  </si>
  <si>
    <t xml:space="preserve">  크레인트럭 (10 ton)</t>
  </si>
  <si>
    <t>QH31</t>
  </si>
  <si>
    <t xml:space="preserve"> 가. 보조기층(도착도)</t>
  </si>
  <si>
    <t xml:space="preserve">  '-분진망            :' ~MZE007~ * 1'm2'=?EQ+</t>
  </si>
  <si>
    <t xml:space="preserve">190_1_4 = </t>
  </si>
  <si>
    <t xml:space="preserve">LAA6 = </t>
  </si>
  <si>
    <t xml:space="preserve">163_1_1 = </t>
  </si>
  <si>
    <t>Ø648㎜ KS규격</t>
  </si>
  <si>
    <t>프라이머</t>
  </si>
  <si>
    <t>M16x50</t>
  </si>
  <si>
    <t>트럭탑제형 크레인</t>
  </si>
  <si>
    <t>80</t>
  </si>
  <si>
    <t>OP값</t>
  </si>
  <si>
    <t>0.6 M3</t>
  </si>
  <si>
    <t xml:space="preserve">S                                                                                                   </t>
  </si>
  <si>
    <t xml:space="preserve">환율(일본엔화,2019년 05월)              </t>
  </si>
  <si>
    <t>노임할증계수(해상장비:야간)</t>
  </si>
  <si>
    <t>No.46  FRP오수처리시설 설치</t>
  </si>
  <si>
    <t xml:space="preserve">          0.05 * 2.35 * 1.02 = {?,'9.999R'}qty'ton/m2'</t>
  </si>
  <si>
    <t xml:space="preserve">         ' ------------------------------------------'</t>
  </si>
  <si>
    <t xml:space="preserve">562_1_1+ = </t>
  </si>
  <si>
    <t>4회,보통</t>
  </si>
  <si>
    <t xml:space="preserve">   공구손료및잡재료비</t>
  </si>
  <si>
    <t>QLINCF</t>
  </si>
  <si>
    <t xml:space="preserve">         '보통인부 :' 1.0'인'/ 4500'm2' = {?,'9.999R'}qty'인/m2'</t>
  </si>
  <si>
    <t xml:space="preserve">          4.0'hr'/ 4800'm2' = {?,'9.999R'}qty'hr/m2'</t>
  </si>
  <si>
    <t xml:space="preserve">93_1_1 = </t>
  </si>
  <si>
    <t xml:space="preserve">265_1_3 = </t>
  </si>
  <si>
    <t xml:space="preserve">          1 M2당 0.75 리터 살포, 할증 1.03</t>
  </si>
  <si>
    <t>(재료비+노무비+경비)</t>
  </si>
  <si>
    <t xml:space="preserve">   113 Ws: 160000</t>
  </si>
  <si>
    <t>1M3/DAY(Φ1500X2000)</t>
  </si>
  <si>
    <t>스틸그레이팅</t>
  </si>
  <si>
    <t>No.30 PE관 설치</t>
  </si>
  <si>
    <t xml:space="preserve">JANG_S                                                                                              </t>
  </si>
  <si>
    <t xml:space="preserve">192_1_1+ = </t>
  </si>
  <si>
    <t xml:space="preserve">   철근하차</t>
  </si>
  <si>
    <t xml:space="preserve">   구역화물 하차비</t>
  </si>
  <si>
    <t xml:space="preserve">           EQ=la(20,0,40)*2/100_x000D_
</t>
  </si>
  <si>
    <t xml:space="preserve">48_1_1 = </t>
  </si>
  <si>
    <t xml:space="preserve">259_1_1 = </t>
  </si>
  <si>
    <t>형틀목공</t>
  </si>
  <si>
    <t xml:space="preserve">   용 접 공</t>
  </si>
  <si>
    <t>No.18</t>
  </si>
  <si>
    <t xml:space="preserve">YEN3WON                                                                                             </t>
  </si>
  <si>
    <t xml:space="preserve">235_1_1+ = </t>
  </si>
  <si>
    <t xml:space="preserve">656_1_1+ = </t>
  </si>
  <si>
    <t>중기주야간할증계수</t>
  </si>
  <si>
    <t>No.56</t>
  </si>
  <si>
    <t>별표 62/#33  흄관 소운반</t>
  </si>
  <si>
    <t>별표 55/#24  보차도 경계석(직선)</t>
  </si>
  <si>
    <t>별표 4/#4  유용토운반</t>
  </si>
  <si>
    <t xml:space="preserve">105_1_1 = </t>
  </si>
  <si>
    <t xml:space="preserve">     'Q = 60 * q * f * E / Cm '</t>
  </si>
  <si>
    <t xml:space="preserve">     'Q = 3600 * qo * k * f * E / Cm '</t>
  </si>
  <si>
    <t>E0021040012</t>
  </si>
  <si>
    <t>QMINC3</t>
  </si>
  <si>
    <t>1-1412</t>
  </si>
  <si>
    <t xml:space="preserve">      Q = To * 5'대' * 2'회(왕복)' = {?,'9.999R'}'hr'</t>
  </si>
  <si>
    <t xml:space="preserve">          T = Tc + Tb (인력편성 노무비에 적용)</t>
  </si>
  <si>
    <t>크레인(타이어:재료비)   10 TON</t>
  </si>
  <si>
    <t xml:space="preserve">  '-강관파이프(Φ48.6):' ~M0129511~ * 14.2'M'* 0.1 =?EQ+</t>
  </si>
  <si>
    <t>40</t>
  </si>
  <si>
    <t xml:space="preserve">            백 호 우     0.4-0.8 M3 : 1 대 ---- 1 회</t>
  </si>
  <si>
    <t>No.45  경고테이프 설치</t>
  </si>
  <si>
    <t xml:space="preserve">123_1_1 = </t>
  </si>
  <si>
    <t>G13060025</t>
  </si>
  <si>
    <t xml:space="preserve">   소모재료및잡재료</t>
  </si>
  <si>
    <t xml:space="preserve"> 가. B/H (0.7 m3)</t>
  </si>
  <si>
    <t xml:space="preserve">105_1_1+ = </t>
  </si>
  <si>
    <t xml:space="preserve"> 다. 인력포설</t>
  </si>
  <si>
    <t xml:space="preserve">                                        </t>
  </si>
  <si>
    <t xml:space="preserve">182_1_1 = </t>
  </si>
  <si>
    <t>A04</t>
  </si>
  <si>
    <t xml:space="preserve">291_1_5+ = </t>
  </si>
  <si>
    <t xml:space="preserve">      Q = 0.15 / 10 = {?,'9.999R'}qty'인/m3'</t>
  </si>
  <si>
    <t>190</t>
  </si>
  <si>
    <t xml:space="preserve">1253_1_3 = </t>
  </si>
  <si>
    <t xml:space="preserve">          t2 = (2.10 / 30 + 2.10 / 35 ) * 60 = {?,'9.9R'}'min'</t>
  </si>
  <si>
    <t xml:space="preserve"> (2024년 건설공사표준품셈-토목 1-5-1 텍코팅 및 프라임 코팅 살포)</t>
  </si>
  <si>
    <t xml:space="preserve">537_1_1+ = </t>
  </si>
  <si>
    <t xml:space="preserve">          ( 2 / 100 ) / Q = {?,'9.999R'}qty'hr/m'</t>
  </si>
  <si>
    <t xml:space="preserve">56_1_5+ = </t>
  </si>
  <si>
    <t xml:space="preserve">391_1_1+ = </t>
  </si>
  <si>
    <t>M1149003</t>
  </si>
  <si>
    <t xml:space="preserve">755_1_1+ = </t>
  </si>
  <si>
    <t>No.2</t>
  </si>
  <si>
    <t xml:space="preserve">535_1_6 = </t>
  </si>
  <si>
    <t xml:space="preserve">154_1_1+ = </t>
  </si>
  <si>
    <t xml:space="preserve"> 마. 살  수 (W/TANK 5500L)</t>
  </si>
  <si>
    <t xml:space="preserve">1249_1_1 = </t>
  </si>
  <si>
    <t xml:space="preserve">1378_1_1+ = </t>
  </si>
  <si>
    <t xml:space="preserve">EX2                                                                                                 </t>
  </si>
  <si>
    <t xml:space="preserve">1292_1_1 = </t>
  </si>
  <si>
    <t xml:space="preserve">      Q = 60 * {qo} * {f} * {E} / ({Cm}*{T}) = {?,'9.9R'}'m3/hr'</t>
  </si>
  <si>
    <t>단위</t>
  </si>
  <si>
    <t>No.58</t>
  </si>
  <si>
    <t xml:space="preserve">1300_1_3+ = </t>
  </si>
  <si>
    <t>코    드</t>
  </si>
  <si>
    <t>자재비의 52%</t>
  </si>
  <si>
    <t xml:space="preserve">562_1_2 = </t>
  </si>
  <si>
    <t xml:space="preserve">        '보통인부 :' 1'인' / 63 'm3' = {?,'9.999R'}QTY'인/m3'</t>
  </si>
  <si>
    <t xml:space="preserve">슬래브관보강길이                        </t>
  </si>
  <si>
    <t xml:space="preserve">Y = </t>
  </si>
  <si>
    <t>MZE004</t>
  </si>
  <si>
    <t xml:space="preserve">   (2024년 건설공사표준품셈 3-2-2 기초다짐 및 뒤채움(소형장비))</t>
  </si>
  <si>
    <t>56100707213</t>
  </si>
  <si>
    <t xml:space="preserve">1380_1_1 = </t>
  </si>
  <si>
    <t xml:space="preserve">   2) 보충수 운반</t>
  </si>
  <si>
    <t>1-141</t>
  </si>
  <si>
    <t xml:space="preserve">93_1_1+ = </t>
  </si>
  <si>
    <t xml:space="preserve">449_1_1 = </t>
  </si>
  <si>
    <t>QH1</t>
  </si>
  <si>
    <t xml:space="preserve">1321_1_1 = </t>
  </si>
  <si>
    <t>No.16</t>
  </si>
  <si>
    <t>별표 13/#12 무근콘크리트 깨기 | 30cm미만|M3</t>
  </si>
  <si>
    <t>별표 20/#17 CON'C 타설(펌프차)</t>
  </si>
  <si>
    <t>M3</t>
  </si>
  <si>
    <t xml:space="preserve">M     </t>
  </si>
  <si>
    <t>별표 56/#25 보차도 경계석(곡선) | 화강석(200*250)|M</t>
  </si>
  <si>
    <t>I-50, 700X700</t>
  </si>
  <si>
    <t>QDECMA</t>
  </si>
  <si>
    <t>규격철물설치(일반철재)</t>
  </si>
  <si>
    <t>M</t>
  </si>
  <si>
    <t>규    격</t>
  </si>
  <si>
    <t>보차도경계석(화강석)</t>
  </si>
  <si>
    <t xml:space="preserve">          1 / Q  =  {?,'9.999R'}qty'hr/m3'</t>
  </si>
  <si>
    <t xml:space="preserve"> 가. 자재비 :  #467</t>
  </si>
  <si>
    <t xml:space="preserve">   3. 포장공</t>
  </si>
  <si>
    <t>M1749009</t>
  </si>
  <si>
    <t>54100017313</t>
  </si>
  <si>
    <t>'◈ 원지반다짐 (P.C 1.5TON,6회) : ㎡당'</t>
  </si>
  <si>
    <t xml:space="preserve">     ~E0072021000.M~ * {Dh}'&lt;Hr/일&gt;'* {Md=25}'&lt;일/월&gt;'* {Y}'&lt;개월&gt;' =  ?MA+</t>
  </si>
  <si>
    <t xml:space="preserve">   WQ = {Ws}*(0.13-0.08)=?'KG/M2'</t>
  </si>
  <si>
    <t>8 -15 TON</t>
  </si>
  <si>
    <t xml:space="preserve">670_1_2 = </t>
  </si>
  <si>
    <t>E0002010070</t>
  </si>
  <si>
    <t xml:space="preserve">161_1_4+ = </t>
  </si>
  <si>
    <t xml:space="preserve">475_1_1+ = </t>
  </si>
  <si>
    <t>1-62</t>
  </si>
  <si>
    <t>No.32  잡철물 제작및설치</t>
  </si>
  <si>
    <t xml:space="preserve">   무근콘크리트 깨기</t>
  </si>
  <si>
    <t xml:space="preserve">1235_1_2+ = </t>
  </si>
  <si>
    <t>G02310007</t>
  </si>
  <si>
    <t>G13060100</t>
  </si>
  <si>
    <t xml:space="preserve">656_1_2 = </t>
  </si>
  <si>
    <t xml:space="preserve">         '특별인부 : 500 m 당 1인 소요'</t>
  </si>
  <si>
    <t xml:space="preserve">   보통인부(부설)(0.02/6)</t>
  </si>
  <si>
    <t xml:space="preserve"> 가. 토사 터파기 (B/H 0.8㎥:타이어)</t>
  </si>
  <si>
    <t>' ◈ 잔토처리(잔토)  (굴삭기0.6㎥,덤프15T)/M3'</t>
  </si>
  <si>
    <t>별표 47/#19  보조기층 포설다짐</t>
  </si>
  <si>
    <t xml:space="preserve">       t1 (급수준비시간)  = 5 &lt;min&gt;</t>
  </si>
  <si>
    <t xml:space="preserve">   (2024년 건설공사표준품셈 6-3-9 지수판 설치)</t>
  </si>
  <si>
    <t>Φ25mm, PE100</t>
  </si>
  <si>
    <t xml:space="preserve">         '비 계 공 :'2'인' * QTY(10)'hr/EA'/ 8'hr' = {?,'9.999R'}qty'인/EA'</t>
  </si>
  <si>
    <t xml:space="preserve">볼트손율(24개월조임철물적용)            </t>
  </si>
  <si>
    <t>No.28  흄관 접합및부설</t>
  </si>
  <si>
    <t xml:space="preserve">1315_1_1 = </t>
  </si>
  <si>
    <t xml:space="preserve">   잔토처리</t>
  </si>
  <si>
    <t xml:space="preserve">N+ = </t>
  </si>
  <si>
    <t xml:space="preserve"> 라. 프로판 가스 10㎡ 당 2.0㎏ 소요</t>
  </si>
  <si>
    <t xml:space="preserve">          1 / 170 = {?,'9.999R'}QTY'인/m'</t>
  </si>
  <si>
    <t xml:space="preserve">          8.0'hr'/ 80'm' = {?,'9.999R'}qty'hr/m'</t>
  </si>
  <si>
    <t xml:space="preserve">  (2024년 건설공사표준품셈-토목 1-5-4 아스팔트 기층 기계포설(대형장비))</t>
  </si>
  <si>
    <t>컷백아스팔트</t>
  </si>
  <si>
    <t xml:space="preserve">  ◈ 잔토처리(잔토)  (굴삭기0.6㎥,덤프15T)/M3</t>
  </si>
  <si>
    <t>G02010080</t>
  </si>
  <si>
    <t>3.2㎜</t>
  </si>
  <si>
    <t xml:space="preserve">QO = </t>
  </si>
  <si>
    <t>중기기초자료</t>
  </si>
  <si>
    <t>0.8 M3</t>
  </si>
  <si>
    <t>트럭탑제형 크레인   15 TON</t>
  </si>
  <si>
    <t xml:space="preserve">LAA8 = </t>
  </si>
  <si>
    <t xml:space="preserve">LA = </t>
  </si>
  <si>
    <t xml:space="preserve">215_1_1+ = </t>
  </si>
  <si>
    <t xml:space="preserve">          8.0'hr'/ 170'm' = {?,'9.999R'}qty'hr/m'</t>
  </si>
  <si>
    <t xml:space="preserve">         '보통인부 :' 2.0 '인'/ 150 'M3' = {?,'9.999R'}qty'인/m3'</t>
  </si>
  <si>
    <t>QSABUN</t>
  </si>
  <si>
    <t>콘테이너</t>
  </si>
  <si>
    <t>M1059001</t>
  </si>
  <si>
    <t xml:space="preserve">&gt;&gt;MA = </t>
  </si>
  <si>
    <t>프로판(소매용)</t>
  </si>
  <si>
    <t xml:space="preserve">          최적 함수비 : 11.4 %</t>
  </si>
  <si>
    <t xml:space="preserve">         'BH 0.7 M3'</t>
  </si>
  <si>
    <t xml:space="preserve">LAA3 = </t>
  </si>
  <si>
    <t xml:space="preserve">163_1_4 = </t>
  </si>
  <si>
    <t xml:space="preserve">   1. 토공 및 철거공</t>
  </si>
  <si>
    <t xml:space="preserve">190_1_1 = </t>
  </si>
  <si>
    <t>M11450010</t>
  </si>
  <si>
    <t xml:space="preserve">   '2) 특별인부  90 m당 3인 소요 '</t>
  </si>
  <si>
    <t>SA00220</t>
  </si>
  <si>
    <t>별표 13/#12  무근콘크리트 깨기</t>
  </si>
  <si>
    <t>.MA=MA(10,0,50)*0.01</t>
  </si>
  <si>
    <t xml:space="preserve">   소모재료비</t>
  </si>
  <si>
    <t xml:space="preserve">182_1_1+ = </t>
  </si>
  <si>
    <t>M1749410</t>
  </si>
  <si>
    <t xml:space="preserve">27_1_5+ = </t>
  </si>
  <si>
    <t xml:space="preserve">   4. 부대공</t>
  </si>
  <si>
    <t>.MA=MA(10,0,20)*0.05</t>
  </si>
  <si>
    <t>No.35</t>
  </si>
  <si>
    <t>일위대가_산근</t>
  </si>
  <si>
    <t>1M3/DAY(Φ1500X3000)</t>
  </si>
  <si>
    <t>WT 5500L</t>
  </si>
  <si>
    <t>K7011720</t>
  </si>
  <si>
    <t>불도저(무한궤도)   19 TON</t>
  </si>
  <si>
    <t>L015</t>
  </si>
  <si>
    <t>2.5 톤</t>
  </si>
  <si>
    <t>노 무 비</t>
  </si>
  <si>
    <t>자동세륜기   2200*5150*1000</t>
  </si>
  <si>
    <t xml:space="preserve">348_1_2+ = </t>
  </si>
  <si>
    <t xml:space="preserve">         '포 장 공 :' 4.0'인'/ 4500'm2' = {?,'9.999R'}qty'인/m2'</t>
  </si>
  <si>
    <t xml:space="preserve">   터파기</t>
  </si>
  <si>
    <t xml:space="preserve">   </t>
  </si>
  <si>
    <t>No.29 PE관 설치</t>
  </si>
  <si>
    <t>&gt;'계'</t>
  </si>
  <si>
    <t xml:space="preserve">S-파일손료                              </t>
  </si>
  <si>
    <t xml:space="preserve">217_1_1 = </t>
  </si>
  <si>
    <t>별표 5/#5 표토제거 | 답외구간, 불도져 19TON|㎡</t>
  </si>
  <si>
    <t xml:space="preserve">510_1_5+ = </t>
  </si>
  <si>
    <t>별표 62/#33 흄관 소운반</t>
  </si>
  <si>
    <t xml:space="preserve">m     </t>
  </si>
  <si>
    <t xml:space="preserve">WQ = </t>
  </si>
  <si>
    <t>P.C 1.5ton 3회</t>
  </si>
  <si>
    <t>2022-09-07 14:56:25</t>
  </si>
  <si>
    <t>K3060114</t>
  </si>
  <si>
    <t xml:space="preserve">                   't3 : 30min (펌프차 이동 및 재세팅 : 회당)'</t>
  </si>
  <si>
    <t xml:space="preserve">132_1_2 = </t>
  </si>
  <si>
    <t xml:space="preserve">211_1_1+ = </t>
  </si>
  <si>
    <t>1-598</t>
  </si>
  <si>
    <t>No.4</t>
  </si>
  <si>
    <t>별표 8/#7 되메우기및다짐(기계) | 토사|M3</t>
  </si>
  <si>
    <t xml:space="preserve"> 나. 다 짐 (진동로울러 10ton)</t>
  </si>
  <si>
    <t xml:space="preserve">   (2024년건설공사표준품셈6-3-1합판거푸집설치및해체)</t>
  </si>
  <si>
    <t>#.32</t>
  </si>
  <si>
    <t xml:space="preserve">T2                                                                                                  </t>
  </si>
  <si>
    <t>E0006020025</t>
  </si>
  <si>
    <t>A02</t>
  </si>
  <si>
    <t>M8935122</t>
  </si>
  <si>
    <t>조합페인트</t>
  </si>
  <si>
    <t>14“(350mm)x3.2mm, 일반용</t>
  </si>
  <si>
    <t>비자주식:트레일러</t>
  </si>
  <si>
    <t>20 TON(재료비)</t>
  </si>
  <si>
    <t>별표 10/#9 아스팔트 깨기 | 주간|M3</t>
  </si>
  <si>
    <t xml:space="preserve">60_1_1 = </t>
  </si>
  <si>
    <t>m2</t>
  </si>
  <si>
    <t xml:space="preserve">1360_1_6+ = </t>
  </si>
  <si>
    <t xml:space="preserve">259_1_3+ = </t>
  </si>
  <si>
    <t xml:space="preserve">  '* 사용시간 :' {Dh}'&lt;Hr/일&gt;'* {Md}'&lt;일/월&gt;'* {Y}'&lt;개월&gt;' =  ?Bh'&lt;Hr&gt;'</t>
  </si>
  <si>
    <t>트럭 트랙터 및 평판트레일러   20 TON(재료비)</t>
  </si>
  <si>
    <t>No.10</t>
  </si>
  <si>
    <t xml:space="preserve">134_1_4+ = </t>
  </si>
  <si>
    <t xml:space="preserve">                    t4 : 기준시간 x f1 x f2 x 타설량 (펌프차 타설)</t>
  </si>
  <si>
    <t xml:space="preserve">259_1_4 = </t>
  </si>
  <si>
    <t xml:space="preserve">257_1_1 = </t>
  </si>
  <si>
    <t xml:space="preserve">  1.0 'hr' * ~E0021040010.E~ * 2 = ?EQ+</t>
  </si>
  <si>
    <t>SF00300</t>
  </si>
  <si>
    <t xml:space="preserve">갤러리관 관두께(m)                      </t>
  </si>
  <si>
    <t xml:space="preserve">   철 근 공</t>
  </si>
  <si>
    <t xml:space="preserve">1324_1_3+ = </t>
  </si>
  <si>
    <t xml:space="preserve">         '보통인부 :' 1.0'인'/ 4800'm2' = {?,'9.999R'}qty'인/m2'</t>
  </si>
  <si>
    <t>1-107</t>
  </si>
  <si>
    <t>시간당노임산출계수(해상장비:펌프준설선)</t>
  </si>
  <si>
    <t>환율(장비가격10만불이하)</t>
  </si>
  <si>
    <t xml:space="preserve">1296_1_2+ = </t>
  </si>
  <si>
    <t xml:space="preserve">1231_1_2+ = </t>
  </si>
  <si>
    <t xml:space="preserve">          OH = ( Cm - (t1) - (t3) ) / Cm = {?,'9.999R'}</t>
  </si>
  <si>
    <t>'(2024년 건설공사표준품셈 8-2-8 덤프트럭)'</t>
  </si>
  <si>
    <t xml:space="preserve">       '보통 인부 :' 0.07 / 10 = {?,'9.999R'}QTY'인/m3'</t>
  </si>
  <si>
    <t xml:space="preserve">   2) 해체비</t>
  </si>
  <si>
    <t>E</t>
  </si>
  <si>
    <t>1-1414</t>
  </si>
  <si>
    <t xml:space="preserve">           '마카담로울러  10-12 TON : 1 대 ---- 1 회'</t>
  </si>
  <si>
    <t>별표 58/#27 차선도색(실선)</t>
  </si>
  <si>
    <t xml:space="preserve">535_1_3 = </t>
  </si>
  <si>
    <t xml:space="preserve">W = </t>
  </si>
  <si>
    <t xml:space="preserve">T1                                                                                                  </t>
  </si>
  <si>
    <t xml:space="preserve">   신    나</t>
  </si>
  <si>
    <t xml:space="preserve">1324_1_5 = </t>
  </si>
  <si>
    <t>G44300400</t>
  </si>
  <si>
    <t xml:space="preserve">          t3 = {t1}'(t1)' = {?,'9.9R'}'min'</t>
  </si>
  <si>
    <t xml:space="preserve">58_1_3+ = </t>
  </si>
  <si>
    <t xml:space="preserve">238_1_3+ = </t>
  </si>
  <si>
    <t xml:space="preserve">255_1_4+ = </t>
  </si>
  <si>
    <t>콘크리트 펌프차   32 M(80~95 M3/hr)</t>
  </si>
  <si>
    <t xml:space="preserve">LAA5+ = </t>
  </si>
  <si>
    <t xml:space="preserve">1321_1_4 = </t>
  </si>
  <si>
    <t>FRP오수처리시설</t>
  </si>
  <si>
    <t xml:space="preserve"> (2024년 건설공사표준품셈 3-2-4 기초지정)</t>
  </si>
  <si>
    <t xml:space="preserve">591_1_4+ = </t>
  </si>
  <si>
    <t>81350257201</t>
  </si>
  <si>
    <t>환율(유로화)</t>
  </si>
  <si>
    <t xml:space="preserve">784_1_5+ = </t>
  </si>
  <si>
    <t>No.50</t>
  </si>
  <si>
    <t xml:space="preserve">     계</t>
  </si>
  <si>
    <t xml:space="preserve">  Q = 3600 * q * K * f * E1 / Cm = {?}'M3/HR'</t>
  </si>
  <si>
    <t xml:space="preserve">1261_1_1 = </t>
  </si>
  <si>
    <t>No.43  신축이음재설치</t>
  </si>
  <si>
    <t xml:space="preserve">협의율                                  </t>
  </si>
  <si>
    <t xml:space="preserve">591_1_2 = </t>
  </si>
  <si>
    <t>.T1=2.60</t>
  </si>
  <si>
    <t xml:space="preserve">QTY+ = </t>
  </si>
  <si>
    <t xml:space="preserve">1257_1_1+ = </t>
  </si>
  <si>
    <t xml:space="preserve">A11                                                                                                 </t>
  </si>
  <si>
    <t>별표 57/#26 보차도 경계석(낮춤석) | 화강석(200*100)|M</t>
  </si>
  <si>
    <t>덤프트럭</t>
  </si>
  <si>
    <t xml:space="preserve">  소 계</t>
  </si>
  <si>
    <t xml:space="preserve">   가설 방음벽 및 방진망</t>
  </si>
  <si>
    <t xml:space="preserve">161_1_3+ = </t>
  </si>
  <si>
    <t>인력품2%</t>
  </si>
  <si>
    <t>No.34  조합 페인트 칠</t>
  </si>
  <si>
    <t xml:space="preserve">1235_1_5+ = </t>
  </si>
  <si>
    <t xml:space="preserve">675_1_2+ = </t>
  </si>
  <si>
    <t>별표 65/#36 잔토처리</t>
  </si>
  <si>
    <t>MZE006</t>
  </si>
  <si>
    <t>가정</t>
  </si>
  <si>
    <t xml:space="preserve">갤러리관보강길이                        </t>
  </si>
  <si>
    <t xml:space="preserve">          1'일' / 500 * 8'hr' = {?,'9.999R'}qty'hr/m'</t>
  </si>
  <si>
    <t xml:space="preserve">   '1) 보통인부  170 m당 1인 소요 '</t>
  </si>
  <si>
    <t>M0765245</t>
  </si>
  <si>
    <t>25-18-12</t>
  </si>
  <si>
    <t>물정/1-1212/</t>
  </si>
  <si>
    <t xml:space="preserve"> '비 계 공:' 0.39'인' * ~L015~ * 2 = ?EQ+</t>
  </si>
  <si>
    <t xml:space="preserve">235_1_2 = </t>
  </si>
  <si>
    <t>├────┼───┬───┼───┼───┼───┼───┼─────┤</t>
  </si>
  <si>
    <t>No.14</t>
  </si>
  <si>
    <t>규 격</t>
  </si>
  <si>
    <t xml:space="preserve">250_1_1 = </t>
  </si>
  <si>
    <t>커터(콘크리트및아스팔트용)</t>
  </si>
  <si>
    <t xml:space="preserve">E+ = </t>
  </si>
  <si>
    <t xml:space="preserve">226_1_2+ = </t>
  </si>
  <si>
    <t>별표 18/#15 모래채움및다짐</t>
  </si>
  <si>
    <t>20 TON</t>
  </si>
  <si>
    <t xml:space="preserve"> 가. 보차도경계석(200x100x1000㎜ :직선)</t>
  </si>
  <si>
    <t>재료비의 10%</t>
  </si>
  <si>
    <t>No.67  보조기층 부설 및 다짐</t>
  </si>
  <si>
    <t>아스팔트 페이퍼(휘니셔)</t>
  </si>
  <si>
    <t xml:space="preserve">73_1_6 = </t>
  </si>
  <si>
    <t xml:space="preserve">291_1_3 = </t>
  </si>
  <si>
    <t xml:space="preserve">          패   널 : 10m2 당 0.89 매</t>
  </si>
  <si>
    <t>#30 가설사무소(3.0×12.0)</t>
  </si>
  <si>
    <t xml:space="preserve">229_1_1+ = </t>
  </si>
  <si>
    <t>380</t>
  </si>
  <si>
    <t>QLINCD</t>
  </si>
  <si>
    <t>자재</t>
  </si>
  <si>
    <t xml:space="preserve">            마카담로울러  10-12 TON : 1 대 ---- 1 회</t>
  </si>
  <si>
    <t xml:space="preserve">          Tc / {Q} = {?,'9.999R'}QTY'hr/m3'</t>
  </si>
  <si>
    <t>A</t>
  </si>
  <si>
    <t>치즐 소모량</t>
  </si>
  <si>
    <t xml:space="preserve">215_1_6+ = </t>
  </si>
  <si>
    <t xml:space="preserve">18_1_1+ = </t>
  </si>
  <si>
    <t xml:space="preserve">%                                                                                                   </t>
  </si>
  <si>
    <t xml:space="preserve">   흄관 소운반</t>
  </si>
  <si>
    <t xml:space="preserve">GB01                                                                                                </t>
  </si>
  <si>
    <t>조</t>
  </si>
  <si>
    <t xml:space="preserve"> 가. 컷터 (320-400 MM)</t>
  </si>
  <si>
    <t>인력품의 5%</t>
  </si>
  <si>
    <t>별표 21/#18 유 로 폼 | 보통|M2</t>
  </si>
  <si>
    <t xml:space="preserve">652_1_1 = </t>
  </si>
  <si>
    <t xml:space="preserve">784_1_2 = </t>
  </si>
  <si>
    <t>트럭탑재형 크레인</t>
  </si>
  <si>
    <t>K3060150</t>
  </si>
  <si>
    <t>별표 14/#13  폐기물적재</t>
  </si>
  <si>
    <t xml:space="preserve">   모    래</t>
  </si>
  <si>
    <t>플레이트 콤팩터</t>
  </si>
  <si>
    <t>No.23 합판거푸집</t>
  </si>
  <si>
    <t>관급</t>
  </si>
  <si>
    <t>BD 19TON</t>
  </si>
  <si>
    <t xml:space="preserve">   표층포설및다짐(기계)</t>
  </si>
  <si>
    <t xml:space="preserve">   유용토운반</t>
  </si>
  <si>
    <t>No.54</t>
  </si>
  <si>
    <t>#8 150x150</t>
  </si>
  <si>
    <t>E0021040010</t>
  </si>
  <si>
    <t xml:space="preserve">27_1_2+ = </t>
  </si>
  <si>
    <t xml:space="preserve">병렬굴착 범위 (단선)                    </t>
  </si>
  <si>
    <t xml:space="preserve">1360_1_6 = </t>
  </si>
  <si>
    <t>.eq=LA(20,30)*0.05</t>
  </si>
  <si>
    <t>E00020100202</t>
  </si>
  <si>
    <t xml:space="preserve">   공구손료 및 경장비</t>
  </si>
  <si>
    <t xml:space="preserve"> 1. 재 료 비</t>
  </si>
  <si>
    <t xml:space="preserve">1328_1_1 = </t>
  </si>
  <si>
    <t xml:space="preserve">   다    짐</t>
  </si>
  <si>
    <t>QSDR2WON</t>
  </si>
  <si>
    <t xml:space="preserve">1300_1_4 = </t>
  </si>
  <si>
    <t xml:space="preserve"> 다. 트럭탑재형 크레인 (5.0 ton)</t>
  </si>
  <si>
    <t xml:space="preserve">449_1_1+ = </t>
  </si>
  <si>
    <t xml:space="preserve">A21                                                                                                 </t>
  </si>
  <si>
    <t xml:space="preserve">                    t3 : 30min (펌프차 이동 및 재세팅 : 회당)</t>
  </si>
  <si>
    <t>│ 기  간 │ 3개월│ 6개월│12개월│24개월│36개월│48개월│60개월이상│</t>
  </si>
  <si>
    <t>600×1200mm</t>
  </si>
  <si>
    <t>별표 62/#33 흄관 소운반 | |M</t>
  </si>
  <si>
    <t xml:space="preserve"> '(2024년 건설공사표준품셈 2-1-2 포장 절단)'</t>
  </si>
  <si>
    <t>G34300400</t>
  </si>
  <si>
    <t>K3050215</t>
  </si>
  <si>
    <t xml:space="preserve">   '보통인부 :'1'인' * 0.2 * 0.1  = {?,'9.999R'}qty'인/m3'</t>
  </si>
  <si>
    <t xml:space="preserve">593_1_3 = </t>
  </si>
  <si>
    <t>K3021812</t>
  </si>
  <si>
    <t xml:space="preserve">BS01                                                                                                </t>
  </si>
  <si>
    <t>34390717051</t>
  </si>
  <si>
    <t xml:space="preserve"> 나. 하차비</t>
  </si>
  <si>
    <t>K1040214</t>
  </si>
  <si>
    <t>M5380025</t>
  </si>
  <si>
    <t>보통철선</t>
  </si>
  <si>
    <t>콘테이너하우스</t>
  </si>
  <si>
    <t>460</t>
  </si>
  <si>
    <t xml:space="preserve">  (2024년 건설공사표준품셈 8-2-1 불도저)</t>
  </si>
  <si>
    <t xml:space="preserve">757_1_5 = </t>
  </si>
  <si>
    <t xml:space="preserve">510_1_2+ = </t>
  </si>
  <si>
    <t>인력품의10%</t>
  </si>
  <si>
    <t xml:space="preserve">           '탄뎀  로울러    5-8 TON : 1 대 ---- 1 회'</t>
  </si>
  <si>
    <t xml:space="preserve">       3600'&lt;Sec&gt;'/ 45'&lt;Sec/대&gt;'* 5'&lt;ℓ&gt;'  =  ?Bw'&lt;ℓ/Hr&gt;'</t>
  </si>
  <si>
    <t>16000 L</t>
  </si>
  <si>
    <t>56900017101</t>
  </si>
  <si>
    <t>12×3.0×2.6ｍ  (창고용)</t>
  </si>
  <si>
    <t xml:space="preserve">          1.0 / 500 = {?,'9.999R'}qty'인'</t>
  </si>
  <si>
    <t>QH33</t>
  </si>
  <si>
    <t xml:space="preserve">E = </t>
  </si>
  <si>
    <t xml:space="preserve">         '내무 패널 : 10m2 당 0.03 매 '</t>
  </si>
  <si>
    <t>(답외구간)</t>
  </si>
  <si>
    <t xml:space="preserve">1360_1_1+ = </t>
  </si>
  <si>
    <t xml:space="preserve">         터파기(백호우0.6M3 90%):M3</t>
  </si>
  <si>
    <t xml:space="preserve">         '보통인부 : 450 m 당 1인 소요'</t>
  </si>
  <si>
    <t>별표 5/#5  표토제거</t>
  </si>
  <si>
    <t xml:space="preserve">535_1_7+ = </t>
  </si>
  <si>
    <t>물자/1-615/</t>
  </si>
  <si>
    <t xml:space="preserve">259_1_4+ = </t>
  </si>
  <si>
    <t>K3061310</t>
  </si>
  <si>
    <t xml:space="preserve">134_1_3+ = </t>
  </si>
  <si>
    <t xml:space="preserve">N = </t>
  </si>
  <si>
    <t>#31 가설창고  (3.0×12.0)</t>
  </si>
  <si>
    <t xml:space="preserve">QW+ = </t>
  </si>
  <si>
    <t>420</t>
  </si>
  <si>
    <t>잡석</t>
  </si>
  <si>
    <t>별표 65/#36 잔토처리 | BH 0.6M3|m3</t>
  </si>
  <si>
    <t xml:space="preserve">1324_1_4+ = </t>
  </si>
  <si>
    <t>No.69 보조기층 부설 및 다짐</t>
  </si>
  <si>
    <t xml:space="preserve">1253_1_1+ = </t>
  </si>
  <si>
    <t xml:space="preserve">136_1_1 = </t>
  </si>
  <si>
    <t xml:space="preserve">   물탱크(살수차)</t>
  </si>
  <si>
    <t xml:space="preserve">3시간,휴전할증                          </t>
  </si>
  <si>
    <t xml:space="preserve"> 나. 도로표지 융착식도료 중 유리알 함유량 25%</t>
  </si>
  <si>
    <t>1-166</t>
  </si>
  <si>
    <t xml:space="preserve">161_1_5 = </t>
  </si>
  <si>
    <t xml:space="preserve">         '모래의 소요 함수량 : 23.7 - 6.6 = 17.1 %' '( 171 L/m3 )'</t>
  </si>
  <si>
    <t xml:space="preserve">265_1_3+ = </t>
  </si>
  <si>
    <t>규        격</t>
  </si>
  <si>
    <t>7</t>
  </si>
  <si>
    <t>QLINC2</t>
  </si>
  <si>
    <t xml:space="preserve">         '100 M 당  0.27개 소요'</t>
  </si>
  <si>
    <t xml:space="preserve">238_1_4+ = </t>
  </si>
  <si>
    <t xml:space="preserve">ℓ    </t>
  </si>
  <si>
    <t>별표 51/#23 프라임 코팅</t>
  </si>
  <si>
    <t>재료비계금액소숫점</t>
  </si>
  <si>
    <t xml:space="preserve">58_1_4+ = </t>
  </si>
  <si>
    <t xml:space="preserve">        '터파기(백호우0.6M3 90%):M3  '</t>
  </si>
  <si>
    <t xml:space="preserve">229_1_2 = </t>
  </si>
  <si>
    <t xml:space="preserve">    '특별인부:' 2 '인'/ 700'㎡' = {?,'9.999R'}QTY'인/㎡'</t>
  </si>
  <si>
    <t>.EQ=TOT(10,0,20)</t>
  </si>
  <si>
    <t>K2020920</t>
  </si>
  <si>
    <t xml:space="preserve">255_1_3+ = </t>
  </si>
  <si>
    <t xml:space="preserve">         '치즐 소모량 '</t>
  </si>
  <si>
    <t xml:space="preserve">   공구손료및경장비</t>
  </si>
  <si>
    <t>No.31</t>
  </si>
  <si>
    <t xml:space="preserve">LAA2+ = </t>
  </si>
  <si>
    <t xml:space="preserve">238_1_4 = </t>
  </si>
  <si>
    <t xml:space="preserve">784_1_2+ = </t>
  </si>
  <si>
    <t xml:space="preserve">   배 관 공(부설)(0.09/6)</t>
  </si>
  <si>
    <t xml:space="preserve">27_1_1 = </t>
  </si>
  <si>
    <t xml:space="preserve">29_1_4 = </t>
  </si>
  <si>
    <t xml:space="preserve">56_1_5 = </t>
  </si>
  <si>
    <t xml:space="preserve">253_1_2 = </t>
  </si>
  <si>
    <t>M1749414</t>
  </si>
  <si>
    <t>E0072040160</t>
  </si>
  <si>
    <t>340</t>
  </si>
  <si>
    <t xml:space="preserve">591_1_3+ = </t>
  </si>
  <si>
    <t>K5011100</t>
  </si>
  <si>
    <t xml:space="preserve">1253_1_5 = </t>
  </si>
  <si>
    <t xml:space="preserve">T = </t>
  </si>
  <si>
    <t xml:space="preserve"> ◈ 원지반다짐 (P.C 1.5TON,6회) : ㎡당</t>
  </si>
  <si>
    <t>.MA=MA(10,0,20)*0.52</t>
  </si>
  <si>
    <t>물자/1-62/</t>
  </si>
  <si>
    <t>75mm이하</t>
  </si>
  <si>
    <t>QDECPEQ</t>
  </si>
  <si>
    <t xml:space="preserve">     LA() *  0.02'%' = ?EQ+</t>
  </si>
  <si>
    <t>적용방법</t>
  </si>
  <si>
    <t>L042</t>
  </si>
  <si>
    <t xml:space="preserve">250_1_2+ = </t>
  </si>
  <si>
    <t xml:space="preserve">591_1_1 = </t>
  </si>
  <si>
    <t xml:space="preserve">562_1_4 = </t>
  </si>
  <si>
    <t>작업보조인부</t>
  </si>
  <si>
    <t xml:space="preserve">진동,소음                               </t>
  </si>
  <si>
    <t>일반기계운전사</t>
  </si>
  <si>
    <t xml:space="preserve">            탄뎀  로울러    5-8 TON : 1 대 ---- 1 회</t>
  </si>
  <si>
    <t xml:space="preserve">          1 / {Q} * {A} = {?,'9.999R'}qty'본/m3'</t>
  </si>
  <si>
    <t xml:space="preserve">132_1_6+ = </t>
  </si>
  <si>
    <t>│ 손율(%)│  12  │  16  │  25  │  38  │  53  │  70  │    100   │</t>
  </si>
  <si>
    <t>보차도용콘크리트블록</t>
  </si>
  <si>
    <t xml:space="preserve">   실런트설치</t>
  </si>
  <si>
    <t>G21050015</t>
  </si>
  <si>
    <t>M5369809</t>
  </si>
  <si>
    <t>별표 63/#34 시멘트 운반</t>
  </si>
  <si>
    <t xml:space="preserve">   보통시멘트</t>
  </si>
  <si>
    <t xml:space="preserve">   콘크리트공</t>
  </si>
  <si>
    <t>K50200025</t>
  </si>
  <si>
    <t>500㎜</t>
  </si>
  <si>
    <t>XC0083</t>
  </si>
  <si>
    <t xml:space="preserve">1321_1_5+ = </t>
  </si>
  <si>
    <t xml:space="preserve"> 나. 노 무 비</t>
  </si>
  <si>
    <t>K7000100</t>
  </si>
  <si>
    <t>1인/4t+1인/1t</t>
  </si>
  <si>
    <t xml:space="preserve">  1.0 'hr' * ~E0021040010.L~ * 2 = ?EQ+</t>
  </si>
  <si>
    <t>No.22</t>
  </si>
  <si>
    <t>별표 18/#15  모래채움및다짐</t>
  </si>
  <si>
    <t>No.28 흄관 접합및부설</t>
  </si>
  <si>
    <t>덤프트럭   4.5 톤</t>
  </si>
  <si>
    <t>E0002110060</t>
  </si>
  <si>
    <t>M1749407</t>
  </si>
  <si>
    <t>1-615</t>
  </si>
  <si>
    <t>QDECCLA</t>
  </si>
  <si>
    <t>노임할증계수(일반구간:주간)</t>
  </si>
  <si>
    <t>커터(콘크리트및아스팔트용)   320-400 MM</t>
  </si>
  <si>
    <t>아스팔트 스프레이어   400 L</t>
  </si>
  <si>
    <t>G17300015</t>
  </si>
  <si>
    <t xml:space="preserve">652_1_2+ = </t>
  </si>
  <si>
    <t xml:space="preserve">257_1_2 = </t>
  </si>
  <si>
    <t xml:space="preserve">232_1_1 = </t>
  </si>
  <si>
    <t>M1572009</t>
  </si>
  <si>
    <t xml:space="preserve"> 다.  양 생</t>
  </si>
  <si>
    <t>(SANG + JUNG + int(KWAN/3))*10^-4</t>
  </si>
  <si>
    <t>M0010045</t>
  </si>
  <si>
    <t>노무비의%</t>
  </si>
  <si>
    <t>#38 세륜시설운영</t>
  </si>
  <si>
    <t xml:space="preserve"> 가. 포 설 (B/D 32TON)</t>
  </si>
  <si>
    <t xml:space="preserve">132_1_1 = </t>
  </si>
  <si>
    <t>56801007004</t>
  </si>
  <si>
    <t>별표 10/#9  아스팔트 깨기</t>
  </si>
  <si>
    <t>1-5</t>
  </si>
  <si>
    <t xml:space="preserve">   엑셀 수식이 적용됩니다. (단축키 F9 키) </t>
  </si>
  <si>
    <t>DT 15TON</t>
  </si>
  <si>
    <t xml:space="preserve">  '-클램프(자동)      :' ~MZE003~ * 0.56'EA'* 0.1=?EQ+</t>
  </si>
  <si>
    <t>카스토퍼(주차블럭)</t>
  </si>
  <si>
    <t xml:space="preserve">   살    수</t>
  </si>
  <si>
    <t xml:space="preserve"> 사. 덤프트럭(2.5TON)</t>
  </si>
  <si>
    <t>No.6 벌개제근</t>
  </si>
  <si>
    <t>아스팔트 스프레이어</t>
  </si>
  <si>
    <t>G45040032</t>
  </si>
  <si>
    <t>도로용페인트(융착식)</t>
  </si>
  <si>
    <t xml:space="preserve"> 바. 탠덤 로라 (5-8 TON)</t>
  </si>
  <si>
    <t>200×200×1200mm</t>
  </si>
  <si>
    <t>별표 2/#2  흙 쌓 기</t>
  </si>
  <si>
    <t xml:space="preserve">562_1_2+ = </t>
  </si>
  <si>
    <t xml:space="preserve">   '보 통 인 부:' 0.016'인' * ~L085.L~ = ?LA+:LAA2</t>
  </si>
  <si>
    <t>물자/1-141/</t>
  </si>
  <si>
    <t>물정/1-898/</t>
  </si>
  <si>
    <t xml:space="preserve">   트럭탑제형 크레인</t>
  </si>
  <si>
    <t xml:space="preserve">8시간,휴전할증                          </t>
  </si>
  <si>
    <t xml:space="preserve">   맨홀뚜껑설치</t>
  </si>
  <si>
    <t xml:space="preserve">1303_1_4+ = </t>
  </si>
  <si>
    <t xml:space="preserve">   녹막이(방청) 페인트</t>
  </si>
  <si>
    <t xml:space="preserve">208_1_1 = </t>
  </si>
  <si>
    <t>D13M/M(현장도착도)</t>
  </si>
  <si>
    <t xml:space="preserve">192_1_2+ = </t>
  </si>
  <si>
    <t>56300117851</t>
  </si>
  <si>
    <t>단가</t>
  </si>
  <si>
    <t xml:space="preserve">T4 = </t>
  </si>
  <si>
    <t xml:space="preserve">656_1_2+ = </t>
  </si>
  <si>
    <t xml:space="preserve">E1 = </t>
  </si>
  <si>
    <t xml:space="preserve">268_1_3 = </t>
  </si>
  <si>
    <t>TOT(10,0,80) = ?EQ</t>
  </si>
  <si>
    <t>일반공사 직종</t>
  </si>
  <si>
    <t xml:space="preserve">   PE관 설치(우수)</t>
  </si>
  <si>
    <t>M1158003</t>
  </si>
  <si>
    <t>(0.20+0.26+0.32)/3</t>
  </si>
  <si>
    <t>No.42  콘크리트 치핑</t>
  </si>
  <si>
    <t xml:space="preserve">393_1_4 = </t>
  </si>
  <si>
    <t>단    가</t>
  </si>
  <si>
    <t xml:space="preserve">235_1_2+ = </t>
  </si>
  <si>
    <t>계</t>
  </si>
  <si>
    <t xml:space="preserve">EQ = </t>
  </si>
  <si>
    <t>철    공</t>
  </si>
  <si>
    <t>No.49</t>
  </si>
  <si>
    <t xml:space="preserve"> '(2024년 건설공사표준품셈-토목 1-3-1 인력식 소규모장비 포설)'</t>
  </si>
  <si>
    <t>No.23  합판거푸집</t>
  </si>
  <si>
    <t xml:space="preserve">         '자연 함수비 : 6.6 %'</t>
  </si>
  <si>
    <t xml:space="preserve">   유로폼(내부패널)</t>
  </si>
  <si>
    <t xml:space="preserve">      1) 트레일러 20 TON : 노무비경비</t>
  </si>
  <si>
    <t xml:space="preserve">134_1_3 = </t>
  </si>
  <si>
    <t>탠덤롤러(자주식)   5 - 8 TON</t>
  </si>
  <si>
    <t xml:space="preserve">      소     계</t>
  </si>
  <si>
    <t xml:space="preserve">103_1_5 = </t>
  </si>
  <si>
    <t xml:space="preserve">1326_1_1+ = </t>
  </si>
  <si>
    <t xml:space="preserve">m2    </t>
  </si>
  <si>
    <t>블레이드</t>
  </si>
  <si>
    <t>별표 63/#34 시멘트 운반 | |KG</t>
  </si>
  <si>
    <t>M1488003</t>
  </si>
  <si>
    <t>M4119003</t>
  </si>
  <si>
    <t xml:space="preserve">190_1_2 = </t>
  </si>
  <si>
    <t xml:space="preserve">154_1_1 = </t>
  </si>
  <si>
    <t>270</t>
  </si>
  <si>
    <t>48.6mm용</t>
  </si>
  <si>
    <t>공구손료</t>
  </si>
  <si>
    <t xml:space="preserve">105_1_2+ = </t>
  </si>
  <si>
    <t>K5011030</t>
  </si>
  <si>
    <t>주재료비의 5%</t>
  </si>
  <si>
    <t>56100307031</t>
  </si>
  <si>
    <t>54100017110</t>
  </si>
  <si>
    <t xml:space="preserve">TO+ = </t>
  </si>
  <si>
    <t>QUS2WON2</t>
  </si>
  <si>
    <t>400 L</t>
  </si>
  <si>
    <t>K2010210</t>
  </si>
  <si>
    <t>진동 롤러 (핸드가이드식)   0.7 톤</t>
  </si>
  <si>
    <t>'(2023년 건설공사표준품셈-토목 1-5-1 텍코팅 및 프라임 코팅 살포)'</t>
  </si>
  <si>
    <t xml:space="preserve">510_1_3 = </t>
  </si>
  <si>
    <t>탠덤로울러(자주식)</t>
  </si>
  <si>
    <t>No.32 잡철물 제작및설치</t>
  </si>
  <si>
    <t xml:space="preserve">          4.0'hr'/ 4500'm2' = {?,'9.999R'}qty'hr/m2'</t>
  </si>
  <si>
    <t xml:space="preserve">291_1_6+ = </t>
  </si>
  <si>
    <t xml:space="preserve">1378_1_2+ = </t>
  </si>
  <si>
    <t xml:space="preserve">56_1_6+ = </t>
  </si>
  <si>
    <t>진동 롤러 (핸드가이드식)</t>
  </si>
  <si>
    <t>No.47</t>
  </si>
  <si>
    <t>No.39  맨홀뚜껑설치</t>
  </si>
  <si>
    <t xml:space="preserve">1235_1_5 = </t>
  </si>
  <si>
    <t xml:space="preserve">TC+ = </t>
  </si>
  <si>
    <t xml:space="preserve">93_1_2+ = </t>
  </si>
  <si>
    <t>MC-1,3 P/K(200ℓ) Prime용</t>
  </si>
  <si>
    <t>주자재의 11%</t>
  </si>
  <si>
    <t xml:space="preserve">670_1_1 = </t>
  </si>
  <si>
    <t xml:space="preserve">73_1_3+ = </t>
  </si>
  <si>
    <t xml:space="preserve">  (2024년 건설공사표준품셈-토목 1-5-7 아스팔트 표층 기계포설(대형장비))</t>
  </si>
  <si>
    <t xml:space="preserve">          t1 = (N * 37.4) / (60 * 0.60) = {?,'9.9R'}'min'</t>
  </si>
  <si>
    <t>별표 59/#28 차선도색(문자,기호)</t>
  </si>
  <si>
    <t xml:space="preserve">656_1_1 = </t>
  </si>
  <si>
    <t>No.42 콘크리트 치핑</t>
  </si>
  <si>
    <t>230</t>
  </si>
  <si>
    <t xml:space="preserve">   가설창고  (3.0×12.0)</t>
  </si>
  <si>
    <t>&gt;'소 계'</t>
  </si>
  <si>
    <t xml:space="preserve">       to =  {Cm}  -  {t1}    =  ?'&lt;min&gt;'</t>
  </si>
  <si>
    <t xml:space="preserve">EX52                                                                                                </t>
  </si>
  <si>
    <t>별표 14/#13 폐기물적재 | 주간|M3</t>
  </si>
  <si>
    <t xml:space="preserve">   CM = ({T1} + {T2} + {T3} + {T4}) = ?'MIN'</t>
  </si>
  <si>
    <t>1-776</t>
  </si>
  <si>
    <t xml:space="preserve">BH = </t>
  </si>
  <si>
    <t>하차비</t>
  </si>
  <si>
    <t>구)운전사(운반차)</t>
  </si>
  <si>
    <t xml:space="preserve">232_1_1+ = </t>
  </si>
  <si>
    <t xml:space="preserve"> 나. 상차 (W/L 1.72 M3)</t>
  </si>
  <si>
    <t>관급자재</t>
  </si>
  <si>
    <t xml:space="preserve">          1 / Q = {?,'9.999R'}QTY'hr/m3'</t>
  </si>
  <si>
    <t xml:space="preserve">229_1_1 = </t>
  </si>
  <si>
    <t>E0013060025</t>
  </si>
  <si>
    <t>M8136303</t>
  </si>
  <si>
    <t>구역화물(14.0TON)이하</t>
  </si>
  <si>
    <t>구)건설기계운전기사</t>
  </si>
  <si>
    <t xml:space="preserve">   굴삭기(무한궤도)</t>
  </si>
  <si>
    <t>M000220</t>
  </si>
  <si>
    <t xml:space="preserve">215_1_3 = </t>
  </si>
  <si>
    <t>15</t>
  </si>
  <si>
    <t xml:space="preserve">      Q = 3600 * qo * k * f * E / Cm</t>
  </si>
  <si>
    <t xml:space="preserve">132_1_1+ = </t>
  </si>
  <si>
    <t xml:space="preserve">27_1_2 = </t>
  </si>
  <si>
    <t xml:space="preserve">56_1_6 = </t>
  </si>
  <si>
    <t xml:space="preserve">58_1_3 = </t>
  </si>
  <si>
    <t xml:space="preserve">253_1_1 = </t>
  </si>
  <si>
    <t xml:space="preserve">   소 계</t>
  </si>
  <si>
    <t xml:space="preserve">본    </t>
  </si>
  <si>
    <t xml:space="preserve">250_1_5+ = </t>
  </si>
  <si>
    <t xml:space="preserve">153_1_1 = </t>
  </si>
  <si>
    <t>포 설 공</t>
  </si>
  <si>
    <t xml:space="preserve">  (2024년 건설공사표준품셈 8-2-3 굴삭기)</t>
  </si>
  <si>
    <t xml:space="preserve">   레미콘</t>
  </si>
  <si>
    <t xml:space="preserve">   굴삭기(무한궤도)+부착용 집게</t>
  </si>
  <si>
    <t>K2020205</t>
  </si>
  <si>
    <t>굴삭기(타이어)   0.6 M3</t>
  </si>
  <si>
    <t xml:space="preserve">         '보통인부 :' 2.0'인' / 8000 = {?,'9.999R'}qty'인/m2'</t>
  </si>
  <si>
    <t xml:space="preserve">   스틸그레이팅 설치</t>
  </si>
  <si>
    <t xml:space="preserve">   전체 합계</t>
  </si>
  <si>
    <t xml:space="preserve">              Tb : 인력에의한 타설준비 및 마무리시간</t>
  </si>
  <si>
    <t>M0723004</t>
  </si>
  <si>
    <t>160</t>
  </si>
  <si>
    <t xml:space="preserve">1321_1_2+ = </t>
  </si>
  <si>
    <t xml:space="preserve">192_1_3 = </t>
  </si>
  <si>
    <t xml:space="preserve">161_1_6 = </t>
  </si>
  <si>
    <t xml:space="preserve">          1'm' * 1.03'ea' = {?,'9.999R'}qty 'ea'</t>
  </si>
  <si>
    <t>L088</t>
  </si>
  <si>
    <t xml:space="preserve">F = </t>
  </si>
  <si>
    <t>L086</t>
  </si>
  <si>
    <t xml:space="preserve">1303_1_4 = </t>
  </si>
  <si>
    <t>치    즐</t>
  </si>
  <si>
    <t xml:space="preserve">439_1_1 = </t>
  </si>
  <si>
    <t xml:space="preserve">   흄관하차</t>
  </si>
  <si>
    <t xml:space="preserve">          8.0'hr'/ 4800'm2' = {?,'9.999R'}qty'hr/m2'</t>
  </si>
  <si>
    <t>퍼    티</t>
  </si>
  <si>
    <t xml:space="preserve">253_1_1+ = </t>
  </si>
  <si>
    <t>No.43</t>
  </si>
  <si>
    <t>콘크리트 펌프차</t>
  </si>
  <si>
    <t>노임할증계수(해상장비:주야간)</t>
  </si>
  <si>
    <t>수량</t>
  </si>
  <si>
    <t xml:space="preserve">   '1) 보통인부  80 m당 1인 소요 '</t>
  </si>
  <si>
    <t xml:space="preserve">     8'hr'/ 700'㎡' = {?,'9.999R'}QTY'hr/㎡'</t>
  </si>
  <si>
    <t xml:space="preserve">   불도저(무한궤도)</t>
  </si>
  <si>
    <t>1-560</t>
  </si>
  <si>
    <t xml:space="preserve">          자연 함수비 : 6.6 %</t>
  </si>
  <si>
    <t>55</t>
  </si>
  <si>
    <t xml:space="preserve">153_1_1+ = </t>
  </si>
  <si>
    <t>인건비의 3%</t>
  </si>
  <si>
    <t xml:space="preserve">757_1_6 = </t>
  </si>
  <si>
    <t xml:space="preserve">163_1_1+ = </t>
  </si>
  <si>
    <t xml:space="preserve">         ~E0072040055.M~ / {Q} * {Bw} * {Bh}'&lt;Hr&gt;'* to / Cm  =  ?MA+</t>
  </si>
  <si>
    <t>KSM 6060 1,2종</t>
  </si>
  <si>
    <t>QEQTY3</t>
  </si>
  <si>
    <t>m</t>
  </si>
  <si>
    <t xml:space="preserve">                    t2 : 20min (펌프차 마감)</t>
  </si>
  <si>
    <t xml:space="preserve">782_1_3 = </t>
  </si>
  <si>
    <t>1-114</t>
  </si>
  <si>
    <t xml:space="preserve">   상    차</t>
  </si>
  <si>
    <t>120</t>
  </si>
  <si>
    <t xml:space="preserve">562_1_5+ = </t>
  </si>
  <si>
    <t>54400517001</t>
  </si>
  <si>
    <t>별표 59/#28  차선도색(문자,기호)</t>
  </si>
  <si>
    <t>GS1000</t>
  </si>
  <si>
    <t xml:space="preserve">인    </t>
  </si>
  <si>
    <t xml:space="preserve">1303_1_3+ = </t>
  </si>
  <si>
    <t xml:space="preserve">1360_1_5 = </t>
  </si>
  <si>
    <t xml:space="preserve">TBL2                                                                                                </t>
  </si>
  <si>
    <t>별표 2/#2 흙 쌓 기 | 주간(토사)|M3</t>
  </si>
  <si>
    <t xml:space="preserve">192_1_5+ = </t>
  </si>
  <si>
    <t>환율(마르크화)</t>
  </si>
  <si>
    <t>70</t>
  </si>
  <si>
    <t xml:space="preserve">.MA=MA(10,0,20)*0.52_x000D_
</t>
  </si>
  <si>
    <t xml:space="preserve">          (1.0'인/일'* 1 / 8) /  16'm3/hr' = {?,'9.999R'}qty'인/m3'</t>
  </si>
  <si>
    <t xml:space="preserve">낙찰율                                  </t>
  </si>
  <si>
    <t xml:space="preserve">537_1_1 = </t>
  </si>
  <si>
    <t xml:space="preserve">257_1_1+ = </t>
  </si>
  <si>
    <t xml:space="preserve">   하이바(고장력철근)</t>
  </si>
  <si>
    <t xml:space="preserve">   빗물받이 설치</t>
  </si>
  <si>
    <t xml:space="preserve">593_1_1+ = </t>
  </si>
  <si>
    <t xml:space="preserve">         '보통인부 : 인력 흙다지기 - 성토두께 30cm, 토사'</t>
  </si>
  <si>
    <t>&gt; '소  계'</t>
  </si>
  <si>
    <t>별표 64/#35 터파기</t>
  </si>
  <si>
    <t>KW</t>
  </si>
  <si>
    <t>연 마 지</t>
  </si>
  <si>
    <t>QEINC3</t>
  </si>
  <si>
    <t xml:space="preserve"> 가. 되메우기 (BH 0.8M3 )</t>
  </si>
  <si>
    <t>M2064115</t>
  </si>
  <si>
    <t xml:space="preserve">268_1_2+ = </t>
  </si>
  <si>
    <t>물자/1-1414/</t>
  </si>
  <si>
    <t xml:space="preserve">         ~E0072040055.E~ / {Q} * {Bw} * {Bh}'&lt;Hr&gt;'  =  ?EQ+</t>
  </si>
  <si>
    <t>ㄱ형강</t>
  </si>
  <si>
    <t xml:space="preserve"> 2-2 가설울타리판(H=6.0m이하)</t>
  </si>
  <si>
    <t>No.28</t>
  </si>
  <si>
    <t xml:space="preserve">   아스팔트 페이퍼(휘니셔)</t>
  </si>
  <si>
    <t>견적단가</t>
  </si>
  <si>
    <t>D=300MM</t>
  </si>
  <si>
    <t xml:space="preserve">504_1_1+ = </t>
  </si>
  <si>
    <t>조단/가정/</t>
  </si>
  <si>
    <t>L008</t>
  </si>
  <si>
    <t>No.34 조합 페인트 칠</t>
  </si>
  <si>
    <t>되메우기</t>
  </si>
  <si>
    <t>M1572003</t>
  </si>
  <si>
    <t xml:space="preserve">   1) 보충수량 산출</t>
  </si>
  <si>
    <t>No.44 실런트설치</t>
  </si>
  <si>
    <t xml:space="preserve">784_1_1 = </t>
  </si>
  <si>
    <t>M0015009</t>
  </si>
  <si>
    <t>용접봉(스테인리스강용)</t>
  </si>
  <si>
    <t xml:space="preserve">652_1_2 = </t>
  </si>
  <si>
    <t xml:space="preserve">   원형맨홀(주철제)</t>
  </si>
  <si>
    <t xml:space="preserve">   - 관급자재 -</t>
  </si>
  <si>
    <t xml:space="preserve">    b. 기계경비(트럭탑재형크레인 10TON)</t>
  </si>
  <si>
    <t xml:space="preserve">56_1_1+ = </t>
  </si>
  <si>
    <t xml:space="preserve">          0.27 / 100 = {?,'9.999R'}qty'개/m'</t>
  </si>
  <si>
    <t xml:space="preserve">250_1_2 = </t>
  </si>
  <si>
    <t>별표 49/#21 기층포설및다짐(기계) | 주간:T=10CM|M2</t>
  </si>
  <si>
    <t xml:space="preserve">   잡철물 제작설치</t>
  </si>
  <si>
    <t>5500 L</t>
  </si>
  <si>
    <t xml:space="preserve">235_1_1 = </t>
  </si>
  <si>
    <t xml:space="preserve">    a. 인건비</t>
  </si>
  <si>
    <t xml:space="preserve">TS                                                                                                  </t>
  </si>
  <si>
    <t>30</t>
  </si>
  <si>
    <t>56900017118</t>
  </si>
  <si>
    <t>매캐덤 로울러(자주식)</t>
  </si>
  <si>
    <t xml:space="preserve"> 바, 고르기 및 다짐</t>
  </si>
  <si>
    <t>(2024년 건설공사표준품셈-토목 6-1-4 콘크리트 펌프차 타설)</t>
  </si>
  <si>
    <t xml:space="preserve">       t2 (급수시간)  = 10 &lt;min&gt;</t>
  </si>
  <si>
    <t>물자/1-774/</t>
  </si>
  <si>
    <t>No.26</t>
  </si>
  <si>
    <t xml:space="preserve">136_1_1+ = </t>
  </si>
  <si>
    <t xml:space="preserve">73_1_5 = </t>
  </si>
  <si>
    <t>'(2024년 건설공사표준품셈-토목 1-9-2 보차도 및 도로경계블록 설치)'</t>
  </si>
  <si>
    <t xml:space="preserve">255_1_3 = </t>
  </si>
  <si>
    <t xml:space="preserve">   '비   계  공:' 0.030'인' * ~L015~ = ?LA+:LAA3</t>
  </si>
  <si>
    <t>0.15m</t>
  </si>
  <si>
    <t xml:space="preserve">2Arch터널노임(일방향)                   </t>
  </si>
  <si>
    <t>개</t>
  </si>
  <si>
    <t>Φ450(PE이중벽관)</t>
  </si>
  <si>
    <t xml:space="preserve">   아스팔트 포장절단</t>
  </si>
  <si>
    <t xml:space="preserve">73_1_4+ = </t>
  </si>
  <si>
    <t xml:space="preserve">   '특별인부 :' 1.59'인' * ~L084~ =?LA+</t>
  </si>
  <si>
    <t>재료비</t>
  </si>
  <si>
    <t>145</t>
  </si>
  <si>
    <t>크레인(타이어:노무비경비)</t>
  </si>
  <si>
    <t xml:space="preserve">                   't1 : 20min (펌프차 세팅)'</t>
  </si>
  <si>
    <t xml:space="preserve">     재 료 비 :</t>
  </si>
  <si>
    <t xml:space="preserve">   PE우수받이</t>
  </si>
  <si>
    <t xml:space="preserve">194_1_1 = </t>
  </si>
  <si>
    <t xml:space="preserve">   방청페인트</t>
  </si>
  <si>
    <t>T</t>
  </si>
  <si>
    <t xml:space="preserve">     경    비 :</t>
  </si>
  <si>
    <t xml:space="preserve">   택 코 팅</t>
  </si>
  <si>
    <t>QUS2WON</t>
  </si>
  <si>
    <t xml:space="preserve">665_1_1+ = </t>
  </si>
  <si>
    <t>조단/관급/</t>
  </si>
  <si>
    <t>재료비의5%</t>
  </si>
  <si>
    <t xml:space="preserve">   세륜 세차 시설</t>
  </si>
  <si>
    <t xml:space="preserve">   고휘도용유리알</t>
  </si>
  <si>
    <t xml:space="preserve">     8'hr'/ 126'㎡' = {?,'9.999R'}QTY'hr/㎡'</t>
  </si>
  <si>
    <t xml:space="preserve">      Q =  (1.6 + 3.3) / 2 = {?,'9.9R'}'m3/HR'</t>
  </si>
  <si>
    <t>3. 살수(물탱크 5500 L ) 10 % 적용</t>
  </si>
  <si>
    <t xml:space="preserve">       Q  =  60 * {q} * {E} / {Cm}   =  ?'&lt;ℓ/Hr&gt;'</t>
  </si>
  <si>
    <t>굴삭기(타이어)   0.8 M3</t>
  </si>
  <si>
    <t>32 M(80~95 M3/hr)</t>
  </si>
  <si>
    <t>M0084045</t>
  </si>
  <si>
    <t xml:space="preserve">   흄관 접합및부설</t>
  </si>
  <si>
    <t>개소</t>
  </si>
  <si>
    <t>No.45</t>
  </si>
  <si>
    <t>품의 3%</t>
  </si>
  <si>
    <t xml:space="preserve">161_1_3 = </t>
  </si>
  <si>
    <t xml:space="preserve">192_1_6 = </t>
  </si>
  <si>
    <t xml:space="preserve">TON   </t>
  </si>
  <si>
    <t xml:space="preserve">103_1_4+ = </t>
  </si>
  <si>
    <t xml:space="preserve">675_1_1+ = </t>
  </si>
  <si>
    <t>K7011750</t>
  </si>
  <si>
    <t>0.54%</t>
  </si>
  <si>
    <t xml:space="preserve">   ANCHOR BAR</t>
  </si>
  <si>
    <t>G06020025</t>
  </si>
  <si>
    <t xml:space="preserve">F+ = </t>
  </si>
  <si>
    <t>머캐덤 로울러(자주식)</t>
  </si>
  <si>
    <t>No.25  흄관 접합및부설</t>
  </si>
  <si>
    <t>1-112</t>
  </si>
  <si>
    <t>백색:융착식</t>
  </si>
  <si>
    <t>M1503036</t>
  </si>
  <si>
    <t xml:space="preserve">226_1_1+ = </t>
  </si>
  <si>
    <t xml:space="preserve">         '운반거리 35.0KM'</t>
  </si>
  <si>
    <t xml:space="preserve">29_1_2 = </t>
  </si>
  <si>
    <t xml:space="preserve">126_1_1+ = </t>
  </si>
  <si>
    <t xml:space="preserve">56_1_3 = </t>
  </si>
  <si>
    <t xml:space="preserve"> (2022년 건설공사표준품셈 6-3-3 유로폼 설치 및 해체)</t>
  </si>
  <si>
    <t xml:space="preserve">238_1_2 = </t>
  </si>
  <si>
    <t xml:space="preserve">   제 잡 비</t>
  </si>
  <si>
    <t xml:space="preserve">          용인시청--------------------현장</t>
  </si>
  <si>
    <t xml:space="preserve"> 나. 포 설(휘니샤 3.0M)</t>
  </si>
  <si>
    <t>M1749014</t>
  </si>
  <si>
    <t>1-774</t>
  </si>
  <si>
    <t>물자/1-591/</t>
  </si>
  <si>
    <t xml:space="preserve">215_1_6 = </t>
  </si>
  <si>
    <t xml:space="preserve">229_1_2+ = </t>
  </si>
  <si>
    <t>No.33 녹막이 페인트 칠</t>
  </si>
  <si>
    <t xml:space="preserve">  가. 도로표지용 도료 (융착식:백색)</t>
  </si>
  <si>
    <t>M1002027</t>
  </si>
  <si>
    <t>L025</t>
  </si>
  <si>
    <t xml:space="preserve">EX1                                                                                                 </t>
  </si>
  <si>
    <t xml:space="preserve">          1'일' / 450 * 4'hr' = {?,'9.999R'}qty'hr/m'</t>
  </si>
  <si>
    <t xml:space="preserve">776_1_1+ = </t>
  </si>
  <si>
    <t xml:space="preserve">757_1_3 = </t>
  </si>
  <si>
    <t>물자/1-27/</t>
  </si>
  <si>
    <t>*</t>
  </si>
  <si>
    <t xml:space="preserve"> 아. 공구손료 및 경장비(라인마커, 용해기 등)의 기계경비는 인력품의 10%로 계상</t>
  </si>
  <si>
    <t xml:space="preserve">215_1_5+ = </t>
  </si>
  <si>
    <t>E0044300400</t>
  </si>
  <si>
    <t>0.7 M3용</t>
  </si>
  <si>
    <t>물자/1-1387/</t>
  </si>
  <si>
    <t xml:space="preserve">17_1_1+ = </t>
  </si>
  <si>
    <t xml:space="preserve">782_1_6 = </t>
  </si>
  <si>
    <t>M1749420</t>
  </si>
  <si>
    <t xml:space="preserve">      '노 무 비 :'</t>
  </si>
  <si>
    <t xml:space="preserve">병렬터널 할증 (일방향)                  </t>
  </si>
  <si>
    <t xml:space="preserve">   (2024년 건설공사표준품셈 6-5-2 밴드 접합 및 부설</t>
  </si>
  <si>
    <t>No.27 흄관 접합및부설</t>
  </si>
  <si>
    <t xml:space="preserve"> 사. 살  수(W/TANK 5500 L)</t>
  </si>
  <si>
    <t xml:space="preserve">C = </t>
  </si>
  <si>
    <t xml:space="preserve">          포설두께 10 Cm, 단위중량 2.35 ton/m3, 할증 1.02</t>
  </si>
  <si>
    <t xml:space="preserve">27_1_1+ = </t>
  </si>
  <si>
    <t xml:space="preserve">          운반비 : RSC-4재료비의 10 %</t>
  </si>
  <si>
    <t>2022-09-07 14:56:30</t>
  </si>
  <si>
    <t xml:space="preserve">   잡석</t>
  </si>
  <si>
    <t xml:space="preserve">   타이어로울러(자주식)</t>
  </si>
  <si>
    <t xml:space="preserve">1303_1_1 = </t>
  </si>
  <si>
    <t>No.40 세퍼레이터 설치</t>
  </si>
  <si>
    <t xml:space="preserve"> 가.깨기 (BH 0.7 M3 + 대형 브레이카)</t>
  </si>
  <si>
    <t xml:space="preserve">1296_1_1 = </t>
  </si>
  <si>
    <t xml:space="preserve">1237_1_1 = </t>
  </si>
  <si>
    <t>56801007023</t>
  </si>
  <si>
    <t xml:space="preserve">US3WON                                                                                              </t>
  </si>
  <si>
    <t>굴삭기(무한궤도)+부착용 집게</t>
  </si>
  <si>
    <t xml:space="preserve">772_1_1+ = </t>
  </si>
  <si>
    <t>No.20</t>
  </si>
  <si>
    <t xml:space="preserve">751_1_1 = </t>
  </si>
  <si>
    <t>인력품의 8%</t>
  </si>
  <si>
    <t>경비단가소숫점</t>
  </si>
  <si>
    <t>물탱크(살수차)   16000 L</t>
  </si>
  <si>
    <t>노임할증계수(터널구간:주야간)</t>
  </si>
  <si>
    <t>별표 11/#10 콘크리트 포장절단 | 주간|M</t>
  </si>
  <si>
    <t>2. 운반비</t>
  </si>
  <si>
    <t xml:space="preserve">510_1_1+ = </t>
  </si>
  <si>
    <t xml:space="preserve">   동력분무기</t>
  </si>
  <si>
    <t xml:space="preserve">665_1_1 = </t>
  </si>
  <si>
    <t xml:space="preserve">                                         '계 :  5 회'</t>
  </si>
  <si>
    <t>Φ300mm, PE100</t>
  </si>
  <si>
    <t xml:space="preserve">784_1_4 = </t>
  </si>
  <si>
    <t>환율(사용자 환율2)</t>
  </si>
  <si>
    <t>일위대가목록</t>
  </si>
  <si>
    <t>No.33  녹막이 페인트 칠</t>
  </si>
  <si>
    <t>QDECCEQ</t>
  </si>
  <si>
    <t>노임할증계수(장대터널:주간)</t>
  </si>
  <si>
    <t xml:space="preserve">          운반비 : MC-1 재료비의 10 %</t>
  </si>
  <si>
    <t>QCODE</t>
  </si>
  <si>
    <t xml:space="preserve">757_1_4+ = </t>
  </si>
  <si>
    <t xml:space="preserve">   동상방지층 포설다짐</t>
  </si>
  <si>
    <t>E0002310007</t>
  </si>
  <si>
    <t xml:space="preserve">1360_1_2+ = </t>
  </si>
  <si>
    <t>굴삭기(무한궤도)+부착용 집게   0.2 M3</t>
  </si>
  <si>
    <t>별표 12/#11 철근콘크리트 깨기</t>
  </si>
  <si>
    <t>E0013060100</t>
  </si>
  <si>
    <t>K1020118</t>
  </si>
  <si>
    <t xml:space="preserve">393_1_4+ = </t>
  </si>
  <si>
    <t xml:space="preserve">535_1_4+ = </t>
  </si>
  <si>
    <t>1-7</t>
  </si>
  <si>
    <t>Φ450mm</t>
  </si>
  <si>
    <t>별표 5/#5 표토제거</t>
  </si>
  <si>
    <t>No.31  PE관 설치</t>
  </si>
  <si>
    <t>1-37</t>
  </si>
  <si>
    <t>크레인(타이어:재료비)</t>
  </si>
  <si>
    <t xml:space="preserve">1231_1_3 = </t>
  </si>
  <si>
    <t xml:space="preserve">          To =  Cm / 60 = {?,'9.999R'}'hr'</t>
  </si>
  <si>
    <t>3 M</t>
  </si>
  <si>
    <t>G02010070</t>
  </si>
  <si>
    <t xml:space="preserve">1300_1_2 = </t>
  </si>
  <si>
    <t>매캐덤 롤러(자주식)</t>
  </si>
  <si>
    <t xml:space="preserve">587_1_1+ = </t>
  </si>
  <si>
    <t>무대,토사</t>
  </si>
  <si>
    <t xml:space="preserve">협소공간작업                            </t>
  </si>
  <si>
    <t xml:space="preserve">1253_1_2+ = </t>
  </si>
  <si>
    <t xml:space="preserve">      Q = 1000 * V * W * D * E * f / N</t>
  </si>
  <si>
    <t xml:space="preserve">      Q = 60 * {q} * {f} * {E} / {Cm} = {?,'9.9R'}'m/hr'</t>
  </si>
  <si>
    <t>고휘도용유리알</t>
  </si>
  <si>
    <t xml:space="preserve">TC = </t>
  </si>
  <si>
    <t>No.60</t>
  </si>
  <si>
    <t xml:space="preserve">      Q = 1000 * {V} * {W} * {D} * {E} * {F} / {N} = {?,'9.9R'}'m3/hr'</t>
  </si>
  <si>
    <t>No.39 맨홀뚜껑설치</t>
  </si>
  <si>
    <t>19 TON</t>
  </si>
  <si>
    <t>No.53  인조화강석블럭포장</t>
  </si>
  <si>
    <t>QLINCY</t>
  </si>
  <si>
    <t xml:space="preserve"> 라. 제 잡 비 : 양생 인력품의 41%적용</t>
  </si>
  <si>
    <t xml:space="preserve">ton   </t>
  </si>
  <si>
    <t>15 TON</t>
  </si>
  <si>
    <t xml:space="preserve">                                          '(2024년 건설공사표준품셈-토목 1-9-2 보차도 및 도로경계블록 설치)'</t>
  </si>
  <si>
    <t>QDECPLA</t>
  </si>
  <si>
    <t>노무비의2%</t>
  </si>
  <si>
    <t xml:space="preserve">  '비 계 공 :'0.39' 인'*~L015~ * 2 =?EQ+</t>
  </si>
  <si>
    <t xml:space="preserve"> 가. 아스팔트유제(엔진식 : MC-1)</t>
  </si>
  <si>
    <t xml:space="preserve">        '진동기 손료 : 인력품의 5% 적용'</t>
  </si>
  <si>
    <t>M1500021</t>
  </si>
  <si>
    <t>지하매설물탐사용테이프</t>
  </si>
  <si>
    <t xml:space="preserve">285_1_1+ = </t>
  </si>
  <si>
    <t>M0030030</t>
  </si>
  <si>
    <t>M0144027</t>
  </si>
  <si>
    <t>450㎜</t>
  </si>
  <si>
    <t>금액계상</t>
  </si>
  <si>
    <t xml:space="preserve">250_1_7 = </t>
  </si>
  <si>
    <t xml:space="preserve">190_1_4+ = </t>
  </si>
  <si>
    <t xml:space="preserve">동    </t>
  </si>
  <si>
    <t xml:space="preserve">LAA1+ = </t>
  </si>
  <si>
    <t xml:space="preserve">784_1_1+ = </t>
  </si>
  <si>
    <t>M0717007</t>
  </si>
  <si>
    <t>XC0081</t>
  </si>
  <si>
    <t>재 료 비</t>
  </si>
  <si>
    <t>E0002010080</t>
  </si>
  <si>
    <t xml:space="preserve">  - 트럭크레인 (10 ton)</t>
  </si>
  <si>
    <t xml:space="preserve">50_1_1 = </t>
  </si>
  <si>
    <t>경비금액소숫점</t>
  </si>
  <si>
    <t>별표 66/#37 원지반 다짐 | P.C 1.5ton 3회|m2</t>
  </si>
  <si>
    <t xml:space="preserve">291_1_5 = </t>
  </si>
  <si>
    <t>56900017058</t>
  </si>
  <si>
    <t xml:space="preserve">   기구손료</t>
  </si>
  <si>
    <t xml:space="preserve">185_1_1+ = </t>
  </si>
  <si>
    <t>1-98</t>
  </si>
  <si>
    <t>L004</t>
  </si>
  <si>
    <t>시간당노임산출계수(장대터널)</t>
  </si>
  <si>
    <t xml:space="preserve">770_1_1 = </t>
  </si>
  <si>
    <t>M8916015</t>
  </si>
  <si>
    <t xml:space="preserve">          0.75 'L/m2' * 1.03 = {?,'9.999R'}qty'L/m2'</t>
  </si>
  <si>
    <t>보통합판</t>
  </si>
  <si>
    <t xml:space="preserve">   FRP오수처리시설</t>
  </si>
  <si>
    <t xml:space="preserve">   물탱크</t>
  </si>
  <si>
    <t>화강석(200*250)</t>
  </si>
  <si>
    <t xml:space="preserve"> 다. 콘크리트 타설인부 (BOOM 타설)</t>
  </si>
  <si>
    <t xml:space="preserve">1235_1_1+ = </t>
  </si>
  <si>
    <t xml:space="preserve">1292_1_1+ = </t>
  </si>
  <si>
    <t xml:space="preserve">   도 장 공</t>
  </si>
  <si>
    <t xml:space="preserve">   세퍼레이터 설치</t>
  </si>
  <si>
    <t xml:space="preserve">PH1                                                                                                 </t>
  </si>
  <si>
    <t>No.24</t>
  </si>
  <si>
    <t xml:space="preserve">          1 /{Q} * 0.5'(50%적용)' = {?,'9.999R'}QTY'hr/m3'</t>
  </si>
  <si>
    <t xml:space="preserve">103_1_3+ = </t>
  </si>
  <si>
    <t>별표 48/#20  표층포설및다짐(기계)</t>
  </si>
  <si>
    <t xml:space="preserve">Q = </t>
  </si>
  <si>
    <t>.eq= LA(50,60) * 0.01</t>
  </si>
  <si>
    <t xml:space="preserve">535_1_5 = </t>
  </si>
  <si>
    <t>별표 56/#25  보차도 경계석(곡선)</t>
  </si>
  <si>
    <t>적    재</t>
  </si>
  <si>
    <t xml:space="preserve"> 라. 머캐덤 로라 (10-12 TON)</t>
  </si>
  <si>
    <t>주간:T=5CM</t>
  </si>
  <si>
    <t xml:space="preserve">             'Tc = (t1+t2+t3+t4)/F'</t>
  </si>
  <si>
    <t xml:space="preserve">1249_1_2 = </t>
  </si>
  <si>
    <t xml:space="preserve">1324_1_3 = </t>
  </si>
  <si>
    <t>1:2</t>
  </si>
  <si>
    <t>No.44  실런트설치</t>
  </si>
  <si>
    <t>56801007002</t>
  </si>
  <si>
    <t xml:space="preserve">562_1_1 = </t>
  </si>
  <si>
    <t xml:space="preserve">591_1_4 = </t>
  </si>
  <si>
    <t>.LA=MA(10)*5/100</t>
  </si>
  <si>
    <t>M0012006</t>
  </si>
  <si>
    <t>별표 64/#35  터파기</t>
  </si>
  <si>
    <t>인력식 소규모 장비 사용, 150m3/일</t>
  </si>
  <si>
    <t xml:space="preserve">1321_1_2 = </t>
  </si>
  <si>
    <t>4회</t>
  </si>
  <si>
    <t xml:space="preserve">CC                                                                                                  </t>
  </si>
  <si>
    <t>1208</t>
  </si>
  <si>
    <t>토사</t>
  </si>
  <si>
    <t>G72040160</t>
  </si>
  <si>
    <t xml:space="preserve">132_1_4 = </t>
  </si>
  <si>
    <t>주간:T=10CM</t>
  </si>
  <si>
    <t xml:space="preserve">          Cm = ({t1} + {t2} + {t3} + {t4}) = {?,'9.9R'}'min'</t>
  </si>
  <si>
    <t xml:space="preserve">   폐기물적재</t>
  </si>
  <si>
    <t>.MA = MA(20,30) * 0.11</t>
  </si>
  <si>
    <t xml:space="preserve">          1.0 / 500  = {?,'9.999R'}qty'인'</t>
  </si>
  <si>
    <t xml:space="preserve">215_1_2+ = </t>
  </si>
  <si>
    <t>명    칭</t>
  </si>
  <si>
    <t>별표 21/#18  유 로 폼</t>
  </si>
  <si>
    <t xml:space="preserve">105_1_2 = </t>
  </si>
  <si>
    <t xml:space="preserve">262_1_3+ = </t>
  </si>
  <si>
    <t>'(2024년 건설공사표준품셈-토목 1-5-1 텍코팅 및 프라임 코팅 살포)'</t>
  </si>
  <si>
    <t xml:space="preserve">A31                                                                                                 </t>
  </si>
  <si>
    <t>L P G</t>
  </si>
  <si>
    <t>30km</t>
  </si>
  <si>
    <t xml:space="preserve">   (2024년 건설공사표준품셈 8-3-1 각종 잡철물 제작 설치)</t>
  </si>
  <si>
    <t xml:space="preserve">           '백 호 우     0.4-0.8 M3 : 1 대 ---- 1 회'</t>
  </si>
  <si>
    <t xml:space="preserve">          1 / Q = {?,'9.999R'}qty'hr/m3'</t>
  </si>
  <si>
    <t xml:space="preserve">   비자주식:트레일러</t>
  </si>
  <si>
    <t xml:space="preserve">         '포설공 :' 2.0 '인'/ 150 'M3' = {?,'9.999R'}qty'인/m3'</t>
  </si>
  <si>
    <t>외송각재</t>
  </si>
  <si>
    <t>K2030110</t>
  </si>
  <si>
    <t>부자재</t>
  </si>
  <si>
    <t>별산자재</t>
  </si>
  <si>
    <t>EGI휀스, 6개월</t>
  </si>
  <si>
    <t xml:space="preserve">   차선도색(실선)</t>
  </si>
  <si>
    <t xml:space="preserve">93_1_2 = </t>
  </si>
  <si>
    <t xml:space="preserve">27_1_6+ = </t>
  </si>
  <si>
    <t>K7011011</t>
  </si>
  <si>
    <t>구역화물 14.0TON이하 30km</t>
  </si>
  <si>
    <t>굴삭기(무한궤도)   0.7 M3</t>
  </si>
  <si>
    <t>32 TON</t>
  </si>
  <si>
    <t>490</t>
  </si>
  <si>
    <t xml:space="preserve">348_1_1+ = </t>
  </si>
  <si>
    <t xml:space="preserve">259_1_2 = </t>
  </si>
  <si>
    <t xml:space="preserve">&gt;MA = </t>
  </si>
  <si>
    <t>K2020710</t>
  </si>
  <si>
    <t>MZ2100002</t>
  </si>
  <si>
    <t>L084</t>
  </si>
  <si>
    <t>5 - 8 TON</t>
  </si>
  <si>
    <t>330</t>
  </si>
  <si>
    <t xml:space="preserve">매    </t>
  </si>
  <si>
    <t xml:space="preserve">510_1_6+ = </t>
  </si>
  <si>
    <t xml:space="preserve"> 마. 노무비</t>
  </si>
  <si>
    <t xml:space="preserve"> 3. 보 충 수</t>
  </si>
  <si>
    <t>No.41</t>
  </si>
  <si>
    <t>D=450MM</t>
  </si>
  <si>
    <t xml:space="preserve">209_2_1 = </t>
  </si>
  <si>
    <t xml:space="preserve"> 사. 살  수(W/TANK 16000 L)</t>
  </si>
  <si>
    <t xml:space="preserve">        대당 275포 적재</t>
  </si>
  <si>
    <t>200x100x1000㎜(직선)</t>
  </si>
  <si>
    <t xml:space="preserve">    c. 공구손료(인력품의 2%)</t>
  </si>
  <si>
    <t>인력품의3%</t>
  </si>
  <si>
    <t>중기주야간경비산출계수</t>
  </si>
  <si>
    <t>M3114005-1</t>
  </si>
  <si>
    <t xml:space="preserve">          t2 = ( {L} / {V} ) * 2 * 60 = {?,'9.9R'}'min'</t>
  </si>
  <si>
    <t>K2040240</t>
  </si>
  <si>
    <t xml:space="preserve">  '재료비 :' 1.0'HR'*~E0021040010.M~*2=?EQ+</t>
  </si>
  <si>
    <t xml:space="preserve">          0.89'매'/ 10'm2' = {?,'9.999R'}qty'매'</t>
  </si>
  <si>
    <t xml:space="preserve">A                                                                                                   </t>
  </si>
  <si>
    <t xml:space="preserve">163_1_2 = </t>
  </si>
  <si>
    <t>M9015031</t>
  </si>
  <si>
    <t xml:space="preserve">LAA5 = </t>
  </si>
  <si>
    <t>E0027020021</t>
  </si>
  <si>
    <t xml:space="preserve">                                           (2024년 건설공사표준품셈-토목 1-9-2 보차도 및 도로경계블록 설치)</t>
  </si>
  <si>
    <t>깨    기</t>
  </si>
  <si>
    <t xml:space="preserve">17_1_1 = </t>
  </si>
  <si>
    <t xml:space="preserve">348_1_1 = </t>
  </si>
  <si>
    <t xml:space="preserve">1360_1_5+ = </t>
  </si>
  <si>
    <t>㎥</t>
  </si>
  <si>
    <t xml:space="preserve">289_1_1+ = </t>
  </si>
  <si>
    <t xml:space="preserve">393_1_3+ = </t>
  </si>
  <si>
    <t xml:space="preserve">535_1_3+ = </t>
  </si>
  <si>
    <t xml:space="preserve">757_1_3+ = </t>
  </si>
  <si>
    <t>QEQTY1</t>
  </si>
  <si>
    <t xml:space="preserve"> '(2024년 건설공사표준품셈-토목 1-5-4 아스팔트 기층 기계포설(대형장비))'</t>
  </si>
  <si>
    <t xml:space="preserve">   실런트</t>
  </si>
  <si>
    <t>56300117911</t>
  </si>
  <si>
    <t>1-56</t>
  </si>
  <si>
    <t xml:space="preserve">393_1_1 = </t>
  </si>
  <si>
    <t>K2010310</t>
  </si>
  <si>
    <t>주자재의 8%</t>
  </si>
  <si>
    <t xml:space="preserve">T1 = </t>
  </si>
  <si>
    <t xml:space="preserve">QTY = </t>
  </si>
  <si>
    <t>가정//</t>
  </si>
  <si>
    <t xml:space="preserve"> 다. 융착식 프라이머 10㎡ 당 2.0㎏ 소요</t>
  </si>
  <si>
    <t xml:space="preserve">   콘크리트 치핑</t>
  </si>
  <si>
    <t xml:space="preserve">          E = 0.70 - 0.05 = {?,'9.9R'}</t>
  </si>
  <si>
    <t xml:space="preserve">   기층포설및다짐(기계)</t>
  </si>
  <si>
    <t xml:space="preserve">1249_1_3+ = </t>
  </si>
  <si>
    <t xml:space="preserve">1253_1_5+ = </t>
  </si>
  <si>
    <t xml:space="preserve">EX51                                                                                                </t>
  </si>
  <si>
    <t>화폐변환</t>
  </si>
  <si>
    <t xml:space="preserve">M2    </t>
  </si>
  <si>
    <t xml:space="preserve">       경    비 :</t>
  </si>
  <si>
    <t>E0034300400</t>
  </si>
  <si>
    <t>370</t>
  </si>
  <si>
    <t xml:space="preserve">658_1_1 = </t>
  </si>
  <si>
    <t>.EQ=LA(20,0,50)*0.05</t>
  </si>
  <si>
    <t xml:space="preserve">조    </t>
  </si>
  <si>
    <t xml:space="preserve">1231_1_1+ = </t>
  </si>
  <si>
    <t xml:space="preserve">D2                                                                                                  </t>
  </si>
  <si>
    <t xml:space="preserve">      Q = 60 * {W} * {E} * {f} / {Cm} = {?,'9.9R'}S'L/hr'</t>
  </si>
  <si>
    <t xml:space="preserve"> 바. 탠덤 로라 (5-8TON)</t>
  </si>
  <si>
    <t>G21040010</t>
  </si>
  <si>
    <t xml:space="preserve">    ' Q = 3600 * qo * k * f * E / Cm'</t>
  </si>
  <si>
    <t>'(2022년 건설공사표준품셈 6-3-3 유로폼 설치 및 해체)'</t>
  </si>
  <si>
    <t>34390797011</t>
  </si>
  <si>
    <t xml:space="preserve"> 가. 운반비 (11톤카고)</t>
  </si>
  <si>
    <t xml:space="preserve">야간기본노임                            </t>
  </si>
  <si>
    <t>K2020910</t>
  </si>
  <si>
    <t xml:space="preserve">1296_1_1+ = </t>
  </si>
  <si>
    <t>No.24  철근 가공조립</t>
  </si>
  <si>
    <t>㎡</t>
  </si>
  <si>
    <t>No.41  스페이서 설치</t>
  </si>
  <si>
    <t>QVER</t>
  </si>
  <si>
    <t xml:space="preserve">MA+ = </t>
  </si>
  <si>
    <t xml:space="preserve">                    t1 : 20min (펌프차 세팅)</t>
  </si>
  <si>
    <t xml:space="preserve">                                    '(2024년 건설공사표준품셈-토목 1-9-2 보차도 및 도로경계블록 설치)'</t>
  </si>
  <si>
    <t>230x5T</t>
  </si>
  <si>
    <t>No.24 철근 가공조립</t>
  </si>
  <si>
    <t xml:space="preserve">510_1_6 = </t>
  </si>
  <si>
    <t xml:space="preserve">504_1_1 = </t>
  </si>
  <si>
    <t xml:space="preserve">          상     차 :  20분당 4본 상차</t>
  </si>
  <si>
    <t xml:space="preserve">190_1_3+ = </t>
  </si>
  <si>
    <t>410</t>
  </si>
  <si>
    <t>D19mm</t>
  </si>
  <si>
    <t xml:space="preserve">   각    재</t>
  </si>
  <si>
    <t xml:space="preserve">          1 / Q * 171 = {?,'9.999R'}qty'hr/m3'</t>
  </si>
  <si>
    <t xml:space="preserve">LAA6+ = </t>
  </si>
  <si>
    <t xml:space="preserve"> 설치 및 해체시 2회</t>
  </si>
  <si>
    <t>매</t>
  </si>
  <si>
    <t xml:space="preserve">161_1_2+ = </t>
  </si>
  <si>
    <t>다    짐</t>
  </si>
  <si>
    <t>G72021000</t>
  </si>
  <si>
    <t>노임할증계수(장대터널:야간)</t>
  </si>
  <si>
    <t>중기주간경비산출계수</t>
  </si>
  <si>
    <t>전역변수</t>
  </si>
  <si>
    <t xml:space="preserve">WQ+ = </t>
  </si>
  <si>
    <t xml:space="preserve">1235_1_4+ = </t>
  </si>
  <si>
    <t>G02110080</t>
  </si>
  <si>
    <t xml:space="preserve">757_1_2 = </t>
  </si>
  <si>
    <t xml:space="preserve">          1 / 90 = {?,'9.999R'}QTY'인/m'</t>
  </si>
  <si>
    <t xml:space="preserve">   보통인부(부설)(0.13/6)</t>
  </si>
  <si>
    <t xml:space="preserve"> 2. 설 치 비</t>
  </si>
  <si>
    <t>Φ300(PE이중벽관)</t>
  </si>
  <si>
    <t>2. 우수,오수,상수공</t>
  </si>
  <si>
    <t>'(2024년 건설공사표준품셈 2-1-2 포장 절단)'</t>
  </si>
  <si>
    <t xml:space="preserve">                                     (2024년 건설공사표준품셈-토목 1-9-2 보차도 및 도로경계블록 설치)</t>
  </si>
  <si>
    <t xml:space="preserve">          f  = C / L = 1.075 / 1.15 =  {?,'9.9R'}</t>
  </si>
  <si>
    <t xml:space="preserve">         '보통인부' 1'인'/ 35'일' = {?,'9.999R'}qty'인'</t>
  </si>
  <si>
    <t>K1010241</t>
  </si>
  <si>
    <t>1-65</t>
  </si>
  <si>
    <t>모    래</t>
  </si>
  <si>
    <t>시간당노임산출계수(해상장비:GRAB준설선)</t>
  </si>
  <si>
    <t>주간</t>
  </si>
  <si>
    <t xml:space="preserve">   (2024년 건설공사표준품셈 6-3-1 합판거푸집 설치 및 해체)</t>
  </si>
  <si>
    <t xml:space="preserve">   소모자재</t>
  </si>
  <si>
    <t>G21050005</t>
  </si>
  <si>
    <t>덤프트럭   2.5 톤</t>
  </si>
  <si>
    <t>별표 3/#3 흙 쌓 기</t>
  </si>
  <si>
    <t xml:space="preserve">          t2 = ((0.1/7 + 0.1/8) + (1.0/25 + 1.0/30) + (1/35 * 2)) * 60 = {?,'9.9R'}'min'</t>
  </si>
  <si>
    <t xml:space="preserve">   치즐 소모량</t>
  </si>
  <si>
    <t>No.61  세륜 세차 시설</t>
  </si>
  <si>
    <t>K5011045</t>
  </si>
  <si>
    <t xml:space="preserve">   '재료비 ' ~E0021050010.M~ * {T1}'hr' = ?MA+</t>
  </si>
  <si>
    <t>PJ1001000</t>
  </si>
  <si>
    <t>#78  표층용</t>
  </si>
  <si>
    <t>타이어로울러(자주식)</t>
  </si>
  <si>
    <t xml:space="preserve">          L1 (운반거리)  = 20.0  M</t>
  </si>
  <si>
    <t>형    식</t>
  </si>
  <si>
    <t xml:space="preserve">161_1_2 = </t>
  </si>
  <si>
    <t>물정/1208/</t>
  </si>
  <si>
    <t>작업보조인부(보통인부)</t>
  </si>
  <si>
    <t xml:space="preserve">OH+ = </t>
  </si>
  <si>
    <t>명        칭</t>
  </si>
  <si>
    <t xml:space="preserve">   '재  료  비 : ' ~E0002010020.M~ * 0.035 = ?MA+</t>
  </si>
  <si>
    <t>No.32</t>
  </si>
  <si>
    <t>H1021200000</t>
  </si>
  <si>
    <t xml:space="preserve">183_1_1 = </t>
  </si>
  <si>
    <t xml:space="preserve">   벌개제근</t>
  </si>
  <si>
    <t>QDECCMA</t>
  </si>
  <si>
    <t>5인/50일</t>
  </si>
  <si>
    <t xml:space="preserve">   되메우기</t>
  </si>
  <si>
    <t xml:space="preserve">556_2_1+ = </t>
  </si>
  <si>
    <t>부분실적</t>
  </si>
  <si>
    <t>M0747003</t>
  </si>
  <si>
    <t>L114</t>
  </si>
  <si>
    <t>유로폼(패널)</t>
  </si>
  <si>
    <t xml:space="preserve">1313_1_1+ = </t>
  </si>
  <si>
    <t xml:space="preserve">238_1_3 = </t>
  </si>
  <si>
    <t xml:space="preserve">29_1_3 = </t>
  </si>
  <si>
    <t xml:space="preserve">391_1_1 = </t>
  </si>
  <si>
    <t xml:space="preserve">56_1_2 = </t>
  </si>
  <si>
    <t>E0021050010</t>
  </si>
  <si>
    <t xml:space="preserve">27_1_3+ = </t>
  </si>
  <si>
    <t xml:space="preserve">   1) 설치비</t>
  </si>
  <si>
    <t xml:space="preserve">   (2024년 건설공사표준품셈-토목 1-7-1 보도용 블록 설치(소형))</t>
  </si>
  <si>
    <t>별표 16/#14 되메우기및다짐(인력) | 토사|M3</t>
  </si>
  <si>
    <t>└────┴───┴───┴───┴───┴───┴───┴─────┘</t>
  </si>
  <si>
    <t xml:space="preserve">Q1                                                                                                  </t>
  </si>
  <si>
    <t xml:space="preserve">   철근콘크리트 깨기</t>
  </si>
  <si>
    <t xml:space="preserve">27_1_6 = </t>
  </si>
  <si>
    <t xml:space="preserve">15_1_1 = </t>
  </si>
  <si>
    <t xml:space="preserve">  - 인건비 -</t>
  </si>
  <si>
    <t>트럭 트랙터 및 평판트레일러   20 TON(노무비경비)</t>
  </si>
  <si>
    <t>0.2 KW</t>
  </si>
  <si>
    <t>화물자동차운임</t>
  </si>
  <si>
    <t>30×30×3600mm</t>
  </si>
  <si>
    <t xml:space="preserve">지세별 차선할증(번화가 4차선)           </t>
  </si>
  <si>
    <t>QLINC1</t>
  </si>
  <si>
    <t>No.17</t>
  </si>
  <si>
    <t xml:space="preserve">510_1_3+ = </t>
  </si>
  <si>
    <t xml:space="preserve">        '보통인부 :' 2'인' * {T} / 8 / {Q} = {?,'9.999R'}QTY'인/m3'</t>
  </si>
  <si>
    <t xml:space="preserve">                   't2 : 20min (펌프차 마감)'</t>
  </si>
  <si>
    <t>M2</t>
  </si>
  <si>
    <t>M9021007</t>
  </si>
  <si>
    <t>#20 3.5M/M</t>
  </si>
  <si>
    <t>500</t>
  </si>
  <si>
    <t xml:space="preserve">1380_1_1+ = </t>
  </si>
  <si>
    <t>결 속 선</t>
  </si>
  <si>
    <t>L</t>
  </si>
  <si>
    <t xml:space="preserve">   '노  무  비 : ' ~E0002010020.L~ * 0.014 = ?LA+</t>
  </si>
  <si>
    <t>별표 19/#16 CON'C 타설(굴삭기)</t>
  </si>
  <si>
    <t>중기사용료목록</t>
  </si>
  <si>
    <t>D=1000MM</t>
  </si>
  <si>
    <t>No.31 PE관 설치</t>
  </si>
  <si>
    <t xml:space="preserve">   용접봉</t>
  </si>
  <si>
    <t xml:space="preserve">    (2024년 건설공사표준품셈 8-2-3 굴삭기)</t>
  </si>
  <si>
    <t xml:space="preserve">   장비 운반비</t>
  </si>
  <si>
    <t>인력품5%</t>
  </si>
  <si>
    <t xml:space="preserve">TB = </t>
  </si>
  <si>
    <t xml:space="preserve">   유로폼(패널)</t>
  </si>
  <si>
    <t>1-254</t>
  </si>
  <si>
    <t>2-32</t>
  </si>
  <si>
    <t>A05</t>
  </si>
  <si>
    <t xml:space="preserve">         진동기 손료 : 인력품의 5% 적용</t>
  </si>
  <si>
    <t xml:space="preserve">1317_1_1+ = </t>
  </si>
  <si>
    <t xml:space="preserve">757_1_6+ = </t>
  </si>
  <si>
    <t>40kg/대 (포장품)</t>
  </si>
  <si>
    <t xml:space="preserve">    '보통인부:' 2 '인'/ 700'㎡' = {?,'9.999R'}QTY'인/㎡'</t>
  </si>
  <si>
    <t xml:space="preserve">262_1_1 = </t>
  </si>
  <si>
    <t xml:space="preserve">393_1_6+ = </t>
  </si>
  <si>
    <t xml:space="preserve">  - 설치 및 해체시 2회</t>
  </si>
  <si>
    <t xml:space="preserve">535_1_6+ = </t>
  </si>
  <si>
    <t xml:space="preserve">291_1_4 = </t>
  </si>
  <si>
    <t>260</t>
  </si>
  <si>
    <t xml:space="preserve">73_1_1 = </t>
  </si>
  <si>
    <t>56100307021</t>
  </si>
  <si>
    <t>No.6  벌개제근</t>
  </si>
  <si>
    <t xml:space="preserve">R                                                                                                   </t>
  </si>
  <si>
    <t>No.3</t>
  </si>
  <si>
    <t xml:space="preserve">     '보통인부 : 0.15 인/(10m3 당)'</t>
  </si>
  <si>
    <t>No.59</t>
  </si>
  <si>
    <t xml:space="preserve">658_1_1+ = </t>
  </si>
  <si>
    <t xml:space="preserve">250_1_6 = </t>
  </si>
  <si>
    <t xml:space="preserve">134_1_2+ = </t>
  </si>
  <si>
    <t xml:space="preserve">          보통인부 : 450 m 당 1인 소요</t>
  </si>
  <si>
    <t xml:space="preserve">   '경      비 : ' ~E0002010020.L~ * 0.014 = ?LA+</t>
  </si>
  <si>
    <t>M0882503</t>
  </si>
  <si>
    <t>No.57</t>
  </si>
  <si>
    <t xml:space="preserve">   크레인(타이어:노무비경비)</t>
  </si>
  <si>
    <t xml:space="preserve">$     </t>
  </si>
  <si>
    <t xml:space="preserve">1324_1_5+ = </t>
  </si>
  <si>
    <t xml:space="preserve"> 라. 포 설 (인력)</t>
  </si>
  <si>
    <t>N1070-2</t>
  </si>
  <si>
    <t>2200*5150*1000</t>
  </si>
  <si>
    <t xml:space="preserve">784_1_5 = </t>
  </si>
  <si>
    <t xml:space="preserve">   원심력철근콘크리트관(보통2종)</t>
  </si>
  <si>
    <t xml:space="preserve">   기초잡석부설및다짐</t>
  </si>
  <si>
    <t>ℓ</t>
  </si>
  <si>
    <t>1-591</t>
  </si>
  <si>
    <t>M3357045</t>
  </si>
  <si>
    <t>QMINC2</t>
  </si>
  <si>
    <t>물정/조사단가/가?</t>
  </si>
  <si>
    <t xml:space="preserve">   시멘트 운반</t>
  </si>
  <si>
    <t>별표 14/#13 폐기물적재</t>
  </si>
  <si>
    <t>중기사용료</t>
  </si>
  <si>
    <t xml:space="preserve">772_1_1 = </t>
  </si>
  <si>
    <t xml:space="preserve">   13 : (1600-{Ws})/{Ws}*100</t>
  </si>
  <si>
    <t>N0860-2</t>
  </si>
  <si>
    <t xml:space="preserve">265_1_2+ = </t>
  </si>
  <si>
    <t xml:space="preserve">   O.M.C = 13'%' , N.M.C = 8'%'</t>
  </si>
  <si>
    <t xml:space="preserve">    2) 특별인부  170 m당 3인 소요</t>
  </si>
  <si>
    <t xml:space="preserve">1300_1_3 = </t>
  </si>
  <si>
    <t xml:space="preserve">238_1_5+ = </t>
  </si>
  <si>
    <t>95200027091</t>
  </si>
  <si>
    <t xml:space="preserve">1231_1_2 = </t>
  </si>
  <si>
    <t>220</t>
  </si>
  <si>
    <t xml:space="preserve">EA    </t>
  </si>
  <si>
    <t xml:space="preserve">58_1_5+ = </t>
  </si>
  <si>
    <t>1회(붓칠)</t>
  </si>
  <si>
    <t>조사단가</t>
  </si>
  <si>
    <t xml:space="preserve">593_1_4 = </t>
  </si>
  <si>
    <t>No.43 신축이음재설치</t>
  </si>
  <si>
    <t xml:space="preserve">255_1_2+ = </t>
  </si>
  <si>
    <t>식</t>
  </si>
  <si>
    <t>M0129511</t>
  </si>
  <si>
    <t xml:space="preserve">LAA3+ = </t>
  </si>
  <si>
    <t xml:space="preserve">    1) 보통인부  80 m당 1인 소요</t>
  </si>
  <si>
    <t xml:space="preserve">         '최적 함수비 : 11.4 %'</t>
  </si>
  <si>
    <t xml:space="preserve">   차선도색(문자,기호)</t>
  </si>
  <si>
    <t>도 장 공</t>
  </si>
  <si>
    <t>G72040055</t>
  </si>
  <si>
    <t xml:space="preserve">784_1_3+ = </t>
  </si>
  <si>
    <t xml:space="preserve">CM+ = </t>
  </si>
  <si>
    <t xml:space="preserve"> 자. 잡재료 및 소모재료는 주재료비의 1%로 계상</t>
  </si>
  <si>
    <t xml:space="preserve">1360_1_1 = </t>
  </si>
  <si>
    <t>No.19</t>
  </si>
  <si>
    <t xml:space="preserve">591_1_2+ = </t>
  </si>
  <si>
    <t xml:space="preserve"> 가. 자재비:  #78</t>
  </si>
  <si>
    <t>강관파이프</t>
  </si>
  <si>
    <t>No.52  와이어메쉬설치</t>
  </si>
  <si>
    <t>G12060008</t>
  </si>
  <si>
    <t xml:space="preserve">165_1_1 = </t>
  </si>
  <si>
    <t>T80(화강석블럭포장)</t>
  </si>
  <si>
    <t>조단/거래/</t>
  </si>
  <si>
    <t xml:space="preserve">161_1_5+ = </t>
  </si>
  <si>
    <t xml:space="preserve">L1                                                                                                  </t>
  </si>
  <si>
    <t>K1050214-1</t>
  </si>
  <si>
    <t>No.13</t>
  </si>
  <si>
    <t>4. 부대공</t>
  </si>
  <si>
    <t xml:space="preserve">      Q =  (3.3 + 5.9) / 2 = {?,'9.9R'}'m3/HR'</t>
  </si>
  <si>
    <t>N0302</t>
  </si>
  <si>
    <t>크레인(타이어:노무비,경비)</t>
  </si>
  <si>
    <t xml:space="preserve">1235_1_3+ = </t>
  </si>
  <si>
    <t>트럭 트랙터 및 평판트레일러</t>
  </si>
  <si>
    <t>G02300007</t>
  </si>
  <si>
    <t xml:space="preserve">105_1_3 = </t>
  </si>
  <si>
    <t xml:space="preserve">          내무 패널 : 10m2 당 0.03 매</t>
  </si>
  <si>
    <t>M4074023</t>
  </si>
  <si>
    <t>중기야간할증계수</t>
  </si>
  <si>
    <t>별표 1/#1 흙깍기</t>
  </si>
  <si>
    <t xml:space="preserve">103_1_1+ = </t>
  </si>
  <si>
    <t xml:space="preserve">132_1_5 = </t>
  </si>
  <si>
    <t xml:space="preserve">         '토량환산계수 :'f = 1 / 1.25 = {?,'9.9R'}</t>
  </si>
  <si>
    <t>0.2</t>
  </si>
  <si>
    <t>TOT(10,0,10) = ?EQ</t>
  </si>
  <si>
    <t>170</t>
  </si>
  <si>
    <t>MZE001</t>
  </si>
  <si>
    <t xml:space="preserve">259_1_3 = </t>
  </si>
  <si>
    <t>환율(엔화)</t>
  </si>
  <si>
    <t xml:space="preserve">226_1_2 = </t>
  </si>
  <si>
    <t xml:space="preserve">194_1_1+ = </t>
  </si>
  <si>
    <t>M0150003</t>
  </si>
  <si>
    <t xml:space="preserve">  '-연결핀            :' ~M1002027~ * 1.12'EA'* 0.1=?EQ+</t>
  </si>
  <si>
    <t>Type-Ⅱ-2</t>
  </si>
  <si>
    <t>구역화물 운임(30KM까지)</t>
  </si>
  <si>
    <t>WC-2 #78  표층용</t>
  </si>
  <si>
    <t>굴삭기(무한궤도)   0.2 M3</t>
  </si>
  <si>
    <t>Type-Ⅰ</t>
  </si>
  <si>
    <t xml:space="preserve">       노 무 비 :</t>
  </si>
  <si>
    <t>적용단가</t>
  </si>
  <si>
    <t xml:space="preserve">PH                                                                                                  </t>
  </si>
  <si>
    <t xml:space="preserve">650_1_1+ = </t>
  </si>
  <si>
    <t>#.31</t>
  </si>
  <si>
    <t>No.7</t>
  </si>
  <si>
    <t xml:space="preserve">209_2_1+ = </t>
  </si>
  <si>
    <t>분진망</t>
  </si>
  <si>
    <t>BH 0.8M3</t>
  </si>
  <si>
    <t>M1149006</t>
  </si>
  <si>
    <t xml:space="preserve"> (2024년 건설공사표준품셈 8-1-4 시공능력 산정 기본식)</t>
  </si>
  <si>
    <t xml:space="preserve">89_1_1 = </t>
  </si>
  <si>
    <t xml:space="preserve">265_1_1 = </t>
  </si>
  <si>
    <t xml:space="preserve">          Cm = ({L1} /{V1}) + ({L1} / {V2}) + {t} = {?,'9.9R'}'min'</t>
  </si>
  <si>
    <t xml:space="preserve">         '패   널 : 10m2 당 0.89 매 '</t>
  </si>
  <si>
    <t xml:space="preserve">   (2024년 건설공사표준품셈 6-2-2 현장가공 및 조립(토목))</t>
  </si>
  <si>
    <t xml:space="preserve">      Q = 60 * W * E * f / Cm</t>
  </si>
  <si>
    <t xml:space="preserve"> (2024년 건설공사표준품셈-토목 1-9-2 보차도 및 도로경계블록 설치)</t>
  </si>
  <si>
    <t>A01</t>
  </si>
  <si>
    <t>No.9</t>
  </si>
  <si>
    <t xml:space="preserve">   컷백아스팔트</t>
  </si>
  <si>
    <t xml:space="preserve">          t2 = ( L / V ) * 2 * 60 = {?,'9.9R'}'min'</t>
  </si>
  <si>
    <t>G03020172</t>
  </si>
  <si>
    <t xml:space="preserve">          L1 (운반거리)  = 25.0  M</t>
  </si>
  <si>
    <t xml:space="preserve">MA = </t>
  </si>
  <si>
    <t>경 비</t>
  </si>
  <si>
    <t xml:space="preserve">   블레이드</t>
  </si>
  <si>
    <t>3. 해 체 비</t>
  </si>
  <si>
    <t xml:space="preserve"> 가. 상,하차비 : T/C 10 TON</t>
  </si>
  <si>
    <t xml:space="preserve">262_1_1+ = </t>
  </si>
  <si>
    <t xml:space="preserve"> 마. 포 설 (굴삭기 0.6M3)</t>
  </si>
  <si>
    <t xml:space="preserve">&gt;&gt;LA = </t>
  </si>
  <si>
    <t>HR</t>
  </si>
  <si>
    <t xml:space="preserve">          8.0'hr'/ 8000'm2' = {?,'9.999R'}qty'hr/m2'</t>
  </si>
  <si>
    <t>150-800#   230x280㎜  (공연마용)</t>
  </si>
  <si>
    <t>K2010110</t>
  </si>
  <si>
    <t xml:space="preserve">   공구손료</t>
  </si>
  <si>
    <t>No.53</t>
  </si>
  <si>
    <t>E0001010032</t>
  </si>
  <si>
    <t xml:space="preserve">   터파기(인력)</t>
  </si>
  <si>
    <t xml:space="preserve">          1 / Q =  {?,'9.999R'}QTY'hr/m3'</t>
  </si>
  <si>
    <t>No.35  스틸그레이팅 설치</t>
  </si>
  <si>
    <t>T80</t>
  </si>
  <si>
    <t>WD25D000</t>
  </si>
  <si>
    <t>- 관급자재 -</t>
  </si>
  <si>
    <t xml:space="preserve">27_1_4+ = </t>
  </si>
  <si>
    <t xml:space="preserve">591_1_5 = </t>
  </si>
  <si>
    <t>별표 3/#3  흙 쌓 기</t>
  </si>
  <si>
    <t>크레인(트럭)</t>
  </si>
  <si>
    <t xml:space="preserve">    '경    비 :'</t>
  </si>
  <si>
    <t xml:space="preserve">1321_1_3 = </t>
  </si>
  <si>
    <t xml:space="preserve">   (2024년 건설공사표준품셈 11-2-4 유성페인트 붓칠)</t>
  </si>
  <si>
    <t>130</t>
  </si>
  <si>
    <t>QLINCC</t>
  </si>
  <si>
    <t>.MA=LA(80)*0.41</t>
  </si>
  <si>
    <t>적용일시</t>
  </si>
  <si>
    <t xml:space="preserve">1378_1_2 = </t>
  </si>
  <si>
    <t xml:space="preserve">   '재  료  비 : ' ~E0002010020.M~ * 0.014 = ?MA+</t>
  </si>
  <si>
    <t xml:space="preserve">L2                                                                                                  </t>
  </si>
  <si>
    <t>동력분무기</t>
  </si>
  <si>
    <t xml:space="preserve">535_1_4 = </t>
  </si>
  <si>
    <t>D13M/M   0.995KG/M  SD35,40</t>
  </si>
  <si>
    <t>K50200300</t>
  </si>
  <si>
    <t>56900017123</t>
  </si>
  <si>
    <t xml:space="preserve">1249_1_3 = </t>
  </si>
  <si>
    <t xml:space="preserve">1324_1_2 = </t>
  </si>
  <si>
    <t xml:space="preserve">252_1_1+ = </t>
  </si>
  <si>
    <t xml:space="preserve">         'T = Tc + Tb (인력편성 노무비에 적용)'</t>
  </si>
  <si>
    <t xml:space="preserve">475_1_1 = </t>
  </si>
  <si>
    <t>F</t>
  </si>
  <si>
    <t xml:space="preserve">1253_1_1 = </t>
  </si>
  <si>
    <t xml:space="preserve">PDH4                                                                                                </t>
  </si>
  <si>
    <t>보통</t>
  </si>
  <si>
    <t xml:space="preserve"> 1. 자동세륜기 설치 및 철거</t>
  </si>
  <si>
    <t xml:space="preserve">          대형 브레이카</t>
  </si>
  <si>
    <t xml:space="preserve">467_1_1+ = </t>
  </si>
  <si>
    <t xml:space="preserve">510_1_4+ = </t>
  </si>
  <si>
    <t>1.5 TON</t>
  </si>
  <si>
    <t>재료비단가소숫점</t>
  </si>
  <si>
    <t xml:space="preserve">      Q = 1000 * {V} * {W} * {D} * {f} * {E} / {N}={?,'9.9R'}'m3/hr'</t>
  </si>
  <si>
    <t xml:space="preserve">JANG_D                                                                                              </t>
  </si>
  <si>
    <t xml:space="preserve"> '(2024년 건설공사표준품셈 8-2-15 대형브레이커)'</t>
  </si>
  <si>
    <t>&gt;</t>
  </si>
  <si>
    <t>자재비의 5%</t>
  </si>
  <si>
    <t>타이어롤러(자주식)</t>
  </si>
  <si>
    <t xml:space="preserve">   '경      비 : ' ~E0002010020.L~ * 0.035 = ?LA+</t>
  </si>
  <si>
    <t>E0011060012</t>
  </si>
  <si>
    <t>60</t>
  </si>
  <si>
    <t>BH 0.6M3</t>
  </si>
  <si>
    <t>노무비</t>
  </si>
  <si>
    <t>환율(장비가격10만불이상)</t>
  </si>
  <si>
    <t>자동세륜기</t>
  </si>
  <si>
    <t xml:space="preserve">   콘크리트 펌프차</t>
  </si>
  <si>
    <t>VR 10TON</t>
  </si>
  <si>
    <t xml:space="preserve">   '비   계  공:' 0.046'인' * ~L015~ = ?LA+:LAA1</t>
  </si>
  <si>
    <t xml:space="preserve">1294_1_1 = </t>
  </si>
  <si>
    <t>M9360003</t>
  </si>
  <si>
    <t>소   계</t>
  </si>
  <si>
    <t>No.67 보조기층 부설 및 다짐</t>
  </si>
  <si>
    <t xml:space="preserve">1235_1_1 = </t>
  </si>
  <si>
    <t xml:space="preserve">   크레인(트럭)</t>
  </si>
  <si>
    <t xml:space="preserve">757_1_1+ = </t>
  </si>
  <si>
    <t>M1749027</t>
  </si>
  <si>
    <t>별표 66/#37  원지반 다짐</t>
  </si>
  <si>
    <t>물자/1-112/</t>
  </si>
  <si>
    <t xml:space="preserve">259_1_2+ = </t>
  </si>
  <si>
    <t xml:space="preserve">535_1_1+ = </t>
  </si>
  <si>
    <t>1-747</t>
  </si>
  <si>
    <t xml:space="preserve">   '노  무  비 : ' ~E0002010020.L~ * 0.035 = ?LA+</t>
  </si>
  <si>
    <t xml:space="preserve">V1 = </t>
  </si>
  <si>
    <t>플레이트 콤팩터   1.5 TON</t>
  </si>
  <si>
    <t>K1040213</t>
  </si>
  <si>
    <t xml:space="preserve">     '1) 트레일러 20 TON : 재료비'</t>
  </si>
  <si>
    <t>No.38</t>
  </si>
  <si>
    <t>Φ450</t>
  </si>
  <si>
    <t xml:space="preserve">134_1_5+ = </t>
  </si>
  <si>
    <t>M4092005</t>
  </si>
  <si>
    <t xml:space="preserve">         계   :</t>
  </si>
  <si>
    <t xml:space="preserve">                                                                                                    </t>
  </si>
  <si>
    <t xml:space="preserve">184_1_1 = </t>
  </si>
  <si>
    <t xml:space="preserve">장대터널할증(3공구)                     </t>
  </si>
  <si>
    <t xml:space="preserve">1249_1_1+ = </t>
  </si>
  <si>
    <t>No.36</t>
  </si>
  <si>
    <t>TON</t>
  </si>
  <si>
    <t>M1749413</t>
  </si>
  <si>
    <t xml:space="preserve">LAA4 = </t>
  </si>
  <si>
    <t xml:space="preserve">1324_1_2+ = </t>
  </si>
  <si>
    <t>물자/1-747/</t>
  </si>
  <si>
    <t xml:space="preserve">   PE관 설치(오수)</t>
  </si>
  <si>
    <t xml:space="preserve">207_1_1+ = </t>
  </si>
  <si>
    <t xml:space="preserve">163_1_3 = </t>
  </si>
  <si>
    <t>No.17 기초잡석부설및다짐</t>
  </si>
  <si>
    <t xml:space="preserve">   '경  비 ' ~E0021050010.E~ * {T1}'hr' = ?EQ+</t>
  </si>
  <si>
    <t>대형 브레이카용 치즐</t>
  </si>
  <si>
    <t xml:space="preserve">        0.9/(Q) = {?,'9.999C'}qty'hr/m3'</t>
  </si>
  <si>
    <t>10 TON</t>
  </si>
  <si>
    <t xml:space="preserve">103_1_1 = </t>
  </si>
  <si>
    <t xml:space="preserve">  계</t>
  </si>
  <si>
    <t xml:space="preserve">          1 M2당 0.3 리터 살포, 할증 1.03</t>
  </si>
  <si>
    <t>2인/45일</t>
  </si>
  <si>
    <t xml:space="preserve">1231_1_3+ = </t>
  </si>
  <si>
    <t>G06020150</t>
  </si>
  <si>
    <t>제 잡 비</t>
  </si>
  <si>
    <t>20</t>
  </si>
  <si>
    <t>230x5T   KSM3805</t>
  </si>
  <si>
    <t>철도하역협정요금표,VAT제외</t>
  </si>
  <si>
    <t xml:space="preserve">   철근 가공조립</t>
  </si>
  <si>
    <t>E0014060015</t>
  </si>
  <si>
    <t xml:space="preserve">LAA8+ = </t>
  </si>
  <si>
    <t xml:space="preserve">          f  = 1 / L = 1 / 1.40 = {?,'9.9R'}</t>
  </si>
  <si>
    <t xml:space="preserve">  '특별인부 :'0.19'인'*~L084~ * 2 =?EQ+</t>
  </si>
  <si>
    <t xml:space="preserve">       Q = 45.3 / 10 = {?,'9.999R'}QTY' KG/㎡'</t>
  </si>
  <si>
    <t>주간:수동식</t>
  </si>
  <si>
    <t xml:space="preserve"> 1) 상 차 (굴삭기 0.6㎥)</t>
  </si>
  <si>
    <t>56800447121</t>
  </si>
  <si>
    <t xml:space="preserve">58_1_2+ = </t>
  </si>
  <si>
    <t xml:space="preserve">255_1_5+ = </t>
  </si>
  <si>
    <t>별표 12/#11 철근콘크리트 깨기 | |M3</t>
  </si>
  <si>
    <t>No.37 빗물받이 설치</t>
  </si>
  <si>
    <t>대형브레이카용 치즐</t>
  </si>
  <si>
    <t xml:space="preserve">190_1_1+ = </t>
  </si>
  <si>
    <t>320-400 MM</t>
  </si>
  <si>
    <t xml:space="preserve">238_1_2+ = </t>
  </si>
  <si>
    <t>0</t>
  </si>
  <si>
    <t xml:space="preserve">591_1_5+ = </t>
  </si>
  <si>
    <t>MZZ0150</t>
  </si>
  <si>
    <t xml:space="preserve">   조달수수료 및 단수조정</t>
  </si>
  <si>
    <t>#467 기층용</t>
  </si>
  <si>
    <t>E0001010019</t>
  </si>
  <si>
    <t xml:space="preserve">LAA4+ = </t>
  </si>
  <si>
    <t xml:space="preserve">   (2024년 건설공사표준품셈-토목 6-1-4 콘크리트 펌프차 타설)</t>
  </si>
  <si>
    <t>M1059002</t>
  </si>
  <si>
    <t xml:space="preserve">654_1_1+ = </t>
  </si>
  <si>
    <t xml:space="preserve">   구역화물 운임(30KM까지)</t>
  </si>
  <si>
    <t xml:space="preserve"> 나. 재료비 (블레이드  D = 320-400 M/M, T = 3.2 MM)</t>
  </si>
  <si>
    <t>재료비금액소숫점</t>
  </si>
  <si>
    <t>별표 16/#14 되메우기및다짐(인력)</t>
  </si>
  <si>
    <t>철재면 2회</t>
  </si>
  <si>
    <t xml:space="preserve">784_1_4+ = </t>
  </si>
  <si>
    <t>155</t>
  </si>
  <si>
    <t>BB-2 #467 기층용</t>
  </si>
  <si>
    <t xml:space="preserve">   진동 롤러 (핸드가이드식)</t>
  </si>
  <si>
    <t xml:space="preserve">병렬터널 할증                           </t>
  </si>
  <si>
    <t xml:space="preserve">         '운반비 : MC-1 재료비의 10 %'</t>
  </si>
  <si>
    <t>재료비할증계수(야간)</t>
  </si>
  <si>
    <t>별표 9/#8  아스팔트 포장절단</t>
  </si>
  <si>
    <t>화강석(200*100)</t>
  </si>
  <si>
    <t>No.55</t>
  </si>
  <si>
    <t xml:space="preserve">257_1_3 = </t>
  </si>
  <si>
    <t xml:space="preserve">211_1_1 = </t>
  </si>
  <si>
    <t>공사기간</t>
  </si>
  <si>
    <t>E0021040011</t>
  </si>
  <si>
    <t>1-593</t>
  </si>
  <si>
    <t>No.29  PE관 설치</t>
  </si>
  <si>
    <t xml:space="preserve">132_1_4+ = </t>
  </si>
  <si>
    <t xml:space="preserve">          t1 = q * QTY(10) / 2 * 60 = {?,'9.9R'}'min'</t>
  </si>
  <si>
    <t xml:space="preserve"> 2) 기계경비 (굴삭기 0.2㎥)</t>
  </si>
  <si>
    <t>K7012200</t>
  </si>
  <si>
    <t>답외구간, 불도져 19TON</t>
  </si>
  <si>
    <t>방청페인트</t>
  </si>
  <si>
    <t>Page</t>
  </si>
  <si>
    <t>QLINCE</t>
  </si>
  <si>
    <t>자동</t>
  </si>
  <si>
    <t xml:space="preserve"> 마. 타이어 로라 (8 -15 TON)</t>
  </si>
  <si>
    <t xml:space="preserve">   ~M3357018~ * {S} / 100 =?EQ+</t>
  </si>
  <si>
    <t xml:space="preserve">             'Tc : 콘크리트 펌프차 운전시간'</t>
  </si>
  <si>
    <t>중 기 명</t>
  </si>
  <si>
    <t xml:space="preserve">217_1_1+ = </t>
  </si>
  <si>
    <t>환율(IMF특별인출권)</t>
  </si>
  <si>
    <t>No.26  흄관 접합및부설</t>
  </si>
  <si>
    <t>PVC지수판</t>
  </si>
  <si>
    <t xml:space="preserve">1259_1_1+ = </t>
  </si>
  <si>
    <t xml:space="preserve">WS = </t>
  </si>
  <si>
    <t xml:space="preserve">   소  계</t>
  </si>
  <si>
    <t>K7002400</t>
  </si>
  <si>
    <t>Φ25</t>
  </si>
  <si>
    <t>No.26 흄관 접합및부설</t>
  </si>
  <si>
    <t>유물</t>
  </si>
  <si>
    <t>No.15</t>
  </si>
  <si>
    <t>별표 51/#23  프라임 코팅</t>
  </si>
  <si>
    <t xml:space="preserve">562_1_5 = </t>
  </si>
  <si>
    <t xml:space="preserve">29_1_2+ = </t>
  </si>
  <si>
    <t xml:space="preserve"> 마. 동력 분무기 (4.85kW)</t>
  </si>
  <si>
    <t xml:space="preserve">      Q = 60 * {qo} * {f} * {E} / {Cm} = {?,'9.9R'}'m3/hr'</t>
  </si>
  <si>
    <t>G27020020</t>
  </si>
  <si>
    <t xml:space="preserve">   도로용페인트(융착식)</t>
  </si>
  <si>
    <t xml:space="preserve">.eq=LA(50,0,60)*0.03_x000D_
</t>
  </si>
  <si>
    <t xml:space="preserve">1313_1_1 = </t>
  </si>
  <si>
    <t xml:space="preserve">1253_1_4 = </t>
  </si>
  <si>
    <t xml:space="preserve">782_1_5+ = </t>
  </si>
  <si>
    <t xml:space="preserve">535_1_1 = </t>
  </si>
  <si>
    <t>M1158003-1</t>
  </si>
  <si>
    <t xml:space="preserve">MD = </t>
  </si>
  <si>
    <t>4.85Kw</t>
  </si>
  <si>
    <t xml:space="preserve">163_1_4+ = </t>
  </si>
  <si>
    <t>별표 18/#15 모래채움및다짐 | |M3</t>
  </si>
  <si>
    <t>진동롤러(자주식)   10 TON</t>
  </si>
  <si>
    <t>No.1</t>
  </si>
  <si>
    <t>중기전역변수</t>
  </si>
  <si>
    <t>별표 11/#10 콘크리트 포장절단</t>
  </si>
  <si>
    <t>M0723012</t>
  </si>
  <si>
    <t xml:space="preserve">650_1_2 = </t>
  </si>
  <si>
    <t xml:space="preserve">    {LAA1+LAA2+LAA3+LAA4+LAA5+LAA6+LAA7+LAA8} * 0.03 =?EQ+</t>
  </si>
  <si>
    <t xml:space="preserve">   연 마 지</t>
  </si>
  <si>
    <t xml:space="preserve">   기구손료및기계정비</t>
  </si>
  <si>
    <t xml:space="preserve">          3 / 90 = {?,'9.999R'}QTY'인/m'</t>
  </si>
  <si>
    <t>K6900210</t>
  </si>
  <si>
    <t>G72060020</t>
  </si>
  <si>
    <t>MZE007</t>
  </si>
  <si>
    <t>신너</t>
  </si>
  <si>
    <t>QH2</t>
  </si>
  <si>
    <t xml:space="preserve">   가설사무소(3.0×12.0)</t>
  </si>
  <si>
    <t>3. 포장공</t>
  </si>
  <si>
    <t xml:space="preserve">   공고손료 및 경장비의 기계경비</t>
  </si>
  <si>
    <t>No.17  기초잡석부설및다짐</t>
  </si>
  <si>
    <t xml:space="preserve">1235_1_4 = </t>
  </si>
  <si>
    <t xml:space="preserve">387_1_1+ = </t>
  </si>
  <si>
    <t>일위대가_별표</t>
  </si>
  <si>
    <t>별표 66/#37 원지반 다짐</t>
  </si>
  <si>
    <t>1-1212</t>
  </si>
  <si>
    <t xml:space="preserve">593_1_4+ = </t>
  </si>
  <si>
    <t xml:space="preserve">&gt;EQ = </t>
  </si>
  <si>
    <t>No.30</t>
  </si>
  <si>
    <t xml:space="preserve">   탠덤롤러(자주식)</t>
  </si>
  <si>
    <t xml:space="preserve">510_1_2 = </t>
  </si>
  <si>
    <t>별표 4/#4 유용토운반 | 도저운반(토사)|M3</t>
  </si>
  <si>
    <t>일</t>
  </si>
  <si>
    <t xml:space="preserve">          Cm = ( t1 + t2 + t3 + t4 ) = {?,'9.9R'}'min'</t>
  </si>
  <si>
    <t xml:space="preserve">              Tc = ( 20 + 20 + 30 + {t4}) / 0.7 / 60 = {?,'9.999R'}'hr'</t>
  </si>
  <si>
    <t xml:space="preserve">$                                                                                                   </t>
  </si>
  <si>
    <t xml:space="preserve">                                          계 :  5 회</t>
  </si>
  <si>
    <t xml:space="preserve">467_1_1 = </t>
  </si>
  <si>
    <t xml:space="preserve">          1.0 / 450  = {?,'9.999R'}qty'인'</t>
  </si>
  <si>
    <t xml:space="preserve">ZT605010                                                                                            </t>
  </si>
  <si>
    <t>1-27</t>
  </si>
  <si>
    <t xml:space="preserve"> (2024년 건설공사표준품셈 8-2-8 덤프트럭)</t>
  </si>
  <si>
    <t>G02010060</t>
  </si>
  <si>
    <t xml:space="preserve">675_1_1 = </t>
  </si>
  <si>
    <t xml:space="preserve">   블럭포장</t>
  </si>
  <si>
    <t>물정/85/</t>
  </si>
  <si>
    <t xml:space="preserve"> 다. 운    반(DT 15 TON)</t>
  </si>
  <si>
    <t xml:space="preserve">   잡재료</t>
  </si>
  <si>
    <t>1-167</t>
  </si>
  <si>
    <t>QLINC3</t>
  </si>
  <si>
    <t>별표 56/#25 보차도 경계석(곡선)</t>
  </si>
  <si>
    <t>노임</t>
  </si>
  <si>
    <t xml:space="preserve"> 나. 다  짐 (진동로라 2.5TON)</t>
  </si>
  <si>
    <t>M0012012</t>
  </si>
  <si>
    <t xml:space="preserve">개    </t>
  </si>
  <si>
    <t xml:space="preserve">   외송각재</t>
  </si>
  <si>
    <t>로더(타이어)</t>
  </si>
  <si>
    <t xml:space="preserve">         '형틀목공' 4'인'/ 35'일' = {?,'9.999R'}qty'인'</t>
  </si>
  <si>
    <t>VR 2.5TON</t>
  </si>
  <si>
    <t xml:space="preserve">  ~M3357045~ * {S} / 100 = ?EQ+</t>
  </si>
  <si>
    <t>#38 세륜시설운영 | 6개월|식</t>
  </si>
  <si>
    <t xml:space="preserve">      &gt;&gt;'계   :'</t>
  </si>
  <si>
    <t xml:space="preserve">   흙쌓기</t>
  </si>
  <si>
    <t>QH32</t>
  </si>
  <si>
    <t xml:space="preserve">123_1_1+ = </t>
  </si>
  <si>
    <t xml:space="preserve">291_1_4+ = </t>
  </si>
  <si>
    <t>노임할증계수(일반구간:야간)</t>
  </si>
  <si>
    <t xml:space="preserve">268_1_2 = </t>
  </si>
  <si>
    <t xml:space="preserve">T5 = </t>
  </si>
  <si>
    <t>M9384003</t>
  </si>
  <si>
    <t xml:space="preserve">   포 설 공</t>
  </si>
  <si>
    <t>노무비의 5 %</t>
  </si>
  <si>
    <t xml:space="preserve">   Ww : 1600 - Ws</t>
  </si>
  <si>
    <t>K2030210</t>
  </si>
  <si>
    <t xml:space="preserve">56_1_4+ = </t>
  </si>
  <si>
    <t>M5380450</t>
  </si>
  <si>
    <t>QDECPMA</t>
  </si>
  <si>
    <t xml:space="preserve">393_1_5 = </t>
  </si>
  <si>
    <t xml:space="preserve">              Tc = (t1+t2+t3+t4)/F</t>
  </si>
  <si>
    <t xml:space="preserve">          특별인부 : 450 m 당 1인 소요</t>
  </si>
  <si>
    <t xml:space="preserve">184_1_1+ = </t>
  </si>
  <si>
    <t>인</t>
  </si>
  <si>
    <t xml:space="preserve">1300_1_2+ = </t>
  </si>
  <si>
    <t xml:space="preserve">485_1_1+ = </t>
  </si>
  <si>
    <t xml:space="preserve"> 라. 채  움 (BH 0.6M3)</t>
  </si>
  <si>
    <t>M1155009-1</t>
  </si>
  <si>
    <t>이형철근</t>
  </si>
  <si>
    <t>시간당노임산출계수(일반구간)</t>
  </si>
  <si>
    <t xml:space="preserve">   보통합판</t>
  </si>
  <si>
    <t>BH 0.7M3</t>
  </si>
  <si>
    <t xml:space="preserve">LAA1 = </t>
  </si>
  <si>
    <t>SF00400</t>
  </si>
  <si>
    <t xml:space="preserve">190_1_3 = </t>
  </si>
  <si>
    <t xml:space="preserve">         '대형 브레이카'</t>
  </si>
  <si>
    <t>G02010020</t>
  </si>
  <si>
    <t>별표 9/#8 아스팔트 포장절단 | 주간|M</t>
  </si>
  <si>
    <t xml:space="preserve">EX4                                                                                                 </t>
  </si>
  <si>
    <t xml:space="preserve">73_1_1+ = </t>
  </si>
  <si>
    <t xml:space="preserve">PDH3                                                                                                </t>
  </si>
  <si>
    <t xml:space="preserve">   배 관 공(부설)(0.26/6)</t>
  </si>
  <si>
    <t>단 위</t>
  </si>
  <si>
    <t>M4092003</t>
  </si>
  <si>
    <t>No.46 FRP오수처리시설 설치</t>
  </si>
  <si>
    <t>진동롤러(자주식)</t>
  </si>
  <si>
    <t xml:space="preserve"> 가. 포 설 (B/D 19TON)</t>
  </si>
  <si>
    <t>물정/1-477/</t>
  </si>
  <si>
    <t>E0013050007</t>
  </si>
  <si>
    <t xml:space="preserve">670_1_1+ = </t>
  </si>
  <si>
    <t>320-400MM</t>
  </si>
  <si>
    <t>.MA=MA(10)*0.10</t>
  </si>
  <si>
    <t>&gt;&gt;'  계'</t>
  </si>
  <si>
    <t>H00100200</t>
  </si>
  <si>
    <t xml:space="preserve">BTR                                                                                                 </t>
  </si>
  <si>
    <t>별표 16/#14  되메우기및다짐(인력)</t>
  </si>
  <si>
    <t xml:space="preserve"> '특별인부:' 0.19'인' * ~L084~ * 2 = ?EQ+</t>
  </si>
  <si>
    <t xml:space="preserve">   스틸그레이팅</t>
  </si>
  <si>
    <t xml:space="preserve"> '(2024년 건설공사표준품셈 8-2-3 굴삭기)'</t>
  </si>
  <si>
    <t>E0006020045</t>
  </si>
  <si>
    <t>융착식 도료용</t>
  </si>
  <si>
    <t xml:space="preserve">103_1_4 = </t>
  </si>
  <si>
    <t xml:space="preserve">134_1_2 = </t>
  </si>
  <si>
    <t>M1749021</t>
  </si>
  <si>
    <t xml:space="preserve">L = </t>
  </si>
  <si>
    <t xml:space="preserve">US2WON                                                                                              </t>
  </si>
  <si>
    <t xml:space="preserve">                   'F  : 작업계수'</t>
  </si>
  <si>
    <t>No.36 PVC 지수판설치</t>
  </si>
  <si>
    <t xml:space="preserve">            타이어로울러   8-15 TON : 1 대 ---- 1 회</t>
  </si>
  <si>
    <t>230 x 5t</t>
  </si>
  <si>
    <t>구미 천연가스 냉각탑 구조물공사(CC-02)</t>
  </si>
  <si>
    <t xml:space="preserve">          1 / Q =  {?,'9.999R'}qty'hr/m3'</t>
  </si>
  <si>
    <t>No.34</t>
  </si>
  <si>
    <t>E0072100485</t>
  </si>
  <si>
    <t>별표 19/#16 CON'C 타설(굴삭기) | 무근|M3</t>
  </si>
  <si>
    <t xml:space="preserve">1303_1_5 = </t>
  </si>
  <si>
    <t xml:space="preserve">          1.0 * 1.04 * 1.15  / 1.075 = {?,'9.999R'}qty'm3'</t>
  </si>
  <si>
    <t>100000000001</t>
  </si>
  <si>
    <t xml:space="preserve">1317_1_2 = </t>
  </si>
  <si>
    <t>PE관</t>
  </si>
  <si>
    <t xml:space="preserve">250_1_7+ = </t>
  </si>
  <si>
    <t>노무비의 3 %</t>
  </si>
  <si>
    <t xml:space="preserve">     'Q = 3600 * qo * k * f * E / Cm'</t>
  </si>
  <si>
    <t xml:space="preserve">   '2) 특별인부  80 m당 3인 소요 '</t>
  </si>
  <si>
    <t xml:space="preserve">132_1_3+ = </t>
  </si>
  <si>
    <t>1-239</t>
  </si>
  <si>
    <t xml:space="preserve">Y+ = </t>
  </si>
  <si>
    <t xml:space="preserve">소비자물가변동율                        </t>
  </si>
  <si>
    <t>┌────┬───┬───┬───┬───┬───┬───┬─────┐</t>
  </si>
  <si>
    <t>M20100010</t>
  </si>
  <si>
    <t xml:space="preserve">654_1_1 = </t>
  </si>
  <si>
    <t xml:space="preserve">782_1_2 = </t>
  </si>
  <si>
    <t xml:space="preserve">          1'일' / 450 * 8'hr' = {?,'9.999R'}qty'hr/m'</t>
  </si>
  <si>
    <t xml:space="preserve">  '(2024년 건설공사표준품셈 3-2-1 인력 흙 다지기)'</t>
  </si>
  <si>
    <t xml:space="preserve"> 가. 흙깍기 (B/D 19TON)</t>
  </si>
  <si>
    <t xml:space="preserve">      1) 트레일러 20 TON : 재료비</t>
  </si>
  <si>
    <t>클램프</t>
  </si>
  <si>
    <t xml:space="preserve">T2+ = </t>
  </si>
  <si>
    <t>2</t>
  </si>
  <si>
    <t>별표 58/#27  차선도색(실선)</t>
  </si>
  <si>
    <t>별표 49/#21  기층포설및다짐(기계)</t>
  </si>
  <si>
    <t>Φ25(PE수도관)</t>
  </si>
  <si>
    <t>별표 2/#2 흙 쌓 기</t>
  </si>
  <si>
    <t xml:space="preserve">   되메우기및다짐(기계)</t>
  </si>
  <si>
    <t xml:space="preserve">          1 /{Q} = {?,'9.999R'}QTY'hr/m3'</t>
  </si>
  <si>
    <t xml:space="preserve"> (2024년 건설공사표준품셈 8-1-3 운반 및 수송( 10, 17년 보완))</t>
  </si>
  <si>
    <t>별표 47/#19 보조기층 포설다짐</t>
  </si>
  <si>
    <t xml:space="preserve">15_1_2+ = </t>
  </si>
  <si>
    <t>No.37  빗물받이 설치</t>
  </si>
  <si>
    <t>인력품의 2 %</t>
  </si>
  <si>
    <t>별표 1/#1 흙깍기 | 토사|M3</t>
  </si>
  <si>
    <t>물자/1-254/</t>
  </si>
  <si>
    <t>1-292</t>
  </si>
  <si>
    <t xml:space="preserve">        Q=(3600*{q}*{K}*{F}*{E})/{CM}=?'M3/HR'</t>
  </si>
  <si>
    <t xml:space="preserve">58_1_2 = </t>
  </si>
  <si>
    <t xml:space="preserve">215_1_2 = </t>
  </si>
  <si>
    <t xml:space="preserve">27_1_3 = </t>
  </si>
  <si>
    <t xml:space="preserve">29_1_5+ = </t>
  </si>
  <si>
    <t xml:space="preserve"> 다. 공구손료 맟 가계정비 : 인력품의 3% 적용</t>
  </si>
  <si>
    <t>노임할증계수(일반구간:주야간)</t>
  </si>
  <si>
    <t>물가자료</t>
  </si>
  <si>
    <t xml:space="preserve">238_1_6 = </t>
  </si>
  <si>
    <t>56900017002</t>
  </si>
  <si>
    <t xml:space="preserve">253_1_3+ = </t>
  </si>
  <si>
    <t>80100037021</t>
  </si>
  <si>
    <t>87</t>
  </si>
  <si>
    <t>별표 20/#17  CON'C 타설(펌프차)</t>
  </si>
  <si>
    <t xml:space="preserve">   컷    터</t>
  </si>
  <si>
    <t xml:space="preserve">782_1_2+ = </t>
  </si>
  <si>
    <t xml:space="preserve">          4.0'hr'/ 150'm3' = {?,'9.999R'}qty'hr/m3'</t>
  </si>
  <si>
    <t>.eq=(LA(40,0,60))*0.05</t>
  </si>
  <si>
    <t xml:space="preserve">       Cm = {t1} + {t2} + {t3} + {t4}  = ?'&lt;min&gt;'</t>
  </si>
  <si>
    <t xml:space="preserve">1255_1_1+ = </t>
  </si>
  <si>
    <t>원심력철근콘크리트관(보통2종)</t>
  </si>
  <si>
    <t>M0030024</t>
  </si>
  <si>
    <t xml:space="preserve">          1 / Q * A= {?,'9.999R'}qty'본/m3'</t>
  </si>
  <si>
    <t xml:space="preserve">   '노무비 ' ~E0021050010.L~ * {T1}'hr' = ?LA+</t>
  </si>
  <si>
    <t xml:space="preserve"> 가. 아스팔트유제 (엔진식 : RSC-4)</t>
  </si>
  <si>
    <t xml:space="preserve">192_1_2 = </t>
  </si>
  <si>
    <t xml:space="preserve">      Q = 60 * q * f * E / Cm</t>
  </si>
  <si>
    <t>회색   18ℓ</t>
  </si>
  <si>
    <t xml:space="preserve">          Cm = ({L1} /{V1}) + ({L1} / {V2}) + 0.25 = {?,'9.9R'}'min'</t>
  </si>
  <si>
    <t xml:space="preserve">163_1_3+ = </t>
  </si>
  <si>
    <t>별표 19/#16  CON'C 타설(굴삭기)</t>
  </si>
  <si>
    <t xml:space="preserve">          Cm = {t1} + {t2} + {t3} + {t4} + {t5} = {?,'9.9R'}'min'</t>
  </si>
  <si>
    <t>크레인(타이어)   10 TON</t>
  </si>
  <si>
    <t>합    계</t>
  </si>
  <si>
    <t xml:space="preserve">㎥    </t>
  </si>
  <si>
    <t xml:space="preserve">291_1_1 = </t>
  </si>
  <si>
    <t>.eq = LA(50,60) * 0.01</t>
  </si>
  <si>
    <t xml:space="preserve">L1 = </t>
  </si>
  <si>
    <t xml:space="preserve">1303_1_1+ = </t>
  </si>
  <si>
    <t xml:space="preserve">   운반</t>
  </si>
  <si>
    <t xml:space="preserve">73_1_4 = </t>
  </si>
  <si>
    <t xml:space="preserve">255_1_2 = </t>
  </si>
  <si>
    <t xml:space="preserve"> 바. 진동 로울러 (핸드가이드식 0.7TON)</t>
  </si>
  <si>
    <t xml:space="preserve">257_1_3+ = </t>
  </si>
  <si>
    <t>No.51</t>
  </si>
  <si>
    <t>320</t>
  </si>
  <si>
    <t xml:space="preserve">1261_1_1+ = </t>
  </si>
  <si>
    <t xml:space="preserve">593_1_3+ = </t>
  </si>
  <si>
    <t xml:space="preserve">250_1_3 = </t>
  </si>
  <si>
    <t>3-2 가설울타리판(H=6.0m 이하)</t>
  </si>
  <si>
    <t>EGI휀스</t>
  </si>
  <si>
    <t>440</t>
  </si>
  <si>
    <t xml:space="preserve">   표토제거</t>
  </si>
  <si>
    <t xml:space="preserve">   포    설</t>
  </si>
  <si>
    <t xml:space="preserve">    1/Q = {?,'9.999C'}qty'hr/m3'</t>
  </si>
  <si>
    <t xml:space="preserve">              Tb = 25 / 60 = {?,'9.999R'}'hr'</t>
  </si>
  <si>
    <t>'가. B/H (0.7 m3)'</t>
  </si>
  <si>
    <t xml:space="preserve">     ~E0072021000.E~ * {Dh}'&lt;Hr/일&gt;'* {Md=25}'&lt;일/월&gt;'* {Y}'&lt;개월&gt;' =  ?EQ+</t>
  </si>
  <si>
    <t xml:space="preserve">    '보통인부:' 2 '인'/ 126'㎡' = {?,'9.999R'}QTY'인/㎡'</t>
  </si>
  <si>
    <t>No.68 보도용블럭설치(소형)</t>
  </si>
  <si>
    <t>KSM6080(백색) 4종(P3-R5)</t>
  </si>
  <si>
    <t xml:space="preserve">L     </t>
  </si>
  <si>
    <t>D16M/M   1.560KG/M  SD35,40</t>
  </si>
  <si>
    <t>QLINCA</t>
  </si>
  <si>
    <t>숫자</t>
  </si>
  <si>
    <t xml:space="preserve">593_1_1 = </t>
  </si>
  <si>
    <t xml:space="preserve">291_1_3+ = </t>
  </si>
  <si>
    <t xml:space="preserve">56_1_3+ = </t>
  </si>
  <si>
    <t>No.54 카스토퍼설치</t>
  </si>
  <si>
    <t>m3</t>
  </si>
  <si>
    <t>K2040210</t>
  </si>
  <si>
    <t>20Tx900x1800</t>
  </si>
  <si>
    <t>I-50</t>
  </si>
  <si>
    <t>보통시멘트</t>
  </si>
  <si>
    <t xml:space="preserve">1300_1_5+ = </t>
  </si>
  <si>
    <t>No.11</t>
  </si>
  <si>
    <t xml:space="preserve">1393_1_1 = </t>
  </si>
  <si>
    <t xml:space="preserve">89_1_1+ = </t>
  </si>
  <si>
    <t>KG</t>
  </si>
  <si>
    <t>콘크리트공</t>
  </si>
  <si>
    <t>360</t>
  </si>
  <si>
    <t xml:space="preserve">1360_1_4 = </t>
  </si>
  <si>
    <t>56201007241</t>
  </si>
  <si>
    <t>1000㎜</t>
  </si>
  <si>
    <t xml:space="preserve">원    </t>
  </si>
  <si>
    <t>700㎜</t>
  </si>
  <si>
    <t>매캐덤 롤러(자주식)   10-12 TON</t>
  </si>
  <si>
    <t xml:space="preserve">73_1_6+ = </t>
  </si>
  <si>
    <t>MZE003</t>
  </si>
  <si>
    <t>400</t>
  </si>
  <si>
    <t>E0032010003</t>
  </si>
  <si>
    <t xml:space="preserve">    2) 특별인부  80 m당 3인 소요</t>
  </si>
  <si>
    <t>M/T</t>
  </si>
  <si>
    <t>56100707214</t>
  </si>
  <si>
    <t>B/H 0.8M3</t>
  </si>
  <si>
    <t>#8</t>
  </si>
  <si>
    <t xml:space="preserve"> &gt;'소 계'</t>
  </si>
  <si>
    <t xml:space="preserve">      ' 대당 275포 적재'</t>
  </si>
  <si>
    <t>No.5</t>
  </si>
  <si>
    <t>A03</t>
  </si>
  <si>
    <t xml:space="preserve">3공구 장대할증                          </t>
  </si>
  <si>
    <t xml:space="preserve">          8.0'hr'/ 150'm3' = {?,'9.999R'}qty'hr/m3'</t>
  </si>
  <si>
    <t xml:space="preserve">   운    반</t>
  </si>
  <si>
    <t xml:space="preserve">          1 / {Q} = {?,'9.999R'}qty'hr/m3'</t>
  </si>
  <si>
    <t>K6900100</t>
  </si>
  <si>
    <t>20X25</t>
  </si>
  <si>
    <t/>
  </si>
  <si>
    <t>주공정</t>
    <phoneticPr fontId="8" type="noConversion"/>
  </si>
  <si>
    <t>비                     목</t>
    <phoneticPr fontId="7" type="noConversion"/>
  </si>
  <si>
    <t>구             성             비</t>
  </si>
  <si>
    <t>조경종합적용</t>
    <phoneticPr fontId="8" type="noConversion"/>
  </si>
  <si>
    <t>재</t>
  </si>
  <si>
    <t>직  접  재  료  비</t>
  </si>
  <si>
    <t>순</t>
  </si>
  <si>
    <t>료</t>
  </si>
  <si>
    <t>간  접  재  료  비</t>
  </si>
  <si>
    <t>비</t>
    <phoneticPr fontId="7" type="noConversion"/>
  </si>
  <si>
    <t>작업설,부산물등(△)</t>
    <phoneticPr fontId="7" type="noConversion"/>
  </si>
  <si>
    <t>[  소            계  ]</t>
  </si>
  <si>
    <t>공</t>
  </si>
  <si>
    <t>노</t>
  </si>
  <si>
    <t>직  접  노  무  비</t>
  </si>
  <si>
    <t xml:space="preserve"> </t>
    <phoneticPr fontId="7" type="noConversion"/>
  </si>
  <si>
    <t xml:space="preserve">무 </t>
    <phoneticPr fontId="7" type="noConversion"/>
  </si>
  <si>
    <t>간  접  노  무  비</t>
  </si>
  <si>
    <t>직접노무비의 *14.3%</t>
    <phoneticPr fontId="7" type="noConversion"/>
  </si>
  <si>
    <t>비</t>
    <phoneticPr fontId="7" type="noConversion"/>
  </si>
  <si>
    <t>운   반   비</t>
    <phoneticPr fontId="7" type="noConversion"/>
  </si>
  <si>
    <t>사</t>
    <phoneticPr fontId="7" type="noConversion"/>
  </si>
  <si>
    <t>기    계    경   비</t>
  </si>
  <si>
    <t>산  재  보  험  료</t>
    <phoneticPr fontId="7" type="noConversion"/>
  </si>
  <si>
    <t>노무비의 *3.56%</t>
    <phoneticPr fontId="7" type="noConversion"/>
  </si>
  <si>
    <t>경</t>
    <phoneticPr fontId="7" type="noConversion"/>
  </si>
  <si>
    <t>고  용  보  험  료</t>
    <phoneticPr fontId="7" type="noConversion"/>
  </si>
  <si>
    <t>노무비의 *1.01%</t>
    <phoneticPr fontId="7" type="noConversion"/>
  </si>
  <si>
    <t>건  강  보  험  료</t>
    <phoneticPr fontId="7" type="noConversion"/>
  </si>
  <si>
    <t>직접노무비의 *3.545%</t>
    <phoneticPr fontId="7" type="noConversion"/>
  </si>
  <si>
    <t>원</t>
  </si>
  <si>
    <t>연  금  보  험  료</t>
    <phoneticPr fontId="7" type="noConversion"/>
  </si>
  <si>
    <t>직접노무비의 *4.5%</t>
    <phoneticPr fontId="7" type="noConversion"/>
  </si>
  <si>
    <t>노인장기요양보험료</t>
    <phoneticPr fontId="7" type="noConversion"/>
  </si>
  <si>
    <t>건강보험료 *12.95%</t>
    <phoneticPr fontId="7" type="noConversion"/>
  </si>
  <si>
    <t xml:space="preserve"> </t>
  </si>
  <si>
    <t>퇴직공제부금비</t>
    <phoneticPr fontId="7" type="noConversion"/>
  </si>
  <si>
    <t>직접노무비의 * 2.3%</t>
    <phoneticPr fontId="7" type="noConversion"/>
  </si>
  <si>
    <t>기계대여대금지급보증수수료</t>
    <phoneticPr fontId="7" type="noConversion"/>
  </si>
  <si>
    <t>(재료비+직노비+산경) *0.18%</t>
    <phoneticPr fontId="7" type="noConversion"/>
  </si>
  <si>
    <t>가</t>
  </si>
  <si>
    <t>비</t>
  </si>
  <si>
    <t>안  전  관  리  비</t>
    <phoneticPr fontId="7" type="noConversion"/>
  </si>
  <si>
    <t>(재료비+직노+도급자관급)*1.2%+3,250,000</t>
    <phoneticPr fontId="7" type="noConversion"/>
  </si>
  <si>
    <t>환  경  보  전  비</t>
    <phoneticPr fontId="7" type="noConversion"/>
  </si>
  <si>
    <t>(재료비+직노비+산경) *0.3%</t>
    <phoneticPr fontId="7" type="noConversion"/>
  </si>
  <si>
    <t>기    타    경   비</t>
    <phoneticPr fontId="7" type="noConversion"/>
  </si>
  <si>
    <t>(재료비+노무비) *5.5%</t>
    <phoneticPr fontId="7" type="noConversion"/>
  </si>
  <si>
    <t>하도급지급보증수수료</t>
    <phoneticPr fontId="7" type="noConversion"/>
  </si>
  <si>
    <t>(재료비+직노비+산출경비) *0.081%</t>
    <phoneticPr fontId="7" type="noConversion"/>
  </si>
  <si>
    <t>일      반     관     리     비</t>
  </si>
  <si>
    <t>계의 *6.0%</t>
    <phoneticPr fontId="7" type="noConversion"/>
  </si>
  <si>
    <t>합                             계</t>
    <phoneticPr fontId="7" type="noConversion"/>
  </si>
  <si>
    <t>이                              윤</t>
  </si>
  <si>
    <t>(노무비+경비+일반관리비) *15.0%</t>
    <phoneticPr fontId="7" type="noConversion"/>
  </si>
  <si>
    <t xml:space="preserve"> </t>
    <phoneticPr fontId="7" type="noConversion"/>
  </si>
  <si>
    <t>공   급   가   액  (총  원  가)</t>
    <phoneticPr fontId="7" type="noConversion"/>
  </si>
  <si>
    <t>부      가     가     치     세</t>
    <phoneticPr fontId="7" type="noConversion"/>
  </si>
  <si>
    <t>공급가액의 *10.00%</t>
    <phoneticPr fontId="7" type="noConversion"/>
  </si>
  <si>
    <t>도              급             액</t>
  </si>
  <si>
    <t>관    급     자     재     비</t>
    <phoneticPr fontId="7" type="noConversion"/>
  </si>
  <si>
    <t>1) 도급자관급</t>
    <phoneticPr fontId="7" type="noConversion"/>
  </si>
  <si>
    <t>2) 관급자관급</t>
    <phoneticPr fontId="7" type="noConversion"/>
  </si>
  <si>
    <t>총        공        사        비</t>
  </si>
  <si>
    <t>도급자관급</t>
    <phoneticPr fontId="8" type="noConversion"/>
  </si>
  <si>
    <t>A</t>
    <phoneticPr fontId="7" type="noConversion"/>
  </si>
  <si>
    <t>B</t>
    <phoneticPr fontId="7" type="noConversion"/>
  </si>
  <si>
    <t>잡    품</t>
  </si>
  <si>
    <t xml:space="preserve">%     </t>
  </si>
  <si>
    <t>F/M1</t>
  </si>
  <si>
    <t xml:space="preserve">248,388 천원  </t>
  </si>
  <si>
    <t xml:space="preserve">62,550 천원  </t>
  </si>
  <si>
    <t>.sang=900, jung=700, kwan=485</t>
  </si>
  <si>
    <t>12</t>
  </si>
  <si>
    <t xml:space="preserve">105,310 천원  </t>
  </si>
  <si>
    <t xml:space="preserve">110,926 천원  </t>
  </si>
  <si>
    <t xml:space="preserve">122,100 천원  </t>
  </si>
  <si>
    <t xml:space="preserve">112,684 천원  </t>
  </si>
  <si>
    <t>.sang=900, jung=700, kwan=679</t>
  </si>
  <si>
    <t xml:space="preserve">131,171 천원  </t>
  </si>
  <si>
    <t xml:space="preserve">16,315 천원  </t>
  </si>
  <si>
    <t>.sang=3000, jung=2833, kwan=768</t>
  </si>
  <si>
    <t xml:space="preserve">223,000 원    </t>
  </si>
  <si>
    <t xml:space="preserve">111,381 천원  </t>
  </si>
  <si>
    <t xml:space="preserve">20,793 천원  </t>
  </si>
  <si>
    <t>.sang=1200, jung=1067,kwan=700</t>
  </si>
  <si>
    <t xml:space="preserve">24,274 천원  </t>
  </si>
  <si>
    <t xml:space="preserve">86,142 천원  </t>
  </si>
  <si>
    <t>.sang=900 ,jung=700 ,kwan=679</t>
  </si>
  <si>
    <t xml:space="preserve">67,161 천원  </t>
  </si>
  <si>
    <t>.sang=750, jung=500, kwan=552</t>
  </si>
  <si>
    <t xml:space="preserve">45,760 천원  </t>
  </si>
  <si>
    <t>.sang=750, jung=458, kwan=655</t>
  </si>
  <si>
    <t xml:space="preserve">6,537 천원  </t>
  </si>
  <si>
    <t>.sang=1286,jung=857,kwan=682</t>
  </si>
  <si>
    <t xml:space="preserve">17,252 천원  </t>
  </si>
  <si>
    <t xml:space="preserve">90,125 $     </t>
  </si>
  <si>
    <t xml:space="preserve">92,182 $     </t>
  </si>
  <si>
    <t>.sang=833, jung=556, kwan=556</t>
  </si>
  <si>
    <t xml:space="preserve">1,570 $     </t>
  </si>
  <si>
    <t>.sang=1800,jung=1200,kwan=708</t>
  </si>
  <si>
    <t>구)운전사(기계)</t>
  </si>
  <si>
    <t xml:space="preserve">131,000 천원  </t>
  </si>
  <si>
    <t>.sang=1071,jung=536, kwan=691</t>
  </si>
  <si>
    <t xml:space="preserve">38,469 천원  </t>
  </si>
  <si>
    <t>.sang=1286,jung=357, kwan=955</t>
  </si>
  <si>
    <t xml:space="preserve">83,693 천원  </t>
  </si>
  <si>
    <t xml:space="preserve">108,264 천원  </t>
  </si>
  <si>
    <t xml:space="preserve">63,483 천원  </t>
  </si>
  <si>
    <t>.sang=1286,jung=786,kwan=504</t>
  </si>
  <si>
    <t xml:space="preserve">226,673 천원  </t>
  </si>
  <si>
    <t>.sang=1125,jung=563,kwan=674</t>
  </si>
  <si>
    <t xml:space="preserve">2,917 천원  </t>
  </si>
  <si>
    <t>.sang=1125,jung=750,kwan=674</t>
  </si>
  <si>
    <t xml:space="preserve">2,954 천원  </t>
  </si>
  <si>
    <t>.sang=4000, jung=1333, kwan=1021</t>
  </si>
  <si>
    <t xml:space="preserve">257,846 천원  </t>
  </si>
  <si>
    <t>.sang=1071, jung=774, kwan=795</t>
  </si>
  <si>
    <t xml:space="preserve">14,718 천원  </t>
  </si>
  <si>
    <t xml:space="preserve"> .sang=3000,jung=2333,kwan=1067</t>
  </si>
  <si>
    <t xml:space="preserve">44,820 천원  </t>
  </si>
  <si>
    <t>.sang=818 ,jung=636 ,kwan=659</t>
  </si>
  <si>
    <t xml:space="preserve">85,962 천원  </t>
  </si>
  <si>
    <t xml:space="preserve">4,687 천원  </t>
  </si>
  <si>
    <t>0.2 kw</t>
  </si>
  <si>
    <t>.sang=3000 ,jung=3667 ,kwan=768</t>
  </si>
  <si>
    <t xml:space="preserve">875 천원  </t>
  </si>
  <si>
    <t>.sang=1125 ,jung=1000 ,kwan=674</t>
  </si>
  <si>
    <t>낙찰율조정</t>
    <phoneticPr fontId="5" type="noConversion"/>
  </si>
  <si>
    <t>1. 토공 및 철거공</t>
    <phoneticPr fontId="5" type="noConversion"/>
  </si>
  <si>
    <t>Φ200(PE이중벽관)</t>
    <phoneticPr fontId="5" type="noConversion"/>
  </si>
  <si>
    <t>#11 터파기</t>
  </si>
  <si>
    <t>N1070</t>
  </si>
  <si>
    <t>#12 잔토처리</t>
  </si>
  <si>
    <t>N0860</t>
  </si>
  <si>
    <t>#13 되메우기및다짐</t>
  </si>
  <si>
    <t>BH 0.6M3, P.C 1.5ton, 인력10%</t>
  </si>
  <si>
    <t>N1010</t>
  </si>
  <si>
    <t>#14 혼합골재부설 및 다짐</t>
  </si>
  <si>
    <t>기계:인력=9:1</t>
  </si>
  <si>
    <t>N0300</t>
  </si>
  <si>
    <t>Φ200</t>
  </si>
  <si>
    <t>K50200200</t>
  </si>
  <si>
    <t>무소음닥타일</t>
  </si>
  <si>
    <t>K60000210</t>
  </si>
  <si>
    <t>W310</t>
  </si>
  <si>
    <t>HW0081</t>
  </si>
  <si>
    <t>고무링접합,150m적용</t>
  </si>
  <si>
    <t>SBC7101</t>
  </si>
  <si>
    <t xml:space="preserve">   (2025년 건설공사표준품셈 6-5-2 밴드 접합 및 부설</t>
  </si>
  <si>
    <t>Φ200mm</t>
  </si>
  <si>
    <t>M5380200</t>
  </si>
  <si>
    <t xml:space="preserve">   배 관 공(부설)(2/13/6)</t>
  </si>
  <si>
    <t xml:space="preserve">   보통인부(부설)(1/13/6)</t>
  </si>
  <si>
    <t>중하중 395*995*52</t>
  </si>
  <si>
    <t>M1572002</t>
  </si>
  <si>
    <t xml:space="preserve">   되메우기및다짐</t>
  </si>
  <si>
    <t>BH 0.6M3, 램머, 인력10%</t>
  </si>
  <si>
    <t>보조기층용</t>
  </si>
  <si>
    <t>MB-4500</t>
  </si>
  <si>
    <t xml:space="preserve">   혼합골재부설 및 다짐</t>
  </si>
  <si>
    <t>기계:인력=8:2</t>
  </si>
  <si>
    <t xml:space="preserve">   메가플로 파이프</t>
  </si>
  <si>
    <t>T40,W310</t>
  </si>
  <si>
    <t>MW-502</t>
  </si>
  <si>
    <t xml:space="preserve">   P.V.C관 접합 및 부설</t>
  </si>
  <si>
    <t>#11 터파기 | BH 0.6M3, 인력10%|m3</t>
  </si>
  <si>
    <t xml:space="preserve">14_1_1+ = </t>
  </si>
  <si>
    <t xml:space="preserve">14_1_1 = </t>
  </si>
  <si>
    <t xml:space="preserve">14_1_2+ = </t>
  </si>
  <si>
    <t xml:space="preserve">14_1_2 = </t>
  </si>
  <si>
    <t xml:space="preserve">14_1_3+ = </t>
  </si>
  <si>
    <t xml:space="preserve">14_1_3 = </t>
  </si>
  <si>
    <t xml:space="preserve">14_1_4+ = </t>
  </si>
  <si>
    <t xml:space="preserve">14_1_4 = </t>
  </si>
  <si>
    <t xml:space="preserve">14_1_5+ = </t>
  </si>
  <si>
    <t xml:space="preserve">14_1_5 = </t>
  </si>
  <si>
    <t xml:space="preserve">14_1_6+ = </t>
  </si>
  <si>
    <t xml:space="preserve">14_1_6 = </t>
  </si>
  <si>
    <t xml:space="preserve">        '재 료 비 : '~E0002010060.M~/{Q}*0.9 =?MA+</t>
  </si>
  <si>
    <t xml:space="preserve">17_1_2+ = </t>
  </si>
  <si>
    <t xml:space="preserve">17_1_2 = </t>
  </si>
  <si>
    <t xml:space="preserve">        '노 무 비 : '~E0002010060.L~/{Q}*0.9 =?LA+</t>
  </si>
  <si>
    <t xml:space="preserve">19_1_1+ = </t>
  </si>
  <si>
    <t xml:space="preserve">19_1_1 = </t>
  </si>
  <si>
    <t xml:space="preserve">19_1_2+ = </t>
  </si>
  <si>
    <t xml:space="preserve">19_1_2 = </t>
  </si>
  <si>
    <t xml:space="preserve">        '경    비 : '~E0002010060.E~/{Q}*0.9 =?EQ+</t>
  </si>
  <si>
    <t xml:space="preserve">21_1_1+ = </t>
  </si>
  <si>
    <t xml:space="preserve">21_1_1 = </t>
  </si>
  <si>
    <t xml:space="preserve">21_1_2+ = </t>
  </si>
  <si>
    <t xml:space="preserve">21_1_2 = </t>
  </si>
  <si>
    <t xml:space="preserve">          소계      :</t>
  </si>
  <si>
    <t>&gt;       ' 소계      : '</t>
  </si>
  <si>
    <t xml:space="preserve">         터파기(인력10%):M3</t>
  </si>
  <si>
    <t xml:space="preserve">        '터파기(인력10%):M3  '</t>
  </si>
  <si>
    <t xml:space="preserve">        '노 무 비 : '~L085~*0.2*0.1 =?LA+</t>
  </si>
  <si>
    <t xml:space="preserve">          합계      :</t>
  </si>
  <si>
    <t>&gt;&gt;      ' 합계      : '</t>
  </si>
  <si>
    <t>#12 잔토처리 | BH 0.6M3|m3</t>
  </si>
  <si>
    <t xml:space="preserve">44_1_1+ = </t>
  </si>
  <si>
    <t xml:space="preserve">44_1_1 = </t>
  </si>
  <si>
    <t xml:space="preserve">44_1_2+ = </t>
  </si>
  <si>
    <t xml:space="preserve">44_1_2 = </t>
  </si>
  <si>
    <t xml:space="preserve">46_1_1+ = </t>
  </si>
  <si>
    <t xml:space="preserve">46_1_1 = </t>
  </si>
  <si>
    <t xml:space="preserve">       '재 료 비 : '~E0002010060.M~/{Q} =?MA+</t>
  </si>
  <si>
    <t xml:space="preserve">48_1_2+ = </t>
  </si>
  <si>
    <t xml:space="preserve">48_1_2 = </t>
  </si>
  <si>
    <t xml:space="preserve">        '노 무 비 : '~E0002010060.L~/{Q} =?LA+</t>
  </si>
  <si>
    <t xml:space="preserve">50_1_2+ = </t>
  </si>
  <si>
    <t xml:space="preserve">50_1_2 = </t>
  </si>
  <si>
    <t xml:space="preserve">        '경    비 : '~E0002010060.E~/{Q} =?EQ+</t>
  </si>
  <si>
    <t xml:space="preserve">52_1_1+ = </t>
  </si>
  <si>
    <t xml:space="preserve">52_1_1 = </t>
  </si>
  <si>
    <t xml:space="preserve">52_1_2+ = </t>
  </si>
  <si>
    <t xml:space="preserve">52_1_2 = </t>
  </si>
  <si>
    <t>#13 되메우기및다짐 | BH 0.6M3, P.C 1.5ton, 인력10%|m3</t>
  </si>
  <si>
    <t>1. 되메우기(기계 90%, 인력 10%)</t>
  </si>
  <si>
    <t xml:space="preserve"> 가. 기계(백호우 0.6㎥, 90%)</t>
  </si>
  <si>
    <t xml:space="preserve">66_3_1+ = </t>
  </si>
  <si>
    <t xml:space="preserve">66_3_1 = </t>
  </si>
  <si>
    <t xml:space="preserve">    Q = 3600 * q * f * K * E / Cm = ?</t>
  </si>
  <si>
    <t xml:space="preserve">68_1_1+ = </t>
  </si>
  <si>
    <t xml:space="preserve">68_1_1 = </t>
  </si>
  <si>
    <t>' 노무비 :'~E0002010060.L~ / Q * 0.9 = ?LA+</t>
  </si>
  <si>
    <t xml:space="preserve">69_1_1+ = </t>
  </si>
  <si>
    <t xml:space="preserve">69_1_1 = </t>
  </si>
  <si>
    <t>' 재료비 :'~E0002010060.M~ / Q * 0.9 = ?MA+</t>
  </si>
  <si>
    <t xml:space="preserve">70_1_1+ = </t>
  </si>
  <si>
    <t xml:space="preserve">70_1_1 = </t>
  </si>
  <si>
    <t>' 경  비 :'~E0002010060.E~ / Q * 0.9 = ?EQ+</t>
  </si>
  <si>
    <t xml:space="preserve">71_1_1+ = </t>
  </si>
  <si>
    <t xml:space="preserve">71_1_1 = </t>
  </si>
  <si>
    <t xml:space="preserve">  소계</t>
  </si>
  <si>
    <t>&gt;'소계'</t>
  </si>
  <si>
    <t xml:space="preserve"> 나. 인력 10 %</t>
  </si>
  <si>
    <t xml:space="preserve"> 나. 인력 10'%'</t>
  </si>
  <si>
    <t xml:space="preserve"> ' 보통인부' ~L085~  * 0.1 * 0.1 = ?la+</t>
  </si>
  <si>
    <t xml:space="preserve">75_1_1+ = </t>
  </si>
  <si>
    <t xml:space="preserve">75_1_1 = </t>
  </si>
  <si>
    <t>&gt;&gt;'계'</t>
  </si>
  <si>
    <t>2. 다짐(P.C 1.5TON)</t>
  </si>
  <si>
    <t xml:space="preserve">82_6_1+ = </t>
  </si>
  <si>
    <t xml:space="preserve">82_6_1 = </t>
  </si>
  <si>
    <t xml:space="preserve">    Q = (1000*V*W*D*E)*f/N =? '㎥/HR'</t>
  </si>
  <si>
    <t xml:space="preserve">83_1_1+ = </t>
  </si>
  <si>
    <t xml:space="preserve">83_1_1 = </t>
  </si>
  <si>
    <t xml:space="preserve"> ' 노무비 :'~E0017300015.L~ / Q  = ?LA+</t>
  </si>
  <si>
    <t xml:space="preserve">84_1_1+ = </t>
  </si>
  <si>
    <t xml:space="preserve">84_1_1 = </t>
  </si>
  <si>
    <t xml:space="preserve"> ' 재료비 :'~E0017300015.M~ / Q  = ?MA+</t>
  </si>
  <si>
    <t xml:space="preserve">85_1_1+ = </t>
  </si>
  <si>
    <t xml:space="preserve">85_1_1 = </t>
  </si>
  <si>
    <t xml:space="preserve"> ' 경  비 :'~E0017300015.E~ / Q  = ?EQ+</t>
  </si>
  <si>
    <t xml:space="preserve">86_1_1+ = </t>
  </si>
  <si>
    <t xml:space="preserve">86_1_1 = </t>
  </si>
  <si>
    <t xml:space="preserve">    합계</t>
  </si>
  <si>
    <t>&gt;&gt;&gt;'합계'</t>
  </si>
  <si>
    <t xml:space="preserve">&gt;&gt;&gt;MA = </t>
  </si>
  <si>
    <t xml:space="preserve">&gt;&gt;&gt;LA = </t>
  </si>
  <si>
    <t xml:space="preserve">&gt;&gt;&gt;EQ = </t>
  </si>
  <si>
    <t>#14 혼합골재부설 및 다짐 | 기계:인력=9:1|m3</t>
  </si>
  <si>
    <t xml:space="preserve"> 1. 혼합골재 (현장도착도)</t>
  </si>
  <si>
    <t>'1. 혼합골재 (현장도착도)'</t>
  </si>
  <si>
    <t xml:space="preserve"> 별산</t>
  </si>
  <si>
    <t>'별산'</t>
  </si>
  <si>
    <t xml:space="preserve"> 2. 포설(기계BH0.6㎥,90%)</t>
  </si>
  <si>
    <t>'2. 포설(기계BH0.6㎥,90%)'</t>
  </si>
  <si>
    <t xml:space="preserve">SQ = </t>
  </si>
  <si>
    <t xml:space="preserve">100_4_1+ = </t>
  </si>
  <si>
    <t xml:space="preserve">100_4_1 = </t>
  </si>
  <si>
    <t xml:space="preserve"> Q = 3600*SQ*K*F*E / CM = ?'M3/HR'</t>
  </si>
  <si>
    <t>'경    비 :'~E0002010060.E~ / Q * 0.9 = ?EQ+</t>
  </si>
  <si>
    <t>'재 료 비 :'~E0002010060.M~ / Q * 0.9 = ?MA+</t>
  </si>
  <si>
    <t xml:space="preserve">106_1_1+ = </t>
  </si>
  <si>
    <t xml:space="preserve">106_1_1 = </t>
  </si>
  <si>
    <t>'노 무 비 :'~E0002010060.L~ / Q * 0.9 = ?LA+</t>
  </si>
  <si>
    <t xml:space="preserve">107_1_1+ = </t>
  </si>
  <si>
    <t xml:space="preserve">107_1_1 = </t>
  </si>
  <si>
    <t xml:space="preserve">   소   계</t>
  </si>
  <si>
    <t>&gt; '소   계'</t>
  </si>
  <si>
    <t xml:space="preserve"> 3. 인력포설(10%)</t>
  </si>
  <si>
    <t>'3. 인력포설(10%)'</t>
  </si>
  <si>
    <t>~L085~ * 0.11 * 0.1 = ?LA+</t>
  </si>
  <si>
    <t xml:space="preserve">111_1_1+ = </t>
  </si>
  <si>
    <t xml:space="preserve">111_1_1 = </t>
  </si>
  <si>
    <t xml:space="preserve"> 4. 다짐(진동롤러 핸드가드식 0.7TON)</t>
  </si>
  <si>
    <t>'4. 다짐(진동롤러 핸드가드식 0.7TON)'</t>
  </si>
  <si>
    <t xml:space="preserve">116_2_1+ = </t>
  </si>
  <si>
    <t xml:space="preserve">116_2_1 = </t>
  </si>
  <si>
    <t>Q= 1000 * V * W * D *  E * f / N = ?'M3/HR'</t>
  </si>
  <si>
    <t xml:space="preserve">118_1_1+ = </t>
  </si>
  <si>
    <t xml:space="preserve">118_1_1 = </t>
  </si>
  <si>
    <t>'재료비:'~E0013050007.M~ / {Q} =?MA+</t>
  </si>
  <si>
    <t xml:space="preserve">120_1_1+ = </t>
  </si>
  <si>
    <t xml:space="preserve">120_1_1 = </t>
  </si>
  <si>
    <t xml:space="preserve">120_1_2+ = </t>
  </si>
  <si>
    <t xml:space="preserve">120_1_2 = </t>
  </si>
  <si>
    <t>'노무비:'~E0013050007.L~ / {Q} =?LA+</t>
  </si>
  <si>
    <t xml:space="preserve">121_1_1+ = </t>
  </si>
  <si>
    <t xml:space="preserve">121_1_1 = </t>
  </si>
  <si>
    <t xml:space="preserve">121_1_2+ = </t>
  </si>
  <si>
    <t xml:space="preserve">121_1_2 = </t>
  </si>
  <si>
    <t>'경  비:'~E0013050007.E~ / {Q} =?EQ+</t>
  </si>
  <si>
    <t xml:space="preserve">122_1_1+ = </t>
  </si>
  <si>
    <t xml:space="preserve">122_1_1 = </t>
  </si>
  <si>
    <t xml:space="preserve">122_1_2+ = </t>
  </si>
  <si>
    <t xml:space="preserve">122_1_2 = </t>
  </si>
  <si>
    <t xml:space="preserve">    총  계</t>
  </si>
  <si>
    <t>&gt;&gt; '총  계'</t>
  </si>
  <si>
    <t>물자/1-182/</t>
  </si>
  <si>
    <t>물자/1-765/</t>
  </si>
  <si>
    <t xml:space="preserve">m3    </t>
  </si>
  <si>
    <t>물자/62/</t>
  </si>
  <si>
    <t>메가플로 파이프</t>
  </si>
  <si>
    <t>물정/99/</t>
  </si>
  <si>
    <t>유공관 연결구</t>
  </si>
  <si>
    <t>410X450</t>
  </si>
  <si>
    <t xml:space="preserve">개소  </t>
  </si>
  <si>
    <t>MW-503</t>
  </si>
  <si>
    <t>1-182</t>
  </si>
  <si>
    <t>1-765</t>
  </si>
  <si>
    <t>62</t>
  </si>
  <si>
    <t>99</t>
  </si>
  <si>
    <t>w310</t>
    <phoneticPr fontId="5" type="noConversion"/>
  </si>
  <si>
    <t>무소음닥타일</t>
    <phoneticPr fontId="5" type="noConversion"/>
  </si>
  <si>
    <t>6-8목</t>
    <phoneticPr fontId="5" type="noConversion"/>
  </si>
  <si>
    <t>일위대가목록(신규)</t>
    <phoneticPr fontId="5" type="noConversion"/>
  </si>
  <si>
    <t>공 사 원 가 계 산 서( 토  목)</t>
    <phoneticPr fontId="8" type="noConversion"/>
  </si>
  <si>
    <t>비            고</t>
    <phoneticPr fontId="5" type="noConversion"/>
  </si>
  <si>
    <r>
      <t>[공사명]고기</t>
    </r>
    <r>
      <rPr>
        <sz val="10"/>
        <rFont val="굴림"/>
        <family val="3"/>
        <charset val="129"/>
      </rPr>
      <t>근린공원(사회공헌)</t>
    </r>
    <r>
      <rPr>
        <sz val="10"/>
        <color indexed="8"/>
        <rFont val="굴림"/>
        <family val="3"/>
        <charset val="129"/>
      </rPr>
      <t xml:space="preserve"> </t>
    </r>
    <r>
      <rPr>
        <sz val="10"/>
        <rFont val="굴림"/>
        <family val="3"/>
        <charset val="129"/>
      </rPr>
      <t>조성공사</t>
    </r>
    <r>
      <rPr>
        <sz val="10"/>
        <color indexed="8"/>
        <rFont val="굴림"/>
        <family val="3"/>
        <charset val="129"/>
      </rPr>
      <t>(토목)</t>
    </r>
    <phoneticPr fontId="7" type="noConversion"/>
  </si>
  <si>
    <t>정산보험료증감분 산출</t>
    <phoneticPr fontId="8" type="noConversion"/>
  </si>
  <si>
    <t>단위</t>
    <phoneticPr fontId="5" type="noConversion"/>
  </si>
  <si>
    <t>금액</t>
    <phoneticPr fontId="5" type="noConversion"/>
  </si>
  <si>
    <t>■  고기근린공원(사회공헌) 조성공사 (토목)</t>
    <phoneticPr fontId="8" type="noConversion"/>
  </si>
  <si>
    <t xml:space="preserve">   자연석철거</t>
    <phoneticPr fontId="5" type="noConversion"/>
  </si>
  <si>
    <t xml:space="preserve">   유공관설치</t>
    <phoneticPr fontId="5" type="noConversion"/>
  </si>
  <si>
    <t>No.1  PE관 설치</t>
    <phoneticPr fontId="5" type="noConversion"/>
  </si>
  <si>
    <t>낙찰율적용</t>
    <phoneticPr fontId="8" type="noConversion"/>
  </si>
  <si>
    <t>87.295%</t>
    <phoneticPr fontId="8" type="noConversion"/>
  </si>
  <si>
    <t>No.2  스틸그레이팅 설치</t>
    <phoneticPr fontId="5" type="noConversion"/>
  </si>
  <si>
    <t>No.3  유공관설치</t>
    <phoneticPr fontId="5" type="noConversion"/>
  </si>
  <si>
    <t>No.4  P.V.C관 접합 및 부설</t>
    <phoneticPr fontId="5" type="noConversion"/>
  </si>
  <si>
    <t>방음벽(H3.0m)+방진망(H1.0m)</t>
    <phoneticPr fontId="5" type="noConversion"/>
  </si>
  <si>
    <t xml:space="preserve">   가설 방음벽 및 방진망(RPP)</t>
    <phoneticPr fontId="5" type="noConversion"/>
  </si>
  <si>
    <t>M</t>
    <phoneticPr fontId="5" type="noConversion"/>
  </si>
  <si>
    <t>No.5  가설방음벽(RPP)</t>
    <phoneticPr fontId="5" type="noConversion"/>
  </si>
  <si>
    <t>방음벽3m+방진망1m</t>
    <phoneticPr fontId="5" type="noConversion"/>
  </si>
  <si>
    <t>1-1054</t>
    <phoneticPr fontId="5" type="noConversion"/>
  </si>
  <si>
    <t>#15 전기아연도금 강판가설울타리 | RPP휀스, 6개월|m</t>
    <phoneticPr fontId="5" type="noConversion"/>
  </si>
  <si>
    <t>가설방음벽(RPP)</t>
    <phoneticPr fontId="5" type="noConversion"/>
  </si>
  <si>
    <t>H=4.0m(방음3m+방진1m)</t>
    <phoneticPr fontId="5" type="noConversion"/>
  </si>
  <si>
    <t>m</t>
    <phoneticPr fontId="5" type="noConversion"/>
  </si>
  <si>
    <t>1</t>
    <phoneticPr fontId="5" type="noConversion"/>
  </si>
  <si>
    <t>가설방음판RPP</t>
    <phoneticPr fontId="5" type="noConversion"/>
  </si>
  <si>
    <t>1980x500xx30T</t>
    <phoneticPr fontId="5" type="noConversion"/>
  </si>
  <si>
    <t>가설방음벽(지주파이프)</t>
  </si>
  <si>
    <t>Φ48×2.3t</t>
  </si>
  <si>
    <t>가설방음벽(주주파이프)</t>
  </si>
  <si>
    <t>Φ48×2.3t</t>
    <phoneticPr fontId="7" type="noConversion"/>
  </si>
  <si>
    <t>Φ48×2.3t×2m</t>
  </si>
  <si>
    <t>가설방음벽(횡대파이프)</t>
  </si>
  <si>
    <t>가설방음벽(보조지주)</t>
  </si>
  <si>
    <t>가설방음벽(클램프)</t>
  </si>
  <si>
    <t>Φ48용</t>
  </si>
  <si>
    <t>가설방음벽(연결핀)</t>
  </si>
  <si>
    <t>ea</t>
  </si>
  <si>
    <t>1-1043</t>
    <phoneticPr fontId="5" type="noConversion"/>
  </si>
  <si>
    <t>1-1050</t>
    <phoneticPr fontId="5" type="noConversion"/>
  </si>
  <si>
    <t>1-105</t>
    <phoneticPr fontId="5" type="noConversion"/>
  </si>
  <si>
    <t>도 급 금액</t>
    <phoneticPr fontId="5" type="noConversion"/>
  </si>
  <si>
    <t>제1회 기성내역서</t>
    <phoneticPr fontId="5" type="noConversion"/>
  </si>
  <si>
    <t>도급단가</t>
    <phoneticPr fontId="5" type="noConversion"/>
  </si>
  <si>
    <t>재료비</t>
    <phoneticPr fontId="5" type="noConversion"/>
  </si>
  <si>
    <t>노무비</t>
    <phoneticPr fontId="5" type="noConversion"/>
  </si>
  <si>
    <t>경비</t>
    <phoneticPr fontId="5" type="noConversion"/>
  </si>
  <si>
    <t>재료비금액</t>
    <phoneticPr fontId="5" type="noConversion"/>
  </si>
  <si>
    <t>노무비금액</t>
    <phoneticPr fontId="5" type="noConversion"/>
  </si>
  <si>
    <t>경비금액</t>
    <phoneticPr fontId="5" type="noConversion"/>
  </si>
  <si>
    <t xml:space="preserve">   직접공사비</t>
    <phoneticPr fontId="5" type="noConversion"/>
  </si>
  <si>
    <t>수량</t>
    <phoneticPr fontId="5" type="noConversion"/>
  </si>
  <si>
    <t>비율(%)</t>
    <phoneticPr fontId="5" type="noConversion"/>
  </si>
  <si>
    <t>전회기성</t>
    <phoneticPr fontId="5" type="noConversion"/>
  </si>
  <si>
    <t>금회기성</t>
    <phoneticPr fontId="5" type="noConversion"/>
  </si>
  <si>
    <t>비고</t>
    <phoneticPr fontId="5" type="noConversion"/>
  </si>
  <si>
    <t>누계기성</t>
    <phoneticPr fontId="5" type="noConversion"/>
  </si>
  <si>
    <t>도급금액</t>
    <phoneticPr fontId="5" type="noConversion"/>
  </si>
  <si>
    <t>▣ 도 급 금 액 :</t>
    <phoneticPr fontId="7" type="noConversion"/>
  </si>
  <si>
    <t>일금</t>
    <phoneticPr fontId="47" type="noConversion"/>
  </si>
  <si>
    <t>원정</t>
    <phoneticPr fontId="47" type="noConversion"/>
  </si>
  <si>
    <t>(</t>
    <phoneticPr fontId="7" type="noConversion"/>
  </si>
  <si>
    <t>)</t>
    <phoneticPr fontId="7" type="noConversion"/>
  </si>
  <si>
    <t>▣ 전 회 기 성 :</t>
    <phoneticPr fontId="7" type="noConversion"/>
  </si>
  <si>
    <t>▣ 금 회 기 성 :</t>
    <phoneticPr fontId="7" type="noConversion"/>
  </si>
  <si>
    <t>▣ 누 계 기 성 :</t>
    <phoneticPr fontId="7" type="noConversion"/>
  </si>
  <si>
    <t>▣ 미  기  성 :</t>
    <phoneticPr fontId="7" type="noConversion"/>
  </si>
  <si>
    <t>공사명 : 고기근린공원(사회공헌)조성공사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</si>
</sst>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₩&quot;* #,##0_-;\-&quot;₩&quot;* #,##0_-;_-&quot;₩&quot;* &quot;-&quot;_-;_-@_-"/>
    <numFmt numFmtId="41" formatCode="_-* #,##0_-;\-* #,##0_-;_-* &quot;-&quot;_-;_-@_-"/>
    <numFmt numFmtId="176" formatCode="General;\-General\,&quot;&quot;;@"/>
    <numFmt numFmtId="177" formatCode="#,##0.00####;\-#,##0.00####;@"/>
    <numFmt numFmtId="178" formatCode="#,###.000;\-#,###.000;&quot;&quot;;@"/>
    <numFmt numFmtId="179" formatCode="#,###.00;\-#,###.00;&quot;&quot;;@"/>
    <numFmt numFmtId="180" formatCode="#,###.0;\-#,###.0;&quot;&quot;;@"/>
    <numFmt numFmtId="181" formatCode="#,###;\-#,###;&quot;&quot;;@"/>
    <numFmt numFmtId="182" formatCode="0.000%"/>
    <numFmt numFmtId="183" formatCode="0.0000%"/>
    <numFmt numFmtId="184" formatCode="#,##0_ ;[Red]\-#,##0\ "/>
    <numFmt numFmtId="185" formatCode="#,##0.000_ ;[Red]\-#,##0.000\ "/>
    <numFmt numFmtId="186" formatCode="#,##0_ "/>
    <numFmt numFmtId="187" formatCode="#,##0.0_ ;[Red]\-#,##0.0\ "/>
    <numFmt numFmtId="188" formatCode="#,##0.00_ ;[Red]\-#,##0.00\ "/>
    <numFmt numFmtId="189" formatCode="&quot;₩&quot;#,##0"/>
  </numFmts>
  <fonts count="50" x14ac:knownFonts="1">
    <font>
      <sz val="8"/>
      <color indexed="8"/>
      <name val="굴림"/>
      <family val="2"/>
      <charset val="129"/>
    </font>
    <font>
      <u/>
      <sz val="8"/>
      <color indexed="12"/>
      <name val="굴림"/>
      <family val="2"/>
      <charset val="129"/>
    </font>
    <font>
      <sz val="8"/>
      <color indexed="30"/>
      <name val="굴림"/>
      <family val="2"/>
      <charset val="129"/>
    </font>
    <font>
      <sz val="8"/>
      <color indexed="22"/>
      <name val="굴림"/>
      <family val="2"/>
      <charset val="129"/>
    </font>
    <font>
      <sz val="8"/>
      <color indexed="8"/>
      <name val="Arial"/>
      <family val="2"/>
    </font>
    <font>
      <sz val="8"/>
      <name val="굴림"/>
      <family val="2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굴림"/>
      <family val="3"/>
      <charset val="129"/>
    </font>
    <font>
      <sz val="8"/>
      <color indexed="8"/>
      <name val="굴림"/>
      <family val="2"/>
      <charset val="129"/>
    </font>
    <font>
      <b/>
      <sz val="8"/>
      <color rgb="FFFF0000"/>
      <name val="굴림"/>
      <family val="3"/>
      <charset val="129"/>
    </font>
    <font>
      <sz val="9"/>
      <color indexed="8"/>
      <name val="굴림체"/>
      <family val="3"/>
      <charset val="129"/>
    </font>
    <font>
      <sz val="9"/>
      <color indexed="22"/>
      <name val="굴림체"/>
      <family val="3"/>
      <charset val="129"/>
    </font>
    <font>
      <sz val="9"/>
      <color rgb="FFFF0000"/>
      <name val="굴림체"/>
      <family val="3"/>
      <charset val="129"/>
    </font>
    <font>
      <sz val="9"/>
      <color indexed="30"/>
      <name val="굴림체"/>
      <family val="3"/>
      <charset val="129"/>
    </font>
    <font>
      <u/>
      <sz val="24"/>
      <name val="굴림"/>
      <family val="3"/>
      <charset val="129"/>
    </font>
    <font>
      <u/>
      <sz val="18"/>
      <name val="굴림"/>
      <family val="3"/>
      <charset val="129"/>
    </font>
    <font>
      <u/>
      <sz val="18"/>
      <color rgb="FF0070C0"/>
      <name val="굴림"/>
      <family val="3"/>
      <charset val="129"/>
    </font>
    <font>
      <sz val="11"/>
      <name val="굴림"/>
      <family val="3"/>
      <charset val="129"/>
    </font>
    <font>
      <sz val="8"/>
      <color indexed="8"/>
      <name val="굴림"/>
      <family val="3"/>
      <charset val="129"/>
    </font>
    <font>
      <sz val="10"/>
      <color indexed="8"/>
      <name val="굴림"/>
      <family val="3"/>
      <charset val="129"/>
    </font>
    <font>
      <sz val="10"/>
      <name val="굴림"/>
      <family val="3"/>
      <charset val="129"/>
    </font>
    <font>
      <u/>
      <sz val="11"/>
      <name val="굴림"/>
      <family val="3"/>
      <charset val="129"/>
    </font>
    <font>
      <sz val="11"/>
      <color rgb="FF0070C0"/>
      <name val="굴림"/>
      <family val="3"/>
      <charset val="129"/>
    </font>
    <font>
      <sz val="10"/>
      <color rgb="FF0070C0"/>
      <name val="굴림"/>
      <family val="3"/>
      <charset val="129"/>
    </font>
    <font>
      <b/>
      <sz val="10"/>
      <name val="굴림"/>
      <family val="3"/>
      <charset val="129"/>
    </font>
    <font>
      <sz val="22"/>
      <color indexed="8"/>
      <name val="굴림"/>
      <family val="2"/>
      <charset val="129"/>
    </font>
    <font>
      <b/>
      <sz val="8"/>
      <color indexed="8"/>
      <name val="굴림"/>
      <family val="3"/>
      <charset val="129"/>
    </font>
    <font>
      <sz val="8"/>
      <color rgb="FFFF0000"/>
      <name val="굴림"/>
      <family val="3"/>
      <charset val="129"/>
    </font>
    <font>
      <sz val="9"/>
      <name val="굴림체"/>
      <family val="3"/>
      <charset val="129"/>
    </font>
    <font>
      <sz val="22"/>
      <color indexed="8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8"/>
      <color indexed="30"/>
      <name val="굴림"/>
      <family val="3"/>
      <charset val="129"/>
    </font>
    <font>
      <b/>
      <sz val="8"/>
      <color indexed="22"/>
      <name val="굴림"/>
      <family val="3"/>
      <charset val="129"/>
    </font>
    <font>
      <sz val="11"/>
      <color indexed="8"/>
      <name val="굴림"/>
      <family val="3"/>
      <charset val="129"/>
    </font>
    <font>
      <u/>
      <sz val="11"/>
      <color indexed="30"/>
      <name val="굴림"/>
      <family val="3"/>
      <charset val="129"/>
    </font>
    <font>
      <b/>
      <sz val="11"/>
      <color indexed="8"/>
      <name val="굴림"/>
      <family val="3"/>
      <charset val="129"/>
    </font>
    <font>
      <sz val="11"/>
      <color indexed="22"/>
      <name val="굴림"/>
      <family val="3"/>
      <charset val="129"/>
    </font>
    <font>
      <sz val="11"/>
      <color indexed="30"/>
      <name val="굴림"/>
      <family val="3"/>
      <charset val="129"/>
    </font>
    <font>
      <b/>
      <u/>
      <sz val="11"/>
      <color indexed="30"/>
      <name val="굴림"/>
      <family val="3"/>
      <charset val="129"/>
    </font>
    <font>
      <b/>
      <sz val="11"/>
      <color rgb="FFEE0000"/>
      <name val="굴림"/>
      <family val="3"/>
      <charset val="129"/>
    </font>
    <font>
      <b/>
      <sz val="12"/>
      <name val="굴림"/>
      <family val="3"/>
      <charset val="129"/>
    </font>
    <font>
      <b/>
      <sz val="11"/>
      <name val="굴림"/>
      <family val="3"/>
      <charset val="129"/>
    </font>
    <font>
      <b/>
      <sz val="8"/>
      <name val="굴림"/>
      <family val="3"/>
      <charset val="129"/>
    </font>
    <font>
      <b/>
      <sz val="13"/>
      <name val="굴림"/>
      <family val="3"/>
      <charset val="129"/>
    </font>
    <font>
      <sz val="11"/>
      <color rgb="FFFF0000"/>
      <name val="굴림"/>
      <family val="3"/>
      <charset val="129"/>
    </font>
    <font>
      <sz val="10"/>
      <name val="Arial"/>
      <family val="2"/>
    </font>
    <font>
      <sz val="8"/>
      <name val="돋움체"/>
      <family val="3"/>
      <charset val="129"/>
    </font>
    <font>
      <b/>
      <sz val="12"/>
      <color rgb="FFFF0000"/>
      <name val="굴림"/>
      <family val="3"/>
      <charset val="129"/>
    </font>
    <font>
      <b/>
      <sz val="12"/>
      <color rgb="FF0070C0"/>
      <name val="굴림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indexed="43"/>
        <bgColor indexed="9"/>
      </patternFill>
    </fill>
    <fill>
      <patternFill patternType="solid">
        <fgColor indexed="22"/>
        <bgColor indexed="9"/>
      </patternFill>
    </fill>
    <fill>
      <patternFill patternType="solid">
        <fgColor indexed="44"/>
        <bgColor indexed="9"/>
      </patternFill>
    </fill>
    <fill>
      <patternFill patternType="solid">
        <fgColor indexed="27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9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9"/>
      </patternFill>
    </fill>
  </fills>
  <borders count="9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Dashed">
        <color rgb="FFEE0000"/>
      </left>
      <right style="thin">
        <color indexed="64"/>
      </right>
      <top style="mediumDashed">
        <color rgb="FFEE0000"/>
      </top>
      <bottom/>
      <diagonal/>
    </border>
    <border>
      <left style="thin">
        <color indexed="64"/>
      </left>
      <right style="mediumDashed">
        <color rgb="FFEE0000"/>
      </right>
      <top style="mediumDashed">
        <color rgb="FFEE0000"/>
      </top>
      <bottom/>
      <diagonal/>
    </border>
    <border>
      <left style="mediumDashed">
        <color rgb="FFEE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Dashed">
        <color rgb="FFEE0000"/>
      </right>
      <top/>
      <bottom style="thin">
        <color indexed="64"/>
      </bottom>
      <diagonal/>
    </border>
    <border>
      <left style="mediumDashed">
        <color rgb="FFEE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Dashed">
        <color rgb="FFEE0000"/>
      </right>
      <top style="thin">
        <color indexed="64"/>
      </top>
      <bottom/>
      <diagonal/>
    </border>
    <border>
      <left style="mediumDashed">
        <color rgb="FFEE000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Dashed">
        <color rgb="FFEE0000"/>
      </right>
      <top style="hair">
        <color indexed="64"/>
      </top>
      <bottom style="hair">
        <color indexed="64"/>
      </bottom>
      <diagonal/>
    </border>
    <border>
      <left style="mediumDashed">
        <color rgb="FFEE0000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Dashed">
        <color rgb="FFEE0000"/>
      </right>
      <top style="hair">
        <color indexed="64"/>
      </top>
      <bottom/>
      <diagonal/>
    </border>
    <border>
      <left style="mediumDashed">
        <color rgb="FFEE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ed">
        <color rgb="FFEE0000"/>
      </right>
      <top style="thin">
        <color indexed="64"/>
      </top>
      <bottom style="thin">
        <color indexed="64"/>
      </bottom>
      <diagonal/>
    </border>
    <border>
      <left style="mediumDashed">
        <color rgb="FFEE0000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Dashed">
        <color rgb="FFEE0000"/>
      </right>
      <top/>
      <bottom style="hair">
        <color indexed="64"/>
      </bottom>
      <diagonal/>
    </border>
    <border>
      <left style="mediumDashed">
        <color rgb="FFEE0000"/>
      </left>
      <right style="thin">
        <color indexed="64"/>
      </right>
      <top style="thin">
        <color indexed="64"/>
      </top>
      <bottom style="mediumDashed">
        <color rgb="FFEE0000"/>
      </bottom>
      <diagonal/>
    </border>
    <border>
      <left style="thin">
        <color indexed="64"/>
      </left>
      <right style="mediumDashed">
        <color rgb="FFEE0000"/>
      </right>
      <top style="thin">
        <color indexed="64"/>
      </top>
      <bottom style="mediumDashed">
        <color rgb="FFEE0000"/>
      </bottom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9">
    <xf numFmtId="0" fontId="0" fillId="0" borderId="0"/>
    <xf numFmtId="0" fontId="6" fillId="0" borderId="0"/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41" fontId="9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46" fillId="0" borderId="0"/>
  </cellStyleXfs>
  <cellXfs count="436">
    <xf numFmtId="0" fontId="0" fillId="0" borderId="0" xfId="0"/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vertical="center"/>
    </xf>
    <xf numFmtId="176" fontId="0" fillId="0" borderId="3" xfId="0" applyNumberFormat="1" applyBorder="1" applyAlignment="1">
      <alignment vertical="center"/>
    </xf>
    <xf numFmtId="176" fontId="0" fillId="0" borderId="4" xfId="0" applyNumberFormat="1" applyBorder="1" applyAlignment="1">
      <alignment vertical="center"/>
    </xf>
    <xf numFmtId="176" fontId="0" fillId="0" borderId="6" xfId="0" applyNumberFormat="1" applyBorder="1" applyAlignment="1">
      <alignment vertical="center"/>
    </xf>
    <xf numFmtId="176" fontId="0" fillId="0" borderId="7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77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176" fontId="0" fillId="0" borderId="8" xfId="0" applyNumberFormat="1" applyBorder="1" applyAlignment="1">
      <alignment vertical="center"/>
    </xf>
    <xf numFmtId="176" fontId="0" fillId="0" borderId="11" xfId="0" applyNumberFormat="1" applyBorder="1" applyAlignment="1">
      <alignment vertical="center"/>
    </xf>
    <xf numFmtId="176" fontId="0" fillId="0" borderId="12" xfId="0" applyNumberFormat="1" applyBorder="1" applyAlignment="1">
      <alignment vertical="center"/>
    </xf>
    <xf numFmtId="176" fontId="0" fillId="0" borderId="13" xfId="0" applyNumberFormat="1" applyBorder="1" applyAlignment="1">
      <alignment vertical="center"/>
    </xf>
    <xf numFmtId="176" fontId="0" fillId="0" borderId="14" xfId="0" applyNumberFormat="1" applyBorder="1" applyAlignment="1">
      <alignment vertical="center"/>
    </xf>
    <xf numFmtId="176" fontId="0" fillId="5" borderId="15" xfId="0" applyNumberFormat="1" applyFill="1" applyBorder="1" applyAlignment="1">
      <alignment horizontal="center" vertical="center"/>
    </xf>
    <xf numFmtId="176" fontId="0" fillId="5" borderId="16" xfId="0" applyNumberFormat="1" applyFill="1" applyBorder="1" applyAlignment="1">
      <alignment horizontal="center" vertical="center"/>
    </xf>
    <xf numFmtId="176" fontId="0" fillId="5" borderId="17" xfId="0" applyNumberFormat="1" applyFill="1" applyBorder="1" applyAlignment="1">
      <alignment horizontal="center" vertical="center"/>
    </xf>
    <xf numFmtId="176" fontId="0" fillId="5" borderId="17" xfId="0" applyNumberFormat="1" applyFill="1" applyBorder="1" applyAlignment="1">
      <alignment horizontal="center" vertical="center" wrapText="1"/>
    </xf>
    <xf numFmtId="176" fontId="0" fillId="0" borderId="11" xfId="0" applyNumberFormat="1" applyBorder="1" applyAlignment="1">
      <alignment vertical="center" wrapText="1"/>
    </xf>
    <xf numFmtId="176" fontId="0" fillId="0" borderId="14" xfId="0" applyNumberFormat="1" applyBorder="1" applyAlignment="1">
      <alignment vertical="center" wrapText="1"/>
    </xf>
    <xf numFmtId="176" fontId="0" fillId="5" borderId="16" xfId="0" applyNumberFormat="1" applyFill="1" applyBorder="1" applyAlignment="1">
      <alignment horizontal="center" vertical="center" wrapText="1"/>
    </xf>
    <xf numFmtId="176" fontId="0" fillId="0" borderId="1" xfId="0" applyNumberFormat="1" applyBorder="1" applyAlignment="1">
      <alignment vertical="center" wrapText="1"/>
    </xf>
    <xf numFmtId="176" fontId="0" fillId="0" borderId="13" xfId="0" applyNumberFormat="1" applyBorder="1" applyAlignment="1">
      <alignment vertical="center" wrapText="1"/>
    </xf>
    <xf numFmtId="178" fontId="0" fillId="0" borderId="1" xfId="0" applyNumberFormat="1" applyBorder="1" applyAlignment="1">
      <alignment vertical="center"/>
    </xf>
    <xf numFmtId="178" fontId="0" fillId="0" borderId="13" xfId="0" applyNumberFormat="1" applyBorder="1" applyAlignment="1">
      <alignment vertical="center"/>
    </xf>
    <xf numFmtId="179" fontId="0" fillId="0" borderId="1" xfId="0" applyNumberFormat="1" applyBorder="1" applyAlignment="1">
      <alignment vertical="center"/>
    </xf>
    <xf numFmtId="180" fontId="0" fillId="0" borderId="1" xfId="0" applyNumberFormat="1" applyBorder="1" applyAlignment="1">
      <alignment vertical="center"/>
    </xf>
    <xf numFmtId="181" fontId="0" fillId="0" borderId="1" xfId="0" applyNumberFormat="1" applyBorder="1" applyAlignment="1">
      <alignment vertical="center"/>
    </xf>
    <xf numFmtId="176" fontId="0" fillId="5" borderId="2" xfId="0" applyNumberFormat="1" applyFill="1" applyBorder="1" applyAlignment="1">
      <alignment horizontal="center" vertical="center"/>
    </xf>
    <xf numFmtId="181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180" fontId="0" fillId="0" borderId="0" xfId="0" applyNumberFormat="1" applyAlignment="1">
      <alignment vertical="center"/>
    </xf>
    <xf numFmtId="181" fontId="0" fillId="0" borderId="3" xfId="0" applyNumberFormat="1" applyBorder="1" applyAlignment="1">
      <alignment vertical="center"/>
    </xf>
    <xf numFmtId="181" fontId="0" fillId="0" borderId="4" xfId="0" applyNumberFormat="1" applyBorder="1" applyAlignment="1">
      <alignment vertical="center"/>
    </xf>
    <xf numFmtId="181" fontId="0" fillId="0" borderId="6" xfId="0" applyNumberForma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81" fontId="0" fillId="0" borderId="5" xfId="0" applyNumberFormat="1" applyBorder="1" applyAlignment="1">
      <alignment vertical="center"/>
    </xf>
    <xf numFmtId="176" fontId="0" fillId="0" borderId="18" xfId="0" applyNumberFormat="1" applyBorder="1" applyAlignment="1">
      <alignment vertical="center"/>
    </xf>
    <xf numFmtId="0" fontId="0" fillId="0" borderId="19" xfId="0" applyBorder="1"/>
    <xf numFmtId="0" fontId="0" fillId="0" borderId="18" xfId="0" applyBorder="1" applyAlignment="1">
      <alignment vertical="center"/>
    </xf>
    <xf numFmtId="176" fontId="0" fillId="0" borderId="20" xfId="0" applyNumberFormat="1" applyBorder="1" applyAlignment="1">
      <alignment vertical="center"/>
    </xf>
    <xf numFmtId="176" fontId="0" fillId="0" borderId="21" xfId="0" applyNumberFormat="1" applyBorder="1" applyAlignment="1">
      <alignment vertical="center" wrapText="1"/>
    </xf>
    <xf numFmtId="181" fontId="0" fillId="0" borderId="21" xfId="0" applyNumberFormat="1" applyBorder="1" applyAlignment="1">
      <alignment vertical="center" wrapText="1"/>
    </xf>
    <xf numFmtId="181" fontId="0" fillId="0" borderId="22" xfId="0" applyNumberFormat="1" applyBorder="1" applyAlignment="1">
      <alignment vertical="center" wrapText="1"/>
    </xf>
    <xf numFmtId="176" fontId="0" fillId="0" borderId="23" xfId="0" applyNumberFormat="1" applyBorder="1" applyAlignment="1">
      <alignment vertical="center" wrapText="1"/>
    </xf>
    <xf numFmtId="181" fontId="0" fillId="0" borderId="24" xfId="0" applyNumberFormat="1" applyBorder="1" applyAlignment="1">
      <alignment vertical="center" wrapText="1"/>
    </xf>
    <xf numFmtId="176" fontId="0" fillId="0" borderId="22" xfId="0" applyNumberFormat="1" applyBorder="1" applyAlignment="1">
      <alignment vertical="center" wrapText="1"/>
    </xf>
    <xf numFmtId="176" fontId="0" fillId="5" borderId="13" xfId="0" applyNumberFormat="1" applyFill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 wrapText="1"/>
    </xf>
    <xf numFmtId="181" fontId="0" fillId="0" borderId="13" xfId="0" applyNumberFormat="1" applyBorder="1" applyAlignment="1">
      <alignment vertical="center"/>
    </xf>
    <xf numFmtId="176" fontId="0" fillId="0" borderId="8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 wrapText="1"/>
    </xf>
    <xf numFmtId="179" fontId="0" fillId="0" borderId="0" xfId="0" applyNumberFormat="1" applyAlignment="1">
      <alignment vertical="center"/>
    </xf>
    <xf numFmtId="179" fontId="0" fillId="0" borderId="13" xfId="0" applyNumberFormat="1" applyBorder="1" applyAlignment="1">
      <alignment vertical="center"/>
    </xf>
    <xf numFmtId="180" fontId="0" fillId="0" borderId="13" xfId="0" applyNumberFormat="1" applyBorder="1" applyAlignment="1">
      <alignment vertical="center"/>
    </xf>
    <xf numFmtId="0" fontId="10" fillId="0" borderId="0" xfId="0" applyFont="1" applyAlignment="1">
      <alignment horizontal="center" vertical="center"/>
    </xf>
    <xf numFmtId="183" fontId="10" fillId="0" borderId="0" xfId="4" applyNumberFormat="1" applyFont="1" applyAlignment="1">
      <alignment horizontal="center" vertical="center"/>
    </xf>
    <xf numFmtId="0" fontId="11" fillId="0" borderId="0" xfId="5"/>
    <xf numFmtId="176" fontId="11" fillId="0" borderId="1" xfId="5" applyNumberFormat="1" applyBorder="1" applyAlignment="1">
      <alignment horizontal="center" vertical="center"/>
    </xf>
    <xf numFmtId="176" fontId="11" fillId="0" borderId="1" xfId="5" applyNumberFormat="1" applyBorder="1" applyAlignment="1">
      <alignment vertical="center"/>
    </xf>
    <xf numFmtId="181" fontId="11" fillId="0" borderId="1" xfId="5" applyNumberFormat="1" applyBorder="1" applyAlignment="1">
      <alignment vertical="center"/>
    </xf>
    <xf numFmtId="0" fontId="11" fillId="3" borderId="1" xfId="5" applyFill="1" applyBorder="1"/>
    <xf numFmtId="176" fontId="11" fillId="0" borderId="1" xfId="5" applyNumberFormat="1" applyBorder="1" applyAlignment="1">
      <alignment horizontal="center" vertical="center" wrapText="1"/>
    </xf>
    <xf numFmtId="176" fontId="11" fillId="0" borderId="1" xfId="5" applyNumberFormat="1" applyBorder="1" applyAlignment="1">
      <alignment vertical="center" wrapText="1"/>
    </xf>
    <xf numFmtId="0" fontId="12" fillId="0" borderId="1" xfId="5" applyFont="1" applyBorder="1"/>
    <xf numFmtId="0" fontId="11" fillId="4" borderId="1" xfId="5" applyFill="1" applyBorder="1"/>
    <xf numFmtId="0" fontId="13" fillId="0" borderId="0" xfId="5" applyFont="1"/>
    <xf numFmtId="176" fontId="11" fillId="0" borderId="3" xfId="5" applyNumberFormat="1" applyBorder="1"/>
    <xf numFmtId="181" fontId="11" fillId="0" borderId="3" xfId="5" applyNumberFormat="1" applyBorder="1"/>
    <xf numFmtId="181" fontId="11" fillId="0" borderId="6" xfId="5" applyNumberFormat="1" applyBorder="1"/>
    <xf numFmtId="0" fontId="11" fillId="0" borderId="3" xfId="5" applyBorder="1"/>
    <xf numFmtId="0" fontId="14" fillId="0" borderId="1" xfId="5" applyFont="1" applyBorder="1"/>
    <xf numFmtId="177" fontId="11" fillId="2" borderId="1" xfId="5" applyNumberFormat="1" applyFill="1" applyBorder="1"/>
    <xf numFmtId="181" fontId="11" fillId="0" borderId="4" xfId="5" applyNumberFormat="1" applyBorder="1"/>
    <xf numFmtId="181" fontId="11" fillId="0" borderId="5" xfId="5" applyNumberFormat="1" applyBorder="1"/>
    <xf numFmtId="176" fontId="11" fillId="0" borderId="6" xfId="5" applyNumberFormat="1" applyBorder="1"/>
    <xf numFmtId="176" fontId="11" fillId="0" borderId="7" xfId="5" applyNumberFormat="1" applyBorder="1"/>
    <xf numFmtId="176" fontId="11" fillId="0" borderId="2" xfId="5" applyNumberFormat="1" applyBorder="1" applyAlignment="1">
      <alignment horizontal="center" vertical="center"/>
    </xf>
    <xf numFmtId="181" fontId="11" fillId="0" borderId="0" xfId="5" applyNumberFormat="1"/>
    <xf numFmtId="180" fontId="11" fillId="0" borderId="0" xfId="5" applyNumberFormat="1"/>
    <xf numFmtId="179" fontId="11" fillId="0" borderId="0" xfId="5" applyNumberFormat="1"/>
    <xf numFmtId="179" fontId="11" fillId="0" borderId="1" xfId="5" applyNumberFormat="1" applyBorder="1" applyAlignment="1">
      <alignment vertical="center"/>
    </xf>
    <xf numFmtId="180" fontId="11" fillId="0" borderId="1" xfId="5" applyNumberFormat="1" applyBorder="1" applyAlignment="1">
      <alignment vertical="center"/>
    </xf>
    <xf numFmtId="178" fontId="11" fillId="0" borderId="1" xfId="5" applyNumberFormat="1" applyBorder="1" applyAlignment="1">
      <alignment vertical="center"/>
    </xf>
    <xf numFmtId="0" fontId="11" fillId="0" borderId="1" xfId="5" applyBorder="1" applyAlignment="1">
      <alignment vertical="center"/>
    </xf>
    <xf numFmtId="0" fontId="16" fillId="0" borderId="0" xfId="1" applyFont="1" applyAlignment="1">
      <alignment horizontal="center" vertical="center"/>
    </xf>
    <xf numFmtId="0" fontId="17" fillId="0" borderId="0" xfId="1" applyFont="1" applyAlignment="1">
      <alignment horizontal="centerContinuous" vertical="center"/>
    </xf>
    <xf numFmtId="0" fontId="18" fillId="0" borderId="0" xfId="1" applyFont="1"/>
    <xf numFmtId="0" fontId="19" fillId="0" borderId="0" xfId="0" applyFont="1"/>
    <xf numFmtId="0" fontId="20" fillId="0" borderId="0" xfId="1" applyFont="1" applyAlignment="1">
      <alignment vertical="center"/>
    </xf>
    <xf numFmtId="0" fontId="18" fillId="0" borderId="0" xfId="1" applyFont="1" applyAlignment="1">
      <alignment vertical="center"/>
    </xf>
    <xf numFmtId="0" fontId="22" fillId="0" borderId="0" xfId="1" applyFont="1" applyAlignment="1">
      <alignment horizontal="centerContinuous" vertical="center"/>
    </xf>
    <xf numFmtId="0" fontId="23" fillId="0" borderId="0" xfId="1" applyFont="1" applyAlignment="1">
      <alignment vertical="center"/>
    </xf>
    <xf numFmtId="0" fontId="24" fillId="6" borderId="0" xfId="1" applyFont="1" applyFill="1" applyAlignment="1">
      <alignment vertical="center"/>
    </xf>
    <xf numFmtId="0" fontId="21" fillId="0" borderId="1" xfId="1" applyFont="1" applyBorder="1" applyAlignment="1">
      <alignment vertical="center"/>
    </xf>
    <xf numFmtId="0" fontId="21" fillId="0" borderId="51" xfId="1" applyFont="1" applyBorder="1" applyAlignment="1">
      <alignment vertical="center"/>
    </xf>
    <xf numFmtId="182" fontId="24" fillId="6" borderId="0" xfId="3" applyNumberFormat="1" applyFont="1" applyFill="1" applyBorder="1" applyAlignment="1">
      <alignment vertical="center"/>
    </xf>
    <xf numFmtId="0" fontId="18" fillId="0" borderId="0" xfId="1" applyFont="1" applyAlignment="1">
      <alignment horizontal="center"/>
    </xf>
    <xf numFmtId="41" fontId="18" fillId="0" borderId="0" xfId="2" applyFont="1" applyAlignment="1"/>
    <xf numFmtId="41" fontId="21" fillId="0" borderId="1" xfId="2" applyFont="1" applyFill="1" applyBorder="1" applyAlignment="1">
      <alignment vertical="center"/>
    </xf>
    <xf numFmtId="41" fontId="21" fillId="0" borderId="1" xfId="2" applyFont="1" applyFill="1" applyBorder="1" applyAlignment="1">
      <alignment horizontal="right" vertical="center"/>
    </xf>
    <xf numFmtId="0" fontId="25" fillId="0" borderId="39" xfId="1" applyFont="1" applyBorder="1" applyAlignment="1">
      <alignment horizontal="centerContinuous" vertical="center"/>
    </xf>
    <xf numFmtId="0" fontId="25" fillId="0" borderId="40" xfId="1" applyFont="1" applyBorder="1" applyAlignment="1">
      <alignment horizontal="centerContinuous" vertical="center"/>
    </xf>
    <xf numFmtId="0" fontId="25" fillId="0" borderId="46" xfId="1" applyFont="1" applyBorder="1" applyAlignment="1">
      <alignment horizontal="centerContinuous" vertical="center"/>
    </xf>
    <xf numFmtId="41" fontId="25" fillId="0" borderId="13" xfId="2" applyFont="1" applyFill="1" applyBorder="1" applyAlignment="1">
      <alignment vertical="center"/>
    </xf>
    <xf numFmtId="0" fontId="25" fillId="0" borderId="13" xfId="1" applyFont="1" applyBorder="1" applyAlignment="1">
      <alignment vertical="center"/>
    </xf>
    <xf numFmtId="0" fontId="25" fillId="0" borderId="52" xfId="1" applyFont="1" applyBorder="1" applyAlignment="1">
      <alignment vertical="center"/>
    </xf>
    <xf numFmtId="0" fontId="21" fillId="0" borderId="0" xfId="1" applyFont="1" applyAlignment="1">
      <alignment vertical="center"/>
    </xf>
    <xf numFmtId="0" fontId="25" fillId="0" borderId="0" xfId="1" applyFont="1" applyAlignment="1">
      <alignment vertical="center"/>
    </xf>
    <xf numFmtId="184" fontId="0" fillId="0" borderId="0" xfId="0" applyNumberFormat="1" applyAlignment="1">
      <alignment horizontal="center"/>
    </xf>
    <xf numFmtId="0" fontId="0" fillId="0" borderId="0" xfId="0" applyAlignment="1">
      <alignment shrinkToFit="1"/>
    </xf>
    <xf numFmtId="184" fontId="0" fillId="0" borderId="0" xfId="0" applyNumberFormat="1" applyAlignment="1">
      <alignment shrinkToFit="1"/>
    </xf>
    <xf numFmtId="184" fontId="0" fillId="7" borderId="0" xfId="0" applyNumberFormat="1" applyFill="1" applyAlignment="1">
      <alignment shrinkToFit="1"/>
    </xf>
    <xf numFmtId="176" fontId="11" fillId="10" borderId="1" xfId="5" applyNumberFormat="1" applyFill="1" applyBorder="1" applyAlignment="1">
      <alignment vertical="center"/>
    </xf>
    <xf numFmtId="0" fontId="11" fillId="10" borderId="0" xfId="5" applyFill="1"/>
    <xf numFmtId="181" fontId="11" fillId="10" borderId="1" xfId="5" applyNumberFormat="1" applyFill="1" applyBorder="1" applyAlignment="1">
      <alignment vertical="center"/>
    </xf>
    <xf numFmtId="176" fontId="11" fillId="10" borderId="1" xfId="5" applyNumberFormat="1" applyFill="1" applyBorder="1" applyAlignment="1">
      <alignment vertical="center" wrapText="1"/>
    </xf>
    <xf numFmtId="176" fontId="28" fillId="0" borderId="1" xfId="0" applyNumberFormat="1" applyFont="1" applyBorder="1" applyAlignment="1">
      <alignment horizontal="center" vertical="center"/>
    </xf>
    <xf numFmtId="176" fontId="28" fillId="0" borderId="1" xfId="0" applyNumberFormat="1" applyFont="1" applyBorder="1" applyAlignment="1">
      <alignment horizontal="center" vertical="center" shrinkToFit="1"/>
    </xf>
    <xf numFmtId="176" fontId="28" fillId="0" borderId="1" xfId="0" applyNumberFormat="1" applyFont="1" applyBorder="1" applyAlignment="1">
      <alignment vertical="center"/>
    </xf>
    <xf numFmtId="179" fontId="28" fillId="0" borderId="1" xfId="0" applyNumberFormat="1" applyFont="1" applyBorder="1" applyAlignment="1">
      <alignment vertical="center"/>
    </xf>
    <xf numFmtId="180" fontId="28" fillId="0" borderId="1" xfId="0" applyNumberFormat="1" applyFont="1" applyBorder="1" applyAlignment="1">
      <alignment vertical="center"/>
    </xf>
    <xf numFmtId="176" fontId="28" fillId="0" borderId="1" xfId="0" applyNumberFormat="1" applyFont="1" applyBorder="1" applyAlignment="1">
      <alignment vertical="center" shrinkToFit="1"/>
    </xf>
    <xf numFmtId="0" fontId="29" fillId="0" borderId="1" xfId="5" applyFont="1" applyBorder="1" applyAlignment="1">
      <alignment vertical="center"/>
    </xf>
    <xf numFmtId="183" fontId="29" fillId="0" borderId="1" xfId="5" applyNumberFormat="1" applyFont="1" applyBorder="1" applyAlignment="1">
      <alignment vertical="center"/>
    </xf>
    <xf numFmtId="176" fontId="29" fillId="0" borderId="1" xfId="5" applyNumberFormat="1" applyFont="1" applyBorder="1" applyAlignment="1">
      <alignment vertical="center"/>
    </xf>
    <xf numFmtId="181" fontId="29" fillId="0" borderId="1" xfId="5" applyNumberFormat="1" applyFont="1" applyBorder="1" applyAlignment="1">
      <alignment vertical="center"/>
    </xf>
    <xf numFmtId="186" fontId="29" fillId="0" borderId="1" xfId="5" applyNumberFormat="1" applyFont="1" applyBorder="1" applyAlignment="1">
      <alignment vertical="center"/>
    </xf>
    <xf numFmtId="176" fontId="11" fillId="8" borderId="1" xfId="5" applyNumberFormat="1" applyFill="1" applyBorder="1" applyAlignment="1">
      <alignment horizontal="center" vertical="center"/>
    </xf>
    <xf numFmtId="176" fontId="29" fillId="0" borderId="1" xfId="5" applyNumberFormat="1" applyFont="1" applyBorder="1" applyAlignment="1">
      <alignment horizontal="center" vertical="center"/>
    </xf>
    <xf numFmtId="0" fontId="29" fillId="0" borderId="1" xfId="5" applyFont="1" applyBorder="1" applyAlignment="1">
      <alignment horizontal="center" vertical="center"/>
    </xf>
    <xf numFmtId="0" fontId="11" fillId="0" borderId="0" xfId="5" applyAlignment="1">
      <alignment horizontal="center"/>
    </xf>
    <xf numFmtId="176" fontId="11" fillId="0" borderId="27" xfId="5" applyNumberFormat="1" applyBorder="1"/>
    <xf numFmtId="0" fontId="11" fillId="0" borderId="58" xfId="5" applyBorder="1"/>
    <xf numFmtId="0" fontId="11" fillId="0" borderId="1" xfId="5" applyBorder="1"/>
    <xf numFmtId="176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 shrinkToFit="1"/>
    </xf>
    <xf numFmtId="176" fontId="8" fillId="0" borderId="1" xfId="0" applyNumberFormat="1" applyFont="1" applyBorder="1" applyAlignment="1">
      <alignment vertical="center"/>
    </xf>
    <xf numFmtId="0" fontId="29" fillId="0" borderId="0" xfId="5" applyFont="1"/>
    <xf numFmtId="41" fontId="8" fillId="0" borderId="1" xfId="6" applyFont="1" applyBorder="1" applyAlignment="1">
      <alignment horizontal="center" vertical="center"/>
    </xf>
    <xf numFmtId="176" fontId="11" fillId="10" borderId="1" xfId="5" applyNumberFormat="1" applyFill="1" applyBorder="1" applyAlignment="1">
      <alignment horizontal="center" vertical="center"/>
    </xf>
    <xf numFmtId="0" fontId="31" fillId="0" borderId="0" xfId="5" applyFont="1"/>
    <xf numFmtId="176" fontId="31" fillId="0" borderId="1" xfId="5" applyNumberFormat="1" applyFont="1" applyBorder="1" applyAlignment="1">
      <alignment horizontal="center" vertical="center"/>
    </xf>
    <xf numFmtId="176" fontId="31" fillId="0" borderId="1" xfId="5" applyNumberFormat="1" applyFont="1" applyBorder="1" applyAlignment="1">
      <alignment vertical="center"/>
    </xf>
    <xf numFmtId="178" fontId="31" fillId="0" borderId="1" xfId="5" applyNumberFormat="1" applyFont="1" applyBorder="1" applyAlignment="1">
      <alignment vertical="center"/>
    </xf>
    <xf numFmtId="0" fontId="31" fillId="0" borderId="1" xfId="5" applyFont="1" applyBorder="1"/>
    <xf numFmtId="41" fontId="31" fillId="0" borderId="1" xfId="6" applyFont="1" applyBorder="1" applyAlignment="1"/>
    <xf numFmtId="3" fontId="31" fillId="0" borderId="1" xfId="0" applyNumberFormat="1" applyFont="1" applyBorder="1" applyAlignment="1">
      <alignment horizontal="left" vertical="center" shrinkToFit="1"/>
    </xf>
    <xf numFmtId="3" fontId="31" fillId="0" borderId="1" xfId="0" applyNumberFormat="1" applyFont="1" applyBorder="1" applyAlignment="1">
      <alignment horizontal="center" vertical="center" shrinkToFit="1"/>
    </xf>
    <xf numFmtId="41" fontId="11" fillId="0" borderId="1" xfId="5" applyNumberFormat="1" applyBorder="1"/>
    <xf numFmtId="181" fontId="27" fillId="0" borderId="3" xfId="0" applyNumberFormat="1" applyFont="1" applyBorder="1" applyAlignment="1">
      <alignment vertical="center"/>
    </xf>
    <xf numFmtId="0" fontId="27" fillId="0" borderId="0" xfId="0" applyFont="1"/>
    <xf numFmtId="176" fontId="27" fillId="0" borderId="3" xfId="0" applyNumberFormat="1" applyFont="1" applyBorder="1" applyAlignment="1">
      <alignment vertical="center"/>
    </xf>
    <xf numFmtId="181" fontId="27" fillId="0" borderId="4" xfId="0" applyNumberFormat="1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27" fillId="3" borderId="1" xfId="0" applyFont="1" applyFill="1" applyBorder="1" applyAlignment="1">
      <alignment vertical="center"/>
    </xf>
    <xf numFmtId="181" fontId="27" fillId="0" borderId="5" xfId="0" applyNumberFormat="1" applyFont="1" applyBorder="1" applyAlignment="1">
      <alignment vertical="center"/>
    </xf>
    <xf numFmtId="0" fontId="33" fillId="0" borderId="1" xfId="0" applyFont="1" applyBorder="1" applyAlignment="1">
      <alignment vertical="center"/>
    </xf>
    <xf numFmtId="0" fontId="27" fillId="4" borderId="1" xfId="0" applyFont="1" applyFill="1" applyBorder="1" applyAlignment="1">
      <alignment vertical="center"/>
    </xf>
    <xf numFmtId="41" fontId="8" fillId="0" borderId="1" xfId="6" applyFont="1" applyBorder="1" applyAlignment="1">
      <alignment vertical="center"/>
    </xf>
    <xf numFmtId="41" fontId="29" fillId="0" borderId="1" xfId="6" applyFont="1" applyBorder="1" applyAlignment="1">
      <alignment vertical="center"/>
    </xf>
    <xf numFmtId="41" fontId="8" fillId="0" borderId="1" xfId="6" applyFont="1" applyBorder="1" applyAlignment="1">
      <alignment vertical="center" shrinkToFit="1"/>
    </xf>
    <xf numFmtId="186" fontId="0" fillId="0" borderId="3" xfId="0" applyNumberFormat="1" applyBorder="1" applyAlignment="1">
      <alignment vertical="center"/>
    </xf>
    <xf numFmtId="176" fontId="0" fillId="0" borderId="27" xfId="0" applyNumberFormat="1" applyBorder="1" applyAlignment="1">
      <alignment vertical="center"/>
    </xf>
    <xf numFmtId="181" fontId="0" fillId="0" borderId="27" xfId="0" applyNumberFormat="1" applyBorder="1" applyAlignment="1">
      <alignment vertical="center"/>
    </xf>
    <xf numFmtId="176" fontId="0" fillId="0" borderId="27" xfId="0" applyNumberFormat="1" applyBorder="1" applyAlignment="1">
      <alignment vertical="center" wrapText="1"/>
    </xf>
    <xf numFmtId="181" fontId="0" fillId="0" borderId="3" xfId="0" applyNumberFormat="1" applyBorder="1" applyAlignment="1">
      <alignment vertical="center" wrapText="1"/>
    </xf>
    <xf numFmtId="181" fontId="27" fillId="0" borderId="3" xfId="0" applyNumberFormat="1" applyFont="1" applyBorder="1" applyAlignment="1">
      <alignment vertical="center" wrapText="1"/>
    </xf>
    <xf numFmtId="181" fontId="27" fillId="0" borderId="4" xfId="0" applyNumberFormat="1" applyFont="1" applyBorder="1" applyAlignment="1">
      <alignment vertical="center" wrapText="1"/>
    </xf>
    <xf numFmtId="181" fontId="27" fillId="0" borderId="5" xfId="0" applyNumberFormat="1" applyFont="1" applyBorder="1" applyAlignment="1">
      <alignment vertical="center" wrapText="1"/>
    </xf>
    <xf numFmtId="0" fontId="0" fillId="0" borderId="58" xfId="0" applyBorder="1"/>
    <xf numFmtId="176" fontId="0" fillId="0" borderId="3" xfId="0" applyNumberFormat="1" applyBorder="1" applyAlignment="1">
      <alignment vertical="center" wrapText="1"/>
    </xf>
    <xf numFmtId="176" fontId="27" fillId="0" borderId="5" xfId="0" applyNumberFormat="1" applyFont="1" applyBorder="1" applyAlignment="1">
      <alignment vertical="center"/>
    </xf>
    <xf numFmtId="176" fontId="0" fillId="0" borderId="5" xfId="0" applyNumberFormat="1" applyBorder="1" applyAlignment="1">
      <alignment vertical="center"/>
    </xf>
    <xf numFmtId="181" fontId="0" fillId="0" borderId="5" xfId="0" applyNumberFormat="1" applyBorder="1" applyAlignment="1">
      <alignment vertical="center" wrapText="1"/>
    </xf>
    <xf numFmtId="181" fontId="27" fillId="0" borderId="59" xfId="0" applyNumberFormat="1" applyFont="1" applyBorder="1" applyAlignment="1">
      <alignment vertical="center"/>
    </xf>
    <xf numFmtId="181" fontId="27" fillId="0" borderId="59" xfId="0" applyNumberFormat="1" applyFont="1" applyBorder="1" applyAlignment="1">
      <alignment vertical="center" wrapText="1"/>
    </xf>
    <xf numFmtId="176" fontId="34" fillId="9" borderId="1" xfId="0" applyNumberFormat="1" applyFont="1" applyFill="1" applyBorder="1" applyAlignment="1">
      <alignment horizontal="center" vertical="center"/>
    </xf>
    <xf numFmtId="0" fontId="34" fillId="9" borderId="1" xfId="0" applyFont="1" applyFill="1" applyBorder="1" applyAlignment="1">
      <alignment shrinkToFit="1"/>
    </xf>
    <xf numFmtId="181" fontId="34" fillId="9" borderId="1" xfId="0" applyNumberFormat="1" applyFont="1" applyFill="1" applyBorder="1" applyAlignment="1">
      <alignment vertical="center"/>
    </xf>
    <xf numFmtId="184" fontId="34" fillId="9" borderId="1" xfId="0" applyNumberFormat="1" applyFont="1" applyFill="1" applyBorder="1" applyAlignment="1">
      <alignment vertical="center"/>
    </xf>
    <xf numFmtId="184" fontId="34" fillId="9" borderId="1" xfId="0" applyNumberFormat="1" applyFont="1" applyFill="1" applyBorder="1" applyAlignment="1">
      <alignment vertical="center" shrinkToFit="1"/>
    </xf>
    <xf numFmtId="176" fontId="34" fillId="9" borderId="1" xfId="0" applyNumberFormat="1" applyFont="1" applyFill="1" applyBorder="1" applyAlignment="1">
      <alignment vertical="center" wrapText="1"/>
    </xf>
    <xf numFmtId="0" fontId="34" fillId="0" borderId="0" xfId="0" applyFont="1"/>
    <xf numFmtId="176" fontId="34" fillId="0" borderId="1" xfId="0" applyNumberFormat="1" applyFont="1" applyBorder="1" applyAlignment="1">
      <alignment vertical="center" shrinkToFit="1"/>
    </xf>
    <xf numFmtId="184" fontId="34" fillId="0" borderId="1" xfId="0" applyNumberFormat="1" applyFont="1" applyBorder="1" applyAlignment="1">
      <alignment horizontal="center" vertical="center"/>
    </xf>
    <xf numFmtId="184" fontId="34" fillId="0" borderId="1" xfId="0" applyNumberFormat="1" applyFont="1" applyBorder="1" applyAlignment="1">
      <alignment vertical="center" shrinkToFit="1"/>
    </xf>
    <xf numFmtId="176" fontId="34" fillId="0" borderId="1" xfId="0" applyNumberFormat="1" applyFont="1" applyBorder="1" applyAlignment="1">
      <alignment vertical="center" wrapText="1"/>
    </xf>
    <xf numFmtId="0" fontId="35" fillId="0" borderId="0" xfId="0" applyFont="1" applyAlignment="1">
      <alignment vertical="center"/>
    </xf>
    <xf numFmtId="184" fontId="34" fillId="0" borderId="1" xfId="0" applyNumberFormat="1" applyFont="1" applyBorder="1" applyAlignment="1">
      <alignment horizontal="center" vertical="center" shrinkToFit="1"/>
    </xf>
    <xf numFmtId="176" fontId="34" fillId="9" borderId="1" xfId="0" applyNumberFormat="1" applyFont="1" applyFill="1" applyBorder="1" applyAlignment="1">
      <alignment horizontal="left" vertical="center" shrinkToFit="1"/>
    </xf>
    <xf numFmtId="176" fontId="34" fillId="9" borderId="1" xfId="0" applyNumberFormat="1" applyFont="1" applyFill="1" applyBorder="1" applyAlignment="1">
      <alignment vertical="center" shrinkToFit="1"/>
    </xf>
    <xf numFmtId="184" fontId="34" fillId="9" borderId="1" xfId="0" applyNumberFormat="1" applyFont="1" applyFill="1" applyBorder="1" applyAlignment="1">
      <alignment horizontal="center" vertical="center"/>
    </xf>
    <xf numFmtId="184" fontId="34" fillId="9" borderId="1" xfId="0" applyNumberFormat="1" applyFont="1" applyFill="1" applyBorder="1" applyAlignment="1">
      <alignment horizontal="center" vertical="center" shrinkToFit="1"/>
    </xf>
    <xf numFmtId="176" fontId="34" fillId="0" borderId="1" xfId="0" applyNumberFormat="1" applyFont="1" applyBorder="1" applyAlignment="1">
      <alignment horizontal="left" vertical="center" shrinkToFit="1"/>
    </xf>
    <xf numFmtId="187" fontId="34" fillId="0" borderId="1" xfId="0" applyNumberFormat="1" applyFont="1" applyBorder="1" applyAlignment="1">
      <alignment vertical="center" shrinkToFit="1"/>
    </xf>
    <xf numFmtId="181" fontId="34" fillId="0" borderId="1" xfId="0" applyNumberFormat="1" applyFont="1" applyBorder="1" applyAlignment="1">
      <alignment vertical="center"/>
    </xf>
    <xf numFmtId="185" fontId="34" fillId="0" borderId="1" xfId="0" applyNumberFormat="1" applyFont="1" applyBorder="1" applyAlignment="1">
      <alignment vertical="center" shrinkToFit="1"/>
    </xf>
    <xf numFmtId="188" fontId="34" fillId="0" borderId="1" xfId="0" applyNumberFormat="1" applyFont="1" applyBorder="1" applyAlignment="1">
      <alignment vertical="center" shrinkToFit="1"/>
    </xf>
    <xf numFmtId="176" fontId="36" fillId="9" borderId="1" xfId="0" applyNumberFormat="1" applyFont="1" applyFill="1" applyBorder="1" applyAlignment="1">
      <alignment vertical="center" shrinkToFit="1"/>
    </xf>
    <xf numFmtId="0" fontId="37" fillId="0" borderId="1" xfId="0" applyFont="1" applyBorder="1" applyAlignment="1">
      <alignment vertical="center"/>
    </xf>
    <xf numFmtId="0" fontId="34" fillId="4" borderId="1" xfId="0" applyFont="1" applyFill="1" applyBorder="1" applyAlignment="1">
      <alignment vertical="center"/>
    </xf>
    <xf numFmtId="0" fontId="34" fillId="3" borderId="1" xfId="0" applyFont="1" applyFill="1" applyBorder="1" applyAlignment="1">
      <alignment vertical="center"/>
    </xf>
    <xf numFmtId="0" fontId="38" fillId="0" borderId="1" xfId="0" applyFont="1" applyBorder="1" applyAlignment="1">
      <alignment vertical="center"/>
    </xf>
    <xf numFmtId="184" fontId="36" fillId="11" borderId="1" xfId="0" applyNumberFormat="1" applyFont="1" applyFill="1" applyBorder="1" applyAlignment="1">
      <alignment horizontal="center" vertical="center" shrinkToFit="1"/>
    </xf>
    <xf numFmtId="176" fontId="34" fillId="0" borderId="1" xfId="0" applyNumberFormat="1" applyFont="1" applyBorder="1" applyAlignment="1">
      <alignment horizontal="center" vertical="center"/>
    </xf>
    <xf numFmtId="184" fontId="36" fillId="13" borderId="1" xfId="0" applyNumberFormat="1" applyFont="1" applyFill="1" applyBorder="1" applyAlignment="1">
      <alignment horizontal="center" vertical="center" shrinkToFit="1"/>
    </xf>
    <xf numFmtId="176" fontId="36" fillId="0" borderId="1" xfId="0" applyNumberFormat="1" applyFont="1" applyBorder="1" applyAlignment="1">
      <alignment vertical="center" shrinkToFit="1"/>
    </xf>
    <xf numFmtId="184" fontId="36" fillId="0" borderId="1" xfId="0" applyNumberFormat="1" applyFont="1" applyBorder="1" applyAlignment="1">
      <alignment horizontal="center" vertical="center"/>
    </xf>
    <xf numFmtId="184" fontId="36" fillId="0" borderId="1" xfId="0" applyNumberFormat="1" applyFont="1" applyBorder="1" applyAlignment="1">
      <alignment vertical="center" shrinkToFit="1"/>
    </xf>
    <xf numFmtId="176" fontId="36" fillId="0" borderId="1" xfId="0" applyNumberFormat="1" applyFont="1" applyBorder="1" applyAlignment="1">
      <alignment vertical="center" wrapText="1"/>
    </xf>
    <xf numFmtId="0" fontId="36" fillId="0" borderId="0" xfId="0" applyFont="1"/>
    <xf numFmtId="0" fontId="39" fillId="0" borderId="0" xfId="0" applyFont="1" applyAlignment="1">
      <alignment vertical="center"/>
    </xf>
    <xf numFmtId="10" fontId="34" fillId="9" borderId="1" xfId="0" applyNumberFormat="1" applyFont="1" applyFill="1" applyBorder="1" applyAlignment="1">
      <alignment vertical="center"/>
    </xf>
    <xf numFmtId="10" fontId="34" fillId="0" borderId="1" xfId="0" applyNumberFormat="1" applyFont="1" applyBorder="1" applyAlignment="1">
      <alignment vertical="center" shrinkToFit="1"/>
    </xf>
    <xf numFmtId="10" fontId="36" fillId="0" borderId="1" xfId="0" applyNumberFormat="1" applyFont="1" applyBorder="1" applyAlignment="1">
      <alignment vertical="center" shrinkToFit="1"/>
    </xf>
    <xf numFmtId="10" fontId="34" fillId="9" borderId="1" xfId="0" applyNumberFormat="1" applyFont="1" applyFill="1" applyBorder="1" applyAlignment="1">
      <alignment vertical="center" shrinkToFit="1"/>
    </xf>
    <xf numFmtId="184" fontId="40" fillId="11" borderId="1" xfId="0" applyNumberFormat="1" applyFont="1" applyFill="1" applyBorder="1" applyAlignment="1">
      <alignment horizontal="center" vertical="center" shrinkToFit="1"/>
    </xf>
    <xf numFmtId="184" fontId="40" fillId="13" borderId="1" xfId="0" applyNumberFormat="1" applyFont="1" applyFill="1" applyBorder="1" applyAlignment="1">
      <alignment horizontal="center" vertical="center" shrinkToFit="1"/>
    </xf>
    <xf numFmtId="0" fontId="41" fillId="6" borderId="57" xfId="1" applyFont="1" applyFill="1" applyBorder="1" applyAlignment="1">
      <alignment horizontal="center" vertical="center"/>
    </xf>
    <xf numFmtId="0" fontId="42" fillId="0" borderId="0" xfId="1" applyFont="1" applyAlignment="1">
      <alignment vertical="center"/>
    </xf>
    <xf numFmtId="0" fontId="42" fillId="0" borderId="0" xfId="1" applyFont="1"/>
    <xf numFmtId="0" fontId="43" fillId="0" borderId="0" xfId="0" applyFont="1"/>
    <xf numFmtId="0" fontId="41" fillId="6" borderId="28" xfId="1" applyFont="1" applyFill="1" applyBorder="1" applyAlignment="1">
      <alignment horizontal="center" vertical="center"/>
    </xf>
    <xf numFmtId="0" fontId="41" fillId="6" borderId="0" xfId="1" applyFont="1" applyFill="1" applyAlignment="1">
      <alignment horizontal="centerContinuous" vertical="center"/>
    </xf>
    <xf numFmtId="10" fontId="21" fillId="0" borderId="1" xfId="2" applyNumberFormat="1" applyFont="1" applyFill="1" applyBorder="1" applyAlignment="1">
      <alignment vertical="center"/>
    </xf>
    <xf numFmtId="10" fontId="21" fillId="0" borderId="1" xfId="2" applyNumberFormat="1" applyFont="1" applyFill="1" applyBorder="1" applyAlignment="1">
      <alignment horizontal="right" vertical="center"/>
    </xf>
    <xf numFmtId="10" fontId="25" fillId="0" borderId="13" xfId="2" applyNumberFormat="1" applyFont="1" applyFill="1" applyBorder="1" applyAlignment="1">
      <alignment vertical="center"/>
    </xf>
    <xf numFmtId="0" fontId="18" fillId="0" borderId="25" xfId="1" applyFont="1" applyBorder="1" applyAlignment="1">
      <alignment horizontal="center" vertical="center"/>
    </xf>
    <xf numFmtId="0" fontId="18" fillId="0" borderId="26" xfId="1" applyFont="1" applyBorder="1" applyAlignment="1">
      <alignment horizontal="center" vertical="center"/>
    </xf>
    <xf numFmtId="0" fontId="18" fillId="0" borderId="41" xfId="1" applyFont="1" applyBorder="1" applyAlignment="1">
      <alignment horizontal="center" vertical="center"/>
    </xf>
    <xf numFmtId="41" fontId="18" fillId="0" borderId="27" xfId="2" applyFont="1" applyFill="1" applyBorder="1" applyAlignment="1">
      <alignment horizontal="right" vertical="center"/>
    </xf>
    <xf numFmtId="10" fontId="18" fillId="0" borderId="27" xfId="2" applyNumberFormat="1" applyFont="1" applyFill="1" applyBorder="1" applyAlignment="1">
      <alignment horizontal="right" vertical="center"/>
    </xf>
    <xf numFmtId="0" fontId="18" fillId="0" borderId="3" xfId="1" applyFont="1" applyBorder="1" applyAlignment="1">
      <alignment vertical="center"/>
    </xf>
    <xf numFmtId="0" fontId="18" fillId="0" borderId="47" xfId="1" applyFont="1" applyBorder="1" applyAlignment="1">
      <alignment vertical="center"/>
    </xf>
    <xf numFmtId="184" fontId="18" fillId="6" borderId="0" xfId="1" applyNumberFormat="1" applyFont="1" applyFill="1" applyAlignment="1">
      <alignment vertical="center"/>
    </xf>
    <xf numFmtId="0" fontId="23" fillId="6" borderId="0" xfId="1" applyFont="1" applyFill="1" applyAlignment="1">
      <alignment vertical="center"/>
    </xf>
    <xf numFmtId="0" fontId="18" fillId="0" borderId="18" xfId="1" applyFont="1" applyBorder="1" applyAlignment="1">
      <alignment horizontal="center" vertical="center"/>
    </xf>
    <xf numFmtId="0" fontId="18" fillId="0" borderId="42" xfId="1" applyFont="1" applyBorder="1" applyAlignment="1">
      <alignment horizontal="center" vertical="center"/>
    </xf>
    <xf numFmtId="41" fontId="18" fillId="0" borderId="33" xfId="2" applyFont="1" applyFill="1" applyBorder="1" applyAlignment="1">
      <alignment vertical="center"/>
    </xf>
    <xf numFmtId="10" fontId="18" fillId="0" borderId="33" xfId="2" applyNumberFormat="1" applyFont="1" applyFill="1" applyBorder="1" applyAlignment="1">
      <alignment vertical="center"/>
    </xf>
    <xf numFmtId="0" fontId="18" fillId="0" borderId="33" xfId="1" applyFont="1" applyBorder="1" applyAlignment="1">
      <alignment vertical="center"/>
    </xf>
    <xf numFmtId="0" fontId="18" fillId="0" borderId="48" xfId="1" applyFont="1" applyBorder="1" applyAlignment="1">
      <alignment vertical="center"/>
    </xf>
    <xf numFmtId="0" fontId="18" fillId="0" borderId="43" xfId="1" applyFont="1" applyBorder="1" applyAlignment="1">
      <alignment horizontal="center" vertical="center"/>
    </xf>
    <xf numFmtId="41" fontId="18" fillId="0" borderId="34" xfId="2" applyFont="1" applyFill="1" applyBorder="1" applyAlignment="1">
      <alignment vertical="center"/>
    </xf>
    <xf numFmtId="10" fontId="18" fillId="0" borderId="34" xfId="2" applyNumberFormat="1" applyFont="1" applyFill="1" applyBorder="1" applyAlignment="1">
      <alignment vertical="center"/>
    </xf>
    <xf numFmtId="0" fontId="18" fillId="0" borderId="34" xfId="1" applyFont="1" applyBorder="1" applyAlignment="1">
      <alignment vertical="center"/>
    </xf>
    <xf numFmtId="0" fontId="18" fillId="0" borderId="49" xfId="1" applyFont="1" applyBorder="1" applyAlignment="1">
      <alignment vertical="center"/>
    </xf>
    <xf numFmtId="0" fontId="18" fillId="0" borderId="31" xfId="1" applyFont="1" applyBorder="1" applyAlignment="1">
      <alignment horizontal="center" vertical="center"/>
    </xf>
    <xf numFmtId="41" fontId="42" fillId="0" borderId="1" xfId="2" applyFont="1" applyFill="1" applyBorder="1" applyAlignment="1">
      <alignment vertical="center"/>
    </xf>
    <xf numFmtId="10" fontId="42" fillId="0" borderId="1" xfId="2" applyNumberFormat="1" applyFont="1" applyFill="1" applyBorder="1" applyAlignment="1">
      <alignment vertical="center"/>
    </xf>
    <xf numFmtId="0" fontId="18" fillId="0" borderId="1" xfId="1" applyFont="1" applyBorder="1" applyAlignment="1">
      <alignment vertical="center"/>
    </xf>
    <xf numFmtId="0" fontId="18" fillId="0" borderId="51" xfId="1" applyFont="1" applyBorder="1" applyAlignment="1">
      <alignment vertical="center"/>
    </xf>
    <xf numFmtId="0" fontId="18" fillId="0" borderId="27" xfId="1" applyFont="1" applyBorder="1" applyAlignment="1">
      <alignment horizontal="center" vertical="center"/>
    </xf>
    <xf numFmtId="0" fontId="18" fillId="0" borderId="44" xfId="1" applyFont="1" applyBorder="1" applyAlignment="1">
      <alignment horizontal="center" vertical="center"/>
    </xf>
    <xf numFmtId="41" fontId="18" fillId="0" borderId="35" xfId="2" applyFont="1" applyFill="1" applyBorder="1" applyAlignment="1">
      <alignment horizontal="right" vertical="center"/>
    </xf>
    <xf numFmtId="10" fontId="18" fillId="0" borderId="35" xfId="2" applyNumberFormat="1" applyFont="1" applyFill="1" applyBorder="1" applyAlignment="1">
      <alignment horizontal="right" vertical="center"/>
    </xf>
    <xf numFmtId="0" fontId="18" fillId="0" borderId="35" xfId="1" applyFont="1" applyBorder="1" applyAlignment="1">
      <alignment vertical="center"/>
    </xf>
    <xf numFmtId="0" fontId="18" fillId="0" borderId="50" xfId="1" applyFont="1" applyBorder="1" applyAlignment="1">
      <alignment vertical="center"/>
    </xf>
    <xf numFmtId="184" fontId="18" fillId="6" borderId="26" xfId="1" applyNumberFormat="1" applyFont="1" applyFill="1" applyBorder="1" applyAlignment="1">
      <alignment vertical="center"/>
    </xf>
    <xf numFmtId="0" fontId="18" fillId="0" borderId="3" xfId="1" applyFont="1" applyBorder="1" applyAlignment="1">
      <alignment horizontal="center" vertical="center"/>
    </xf>
    <xf numFmtId="182" fontId="23" fillId="6" borderId="0" xfId="3" applyNumberFormat="1" applyFont="1" applyFill="1" applyBorder="1" applyAlignment="1">
      <alignment vertical="center"/>
    </xf>
    <xf numFmtId="184" fontId="18" fillId="6" borderId="28" xfId="1" applyNumberFormat="1" applyFont="1" applyFill="1" applyBorder="1" applyAlignment="1">
      <alignment vertical="center"/>
    </xf>
    <xf numFmtId="0" fontId="18" fillId="0" borderId="19" xfId="1" applyFont="1" applyBorder="1" applyAlignment="1">
      <alignment horizontal="center" vertical="center"/>
    </xf>
    <xf numFmtId="41" fontId="18" fillId="0" borderId="35" xfId="2" applyFont="1" applyFill="1" applyBorder="1" applyAlignment="1">
      <alignment vertical="center"/>
    </xf>
    <xf numFmtId="10" fontId="18" fillId="0" borderId="35" xfId="2" applyNumberFormat="1" applyFont="1" applyFill="1" applyBorder="1" applyAlignment="1">
      <alignment vertical="center"/>
    </xf>
    <xf numFmtId="41" fontId="18" fillId="0" borderId="33" xfId="2" applyFont="1" applyFill="1" applyBorder="1" applyAlignment="1">
      <alignment horizontal="right" vertical="center"/>
    </xf>
    <xf numFmtId="10" fontId="18" fillId="0" borderId="33" xfId="2" applyNumberFormat="1" applyFont="1" applyFill="1" applyBorder="1" applyAlignment="1">
      <alignment horizontal="right" vertical="center"/>
    </xf>
    <xf numFmtId="0" fontId="18" fillId="0" borderId="29" xfId="1" applyFont="1" applyBorder="1" applyAlignment="1">
      <alignment horizontal="center" vertical="center"/>
    </xf>
    <xf numFmtId="0" fontId="18" fillId="0" borderId="5" xfId="1" applyFont="1" applyBorder="1" applyAlignment="1">
      <alignment horizontal="center" vertical="center"/>
    </xf>
    <xf numFmtId="0" fontId="18" fillId="0" borderId="36" xfId="1" applyFont="1" applyBorder="1" applyAlignment="1">
      <alignment horizontal="centerContinuous" vertical="center"/>
    </xf>
    <xf numFmtId="0" fontId="18" fillId="0" borderId="37" xfId="1" applyFont="1" applyBorder="1" applyAlignment="1">
      <alignment horizontal="centerContinuous" vertical="center"/>
    </xf>
    <xf numFmtId="0" fontId="18" fillId="0" borderId="45" xfId="1" applyFont="1" applyBorder="1" applyAlignment="1">
      <alignment horizontal="centerContinuous" vertical="center"/>
    </xf>
    <xf numFmtId="41" fontId="18" fillId="0" borderId="1" xfId="2" applyFont="1" applyFill="1" applyBorder="1" applyAlignment="1">
      <alignment vertical="center"/>
    </xf>
    <xf numFmtId="10" fontId="18" fillId="0" borderId="1" xfId="2" applyNumberFormat="1" applyFont="1" applyFill="1" applyBorder="1" applyAlignment="1">
      <alignment vertical="center"/>
    </xf>
    <xf numFmtId="10" fontId="18" fillId="0" borderId="41" xfId="2" applyNumberFormat="1" applyFont="1" applyFill="1" applyBorder="1" applyAlignment="1">
      <alignment horizontal="right" vertical="center"/>
    </xf>
    <xf numFmtId="10" fontId="18" fillId="0" borderId="42" xfId="2" applyNumberFormat="1" applyFont="1" applyFill="1" applyBorder="1" applyAlignment="1">
      <alignment vertical="center"/>
    </xf>
    <xf numFmtId="10" fontId="18" fillId="0" borderId="43" xfId="2" applyNumberFormat="1" applyFont="1" applyFill="1" applyBorder="1" applyAlignment="1">
      <alignment vertical="center"/>
    </xf>
    <xf numFmtId="10" fontId="42" fillId="0" borderId="31" xfId="2" applyNumberFormat="1" applyFont="1" applyFill="1" applyBorder="1" applyAlignment="1">
      <alignment vertical="center"/>
    </xf>
    <xf numFmtId="10" fontId="18" fillId="0" borderId="44" xfId="2" applyNumberFormat="1" applyFont="1" applyFill="1" applyBorder="1" applyAlignment="1">
      <alignment horizontal="right" vertical="center"/>
    </xf>
    <xf numFmtId="10" fontId="18" fillId="0" borderId="44" xfId="2" applyNumberFormat="1" applyFont="1" applyFill="1" applyBorder="1" applyAlignment="1">
      <alignment vertical="center"/>
    </xf>
    <xf numFmtId="10" fontId="18" fillId="0" borderId="42" xfId="2" applyNumberFormat="1" applyFont="1" applyFill="1" applyBorder="1" applyAlignment="1">
      <alignment horizontal="right" vertical="center"/>
    </xf>
    <xf numFmtId="10" fontId="18" fillId="0" borderId="31" xfId="2" applyNumberFormat="1" applyFont="1" applyFill="1" applyBorder="1" applyAlignment="1">
      <alignment vertical="center"/>
    </xf>
    <xf numFmtId="41" fontId="18" fillId="0" borderId="64" xfId="2" applyFont="1" applyFill="1" applyBorder="1" applyAlignment="1">
      <alignment horizontal="right" vertical="center"/>
    </xf>
    <xf numFmtId="41" fontId="18" fillId="0" borderId="65" xfId="2" applyFont="1" applyFill="1" applyBorder="1" applyAlignment="1">
      <alignment vertical="center"/>
    </xf>
    <xf numFmtId="41" fontId="18" fillId="0" borderId="66" xfId="2" applyFont="1" applyFill="1" applyBorder="1" applyAlignment="1">
      <alignment vertical="center"/>
    </xf>
    <xf numFmtId="41" fontId="42" fillId="0" borderId="32" xfId="2" applyFont="1" applyFill="1" applyBorder="1" applyAlignment="1">
      <alignment vertical="center"/>
    </xf>
    <xf numFmtId="41" fontId="18" fillId="0" borderId="67" xfId="2" applyFont="1" applyFill="1" applyBorder="1" applyAlignment="1">
      <alignment horizontal="right" vertical="center"/>
    </xf>
    <xf numFmtId="41" fontId="18" fillId="0" borderId="67" xfId="2" applyFont="1" applyFill="1" applyBorder="1" applyAlignment="1">
      <alignment vertical="center"/>
    </xf>
    <xf numFmtId="41" fontId="18" fillId="0" borderId="65" xfId="2" applyFont="1" applyFill="1" applyBorder="1" applyAlignment="1">
      <alignment horizontal="right" vertical="center"/>
    </xf>
    <xf numFmtId="41" fontId="18" fillId="0" borderId="32" xfId="2" applyFont="1" applyFill="1" applyBorder="1" applyAlignment="1">
      <alignment vertical="center"/>
    </xf>
    <xf numFmtId="41" fontId="25" fillId="0" borderId="5" xfId="2" applyFont="1" applyFill="1" applyBorder="1" applyAlignment="1">
      <alignment vertical="center"/>
    </xf>
    <xf numFmtId="41" fontId="18" fillId="0" borderId="72" xfId="2" applyFont="1" applyFill="1" applyBorder="1" applyAlignment="1">
      <alignment horizontal="right" vertical="center"/>
    </xf>
    <xf numFmtId="10" fontId="18" fillId="0" borderId="73" xfId="2" applyNumberFormat="1" applyFont="1" applyFill="1" applyBorder="1" applyAlignment="1">
      <alignment horizontal="right" vertical="center"/>
    </xf>
    <xf numFmtId="41" fontId="18" fillId="0" borderId="74" xfId="2" applyFont="1" applyFill="1" applyBorder="1" applyAlignment="1">
      <alignment vertical="center"/>
    </xf>
    <xf numFmtId="10" fontId="18" fillId="0" borderId="75" xfId="2" applyNumberFormat="1" applyFont="1" applyFill="1" applyBorder="1" applyAlignment="1">
      <alignment vertical="center"/>
    </xf>
    <xf numFmtId="41" fontId="18" fillId="0" borderId="76" xfId="2" applyFont="1" applyFill="1" applyBorder="1" applyAlignment="1">
      <alignment vertical="center"/>
    </xf>
    <xf numFmtId="10" fontId="18" fillId="0" borderId="77" xfId="2" applyNumberFormat="1" applyFont="1" applyFill="1" applyBorder="1" applyAlignment="1">
      <alignment vertical="center"/>
    </xf>
    <xf numFmtId="41" fontId="42" fillId="0" borderId="78" xfId="2" applyFont="1" applyFill="1" applyBorder="1" applyAlignment="1">
      <alignment vertical="center"/>
    </xf>
    <xf numFmtId="10" fontId="42" fillId="0" borderId="79" xfId="2" applyNumberFormat="1" applyFont="1" applyFill="1" applyBorder="1" applyAlignment="1">
      <alignment vertical="center"/>
    </xf>
    <xf numFmtId="41" fontId="18" fillId="0" borderId="80" xfId="2" applyFont="1" applyFill="1" applyBorder="1" applyAlignment="1">
      <alignment horizontal="right" vertical="center"/>
    </xf>
    <xf numFmtId="10" fontId="18" fillId="0" borderId="81" xfId="2" applyNumberFormat="1" applyFont="1" applyFill="1" applyBorder="1" applyAlignment="1">
      <alignment horizontal="right" vertical="center"/>
    </xf>
    <xf numFmtId="41" fontId="18" fillId="0" borderId="80" xfId="2" applyFont="1" applyFill="1" applyBorder="1" applyAlignment="1">
      <alignment vertical="center"/>
    </xf>
    <xf numFmtId="10" fontId="18" fillId="0" borderId="81" xfId="2" applyNumberFormat="1" applyFont="1" applyFill="1" applyBorder="1" applyAlignment="1">
      <alignment vertical="center"/>
    </xf>
    <xf numFmtId="41" fontId="18" fillId="0" borderId="74" xfId="2" applyFont="1" applyFill="1" applyBorder="1" applyAlignment="1">
      <alignment horizontal="right" vertical="center"/>
    </xf>
    <xf numFmtId="10" fontId="18" fillId="0" borderId="75" xfId="2" applyNumberFormat="1" applyFont="1" applyFill="1" applyBorder="1" applyAlignment="1">
      <alignment horizontal="right" vertical="center"/>
    </xf>
    <xf numFmtId="41" fontId="18" fillId="0" borderId="78" xfId="2" applyFont="1" applyFill="1" applyBorder="1" applyAlignment="1">
      <alignment vertical="center"/>
    </xf>
    <xf numFmtId="10" fontId="18" fillId="0" borderId="79" xfId="2" applyNumberFormat="1" applyFont="1" applyFill="1" applyBorder="1" applyAlignment="1">
      <alignment vertical="center"/>
    </xf>
    <xf numFmtId="41" fontId="42" fillId="0" borderId="82" xfId="2" applyFont="1" applyFill="1" applyBorder="1" applyAlignment="1">
      <alignment vertical="center"/>
    </xf>
    <xf numFmtId="10" fontId="42" fillId="0" borderId="83" xfId="2" applyNumberFormat="1" applyFont="1" applyFill="1" applyBorder="1" applyAlignment="1">
      <alignment vertical="center"/>
    </xf>
    <xf numFmtId="0" fontId="21" fillId="0" borderId="84" xfId="1" applyFont="1" applyBorder="1" applyAlignment="1">
      <alignment horizontal="centerContinuous" vertical="center"/>
    </xf>
    <xf numFmtId="0" fontId="21" fillId="0" borderId="85" xfId="1" applyFont="1" applyBorder="1" applyAlignment="1">
      <alignment horizontal="centerContinuous" vertical="center"/>
    </xf>
    <xf numFmtId="0" fontId="21" fillId="0" borderId="86" xfId="1" applyFont="1" applyBorder="1" applyAlignment="1">
      <alignment horizontal="centerContinuous" vertical="center"/>
    </xf>
    <xf numFmtId="10" fontId="25" fillId="0" borderId="5" xfId="2" applyNumberFormat="1" applyFont="1" applyFill="1" applyBorder="1" applyAlignment="1">
      <alignment vertical="center"/>
    </xf>
    <xf numFmtId="0" fontId="21" fillId="0" borderId="5" xfId="1" applyFont="1" applyBorder="1" applyAlignment="1">
      <alignment vertical="center"/>
    </xf>
    <xf numFmtId="0" fontId="21" fillId="0" borderId="56" xfId="1" applyFont="1" applyBorder="1" applyAlignment="1">
      <alignment vertical="center"/>
    </xf>
    <xf numFmtId="0" fontId="18" fillId="0" borderId="0" xfId="1" applyFont="1" applyAlignment="1">
      <alignment horizontal="center" vertical="center"/>
    </xf>
    <xf numFmtId="0" fontId="42" fillId="0" borderId="39" xfId="1" applyFont="1" applyBorder="1" applyAlignment="1">
      <alignment horizontal="centerContinuous" vertical="center"/>
    </xf>
    <xf numFmtId="0" fontId="42" fillId="0" borderId="40" xfId="1" applyFont="1" applyBorder="1" applyAlignment="1">
      <alignment horizontal="centerContinuous" vertical="center"/>
    </xf>
    <xf numFmtId="0" fontId="42" fillId="0" borderId="46" xfId="1" applyFont="1" applyBorder="1" applyAlignment="1">
      <alignment horizontal="centerContinuous" vertical="center"/>
    </xf>
    <xf numFmtId="41" fontId="42" fillId="0" borderId="13" xfId="2" applyFont="1" applyFill="1" applyBorder="1" applyAlignment="1">
      <alignment vertical="center"/>
    </xf>
    <xf numFmtId="10" fontId="42" fillId="0" borderId="87" xfId="2" applyNumberFormat="1" applyFont="1" applyFill="1" applyBorder="1" applyAlignment="1">
      <alignment vertical="center"/>
    </xf>
    <xf numFmtId="41" fontId="42" fillId="0" borderId="88" xfId="2" applyFont="1" applyFill="1" applyBorder="1" applyAlignment="1">
      <alignment vertical="center"/>
    </xf>
    <xf numFmtId="10" fontId="42" fillId="0" borderId="13" xfId="2" applyNumberFormat="1" applyFont="1" applyFill="1" applyBorder="1" applyAlignment="1">
      <alignment vertical="center"/>
    </xf>
    <xf numFmtId="0" fontId="42" fillId="0" borderId="13" xfId="1" applyFont="1" applyBorder="1" applyAlignment="1">
      <alignment vertical="center"/>
    </xf>
    <xf numFmtId="0" fontId="42" fillId="0" borderId="52" xfId="1" applyFont="1" applyBorder="1" applyAlignment="1">
      <alignment vertical="center"/>
    </xf>
    <xf numFmtId="0" fontId="18" fillId="0" borderId="89" xfId="7" applyFont="1" applyBorder="1">
      <alignment vertical="center"/>
    </xf>
    <xf numFmtId="0" fontId="18" fillId="0" borderId="57" xfId="7" applyFont="1" applyBorder="1">
      <alignment vertical="center"/>
    </xf>
    <xf numFmtId="0" fontId="18" fillId="0" borderId="55" xfId="7" applyFont="1" applyBorder="1">
      <alignment vertical="center"/>
    </xf>
    <xf numFmtId="0" fontId="18" fillId="0" borderId="0" xfId="7" applyFont="1">
      <alignment vertical="center"/>
    </xf>
    <xf numFmtId="0" fontId="18" fillId="0" borderId="19" xfId="7" applyFont="1" applyBorder="1">
      <alignment vertical="center"/>
    </xf>
    <xf numFmtId="0" fontId="18" fillId="0" borderId="90" xfId="7" applyFont="1" applyBorder="1">
      <alignment vertical="center"/>
    </xf>
    <xf numFmtId="0" fontId="44" fillId="0" borderId="19" xfId="7" applyFont="1" applyBorder="1" applyAlignment="1">
      <alignment horizontal="center" vertical="center"/>
    </xf>
    <xf numFmtId="0" fontId="44" fillId="0" borderId="0" xfId="7" applyFont="1" applyAlignment="1">
      <alignment horizontal="center" vertical="center"/>
    </xf>
    <xf numFmtId="0" fontId="44" fillId="0" borderId="90" xfId="7" applyFont="1" applyBorder="1" applyAlignment="1">
      <alignment horizontal="center" vertical="center"/>
    </xf>
    <xf numFmtId="0" fontId="45" fillId="0" borderId="19" xfId="7" applyFont="1" applyBorder="1">
      <alignment vertical="center"/>
    </xf>
    <xf numFmtId="0" fontId="41" fillId="0" borderId="0" xfId="8" applyFont="1" applyAlignment="1">
      <alignment horizontal="distributed" vertical="center"/>
    </xf>
    <xf numFmtId="0" fontId="41" fillId="0" borderId="0" xfId="8" applyFont="1" applyAlignment="1">
      <alignment horizontal="left" vertical="center"/>
    </xf>
    <xf numFmtId="0" fontId="41" fillId="0" borderId="0" xfId="8" applyFont="1" applyAlignment="1">
      <alignment horizontal="right" vertical="center"/>
    </xf>
    <xf numFmtId="189" fontId="41" fillId="0" borderId="0" xfId="8" applyNumberFormat="1" applyFont="1" applyAlignment="1">
      <alignment horizontal="right" vertical="center" shrinkToFit="1"/>
    </xf>
    <xf numFmtId="42" fontId="41" fillId="0" borderId="0" xfId="8" applyNumberFormat="1" applyFont="1" applyAlignment="1">
      <alignment horizontal="center" vertical="center"/>
    </xf>
    <xf numFmtId="0" fontId="41" fillId="0" borderId="90" xfId="8" applyFont="1" applyBorder="1" applyAlignment="1">
      <alignment horizontal="left" vertical="center"/>
    </xf>
    <xf numFmtId="0" fontId="48" fillId="0" borderId="0" xfId="7" applyFont="1" applyAlignment="1">
      <alignment horizontal="left" vertical="center"/>
    </xf>
    <xf numFmtId="0" fontId="45" fillId="0" borderId="0" xfId="7" applyFont="1">
      <alignment vertical="center"/>
    </xf>
    <xf numFmtId="0" fontId="49" fillId="0" borderId="0" xfId="7" applyFont="1" applyAlignment="1">
      <alignment horizontal="distributed" vertical="distributed"/>
    </xf>
    <xf numFmtId="0" fontId="49" fillId="0" borderId="0" xfId="7" applyFont="1" applyAlignment="1">
      <alignment horizontal="left" vertical="center"/>
    </xf>
    <xf numFmtId="0" fontId="49" fillId="0" borderId="0" xfId="7" applyFont="1" applyAlignment="1">
      <alignment horizontal="right" vertical="center"/>
    </xf>
    <xf numFmtId="189" fontId="49" fillId="0" borderId="0" xfId="7" applyNumberFormat="1" applyFont="1" applyAlignment="1">
      <alignment horizontal="right" vertical="center" shrinkToFit="1"/>
    </xf>
    <xf numFmtId="42" fontId="49" fillId="0" borderId="0" xfId="7" applyNumberFormat="1" applyFont="1" applyAlignment="1">
      <alignment horizontal="center" vertical="center"/>
    </xf>
    <xf numFmtId="0" fontId="49" fillId="0" borderId="90" xfId="7" applyFont="1" applyBorder="1" applyAlignment="1">
      <alignment horizontal="left" vertical="center"/>
    </xf>
    <xf numFmtId="0" fontId="23" fillId="0" borderId="19" xfId="7" applyFont="1" applyBorder="1">
      <alignment vertical="center"/>
    </xf>
    <xf numFmtId="0" fontId="48" fillId="0" borderId="0" xfId="7" applyFont="1" applyAlignment="1">
      <alignment horizontal="distributed" vertical="distributed"/>
    </xf>
    <xf numFmtId="0" fontId="48" fillId="0" borderId="0" xfId="7" applyFont="1" applyAlignment="1">
      <alignment horizontal="right" vertical="center"/>
    </xf>
    <xf numFmtId="189" fontId="48" fillId="0" borderId="0" xfId="7" applyNumberFormat="1" applyFont="1" applyAlignment="1">
      <alignment horizontal="right" vertical="center" shrinkToFit="1"/>
    </xf>
    <xf numFmtId="42" fontId="48" fillId="0" borderId="0" xfId="7" applyNumberFormat="1" applyFont="1" applyAlignment="1">
      <alignment horizontal="center" vertical="center"/>
    </xf>
    <xf numFmtId="0" fontId="48" fillId="0" borderId="90" xfId="7" applyFont="1" applyBorder="1" applyAlignment="1">
      <alignment horizontal="left" vertical="center"/>
    </xf>
    <xf numFmtId="0" fontId="23" fillId="0" borderId="0" xfId="7" applyFont="1">
      <alignment vertical="center"/>
    </xf>
    <xf numFmtId="0" fontId="42" fillId="0" borderId="0" xfId="7" applyFont="1">
      <alignment vertical="center"/>
    </xf>
    <xf numFmtId="0" fontId="42" fillId="0" borderId="90" xfId="7" applyFont="1" applyBorder="1">
      <alignment vertical="center"/>
    </xf>
    <xf numFmtId="0" fontId="18" fillId="0" borderId="91" xfId="7" applyFont="1" applyBorder="1">
      <alignment vertical="center"/>
    </xf>
    <xf numFmtId="0" fontId="18" fillId="0" borderId="92" xfId="7" applyFont="1" applyBorder="1">
      <alignment vertical="center"/>
    </xf>
    <xf numFmtId="189" fontId="18" fillId="0" borderId="0" xfId="7" applyNumberFormat="1" applyFont="1">
      <alignment vertical="center"/>
    </xf>
    <xf numFmtId="0" fontId="41" fillId="0" borderId="92" xfId="7" applyFont="1" applyBorder="1" applyAlignment="1">
      <alignment horizontal="left" vertical="center"/>
    </xf>
    <xf numFmtId="0" fontId="41" fillId="0" borderId="93" xfId="7" applyFont="1" applyBorder="1" applyAlignment="1">
      <alignment horizontal="left" vertical="center"/>
    </xf>
    <xf numFmtId="0" fontId="44" fillId="0" borderId="19" xfId="7" applyFont="1" applyBorder="1" applyAlignment="1">
      <alignment horizontal="center" vertical="center"/>
    </xf>
    <xf numFmtId="0" fontId="44" fillId="0" borderId="0" xfId="7" applyFont="1" applyAlignment="1">
      <alignment horizontal="center" vertical="center"/>
    </xf>
    <xf numFmtId="0" fontId="44" fillId="0" borderId="90" xfId="7" applyFont="1" applyBorder="1" applyAlignment="1">
      <alignment horizontal="center" vertical="center"/>
    </xf>
    <xf numFmtId="0" fontId="41" fillId="0" borderId="0" xfId="8" applyFont="1" applyAlignment="1">
      <alignment vertical="center"/>
    </xf>
    <xf numFmtId="0" fontId="49" fillId="0" borderId="0" xfId="7" applyFont="1">
      <alignment vertical="center"/>
    </xf>
    <xf numFmtId="0" fontId="48" fillId="0" borderId="0" xfId="7" applyFont="1">
      <alignment vertical="center"/>
    </xf>
    <xf numFmtId="0" fontId="21" fillId="0" borderId="38" xfId="1" applyFont="1" applyBorder="1" applyAlignment="1">
      <alignment horizontal="center" vertical="center"/>
    </xf>
    <xf numFmtId="0" fontId="21" fillId="0" borderId="2" xfId="1" applyFont="1" applyBorder="1" applyAlignment="1">
      <alignment horizontal="center" vertical="center"/>
    </xf>
    <xf numFmtId="0" fontId="41" fillId="12" borderId="30" xfId="1" applyFont="1" applyFill="1" applyBorder="1" applyAlignment="1">
      <alignment horizontal="center" vertical="center"/>
    </xf>
    <xf numFmtId="0" fontId="41" fillId="12" borderId="9" xfId="1" applyFont="1" applyFill="1" applyBorder="1" applyAlignment="1">
      <alignment horizontal="center" vertical="center"/>
    </xf>
    <xf numFmtId="0" fontId="41" fillId="12" borderId="53" xfId="1" applyFont="1" applyFill="1" applyBorder="1" applyAlignment="1">
      <alignment horizontal="center" vertical="center"/>
    </xf>
    <xf numFmtId="0" fontId="41" fillId="12" borderId="8" xfId="1" applyFont="1" applyFill="1" applyBorder="1" applyAlignment="1">
      <alignment horizontal="center" vertical="center"/>
    </xf>
    <xf numFmtId="0" fontId="41" fillId="12" borderId="1" xfId="1" applyFont="1" applyFill="1" applyBorder="1" applyAlignment="1">
      <alignment horizontal="center" vertical="center"/>
    </xf>
    <xf numFmtId="0" fontId="41" fillId="12" borderId="31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42" fillId="12" borderId="54" xfId="1" applyFont="1" applyFill="1" applyBorder="1" applyAlignment="1">
      <alignment horizontal="center" vertical="center"/>
    </xf>
    <xf numFmtId="0" fontId="42" fillId="12" borderId="5" xfId="1" applyFont="1" applyFill="1" applyBorder="1" applyAlignment="1">
      <alignment horizontal="center" vertical="center"/>
    </xf>
    <xf numFmtId="0" fontId="40" fillId="12" borderId="68" xfId="1" applyFont="1" applyFill="1" applyBorder="1" applyAlignment="1">
      <alignment horizontal="center" vertical="center"/>
    </xf>
    <xf numFmtId="0" fontId="40" fillId="12" borderId="70" xfId="1" applyFont="1" applyFill="1" applyBorder="1" applyAlignment="1">
      <alignment horizontal="center" vertical="center"/>
    </xf>
    <xf numFmtId="0" fontId="41" fillId="12" borderId="54" xfId="1" applyFont="1" applyFill="1" applyBorder="1" applyAlignment="1">
      <alignment horizontal="center" vertical="center"/>
    </xf>
    <xf numFmtId="0" fontId="41" fillId="12" borderId="5" xfId="1" applyFont="1" applyFill="1" applyBorder="1" applyAlignment="1">
      <alignment horizontal="center" vertical="center"/>
    </xf>
    <xf numFmtId="0" fontId="41" fillId="12" borderId="55" xfId="1" applyFont="1" applyFill="1" applyBorder="1" applyAlignment="1">
      <alignment horizontal="center" vertical="center"/>
    </xf>
    <xf numFmtId="0" fontId="41" fillId="12" borderId="56" xfId="1" applyFont="1" applyFill="1" applyBorder="1" applyAlignment="1">
      <alignment horizontal="center" vertical="center"/>
    </xf>
    <xf numFmtId="0" fontId="42" fillId="12" borderId="60" xfId="1" applyFont="1" applyFill="1" applyBorder="1" applyAlignment="1">
      <alignment horizontal="center" vertical="center"/>
    </xf>
    <xf numFmtId="0" fontId="42" fillId="12" borderId="61" xfId="1" applyFont="1" applyFill="1" applyBorder="1" applyAlignment="1">
      <alignment horizontal="center" vertical="center"/>
    </xf>
    <xf numFmtId="0" fontId="40" fillId="12" borderId="69" xfId="1" applyFont="1" applyFill="1" applyBorder="1" applyAlignment="1">
      <alignment horizontal="center" vertical="center"/>
    </xf>
    <xf numFmtId="0" fontId="40" fillId="12" borderId="71" xfId="1" applyFont="1" applyFill="1" applyBorder="1" applyAlignment="1">
      <alignment horizontal="center" vertical="center"/>
    </xf>
    <xf numFmtId="0" fontId="42" fillId="12" borderId="62" xfId="1" applyFont="1" applyFill="1" applyBorder="1" applyAlignment="1">
      <alignment horizontal="center" vertical="center"/>
    </xf>
    <xf numFmtId="0" fontId="42" fillId="12" borderId="63" xfId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76" fontId="34" fillId="9" borderId="1" xfId="0" applyNumberFormat="1" applyFont="1" applyFill="1" applyBorder="1" applyAlignment="1">
      <alignment vertical="center"/>
    </xf>
    <xf numFmtId="176" fontId="36" fillId="11" borderId="1" xfId="0" applyNumberFormat="1" applyFont="1" applyFill="1" applyBorder="1" applyAlignment="1">
      <alignment horizontal="center" vertical="center" wrapText="1"/>
    </xf>
    <xf numFmtId="184" fontId="36" fillId="11" borderId="1" xfId="0" applyNumberFormat="1" applyFont="1" applyFill="1" applyBorder="1" applyAlignment="1">
      <alignment horizontal="center" vertical="center" shrinkToFit="1"/>
    </xf>
    <xf numFmtId="184" fontId="36" fillId="11" borderId="1" xfId="0" applyNumberFormat="1" applyFont="1" applyFill="1" applyBorder="1" applyAlignment="1">
      <alignment horizontal="center" vertical="center"/>
    </xf>
    <xf numFmtId="184" fontId="40" fillId="11" borderId="31" xfId="0" applyNumberFormat="1" applyFont="1" applyFill="1" applyBorder="1" applyAlignment="1">
      <alignment horizontal="center" vertical="center"/>
    </xf>
    <xf numFmtId="184" fontId="40" fillId="11" borderId="2" xfId="0" applyNumberFormat="1" applyFont="1" applyFill="1" applyBorder="1" applyAlignment="1">
      <alignment horizontal="center" vertical="center"/>
    </xf>
    <xf numFmtId="184" fontId="40" fillId="11" borderId="32" xfId="0" applyNumberFormat="1" applyFont="1" applyFill="1" applyBorder="1" applyAlignment="1">
      <alignment horizontal="center" vertical="center"/>
    </xf>
    <xf numFmtId="184" fontId="40" fillId="13" borderId="31" xfId="0" applyNumberFormat="1" applyFont="1" applyFill="1" applyBorder="1" applyAlignment="1">
      <alignment horizontal="center" vertical="center"/>
    </xf>
    <xf numFmtId="184" fontId="40" fillId="13" borderId="2" xfId="0" applyNumberFormat="1" applyFont="1" applyFill="1" applyBorder="1" applyAlignment="1">
      <alignment horizontal="center" vertical="center"/>
    </xf>
    <xf numFmtId="184" fontId="40" fillId="13" borderId="32" xfId="0" applyNumberFormat="1" applyFont="1" applyFill="1" applyBorder="1" applyAlignment="1">
      <alignment horizontal="center" vertical="center"/>
    </xf>
    <xf numFmtId="184" fontId="36" fillId="11" borderId="31" xfId="0" applyNumberFormat="1" applyFont="1" applyFill="1" applyBorder="1" applyAlignment="1">
      <alignment horizontal="center" vertical="center"/>
    </xf>
    <xf numFmtId="184" fontId="36" fillId="11" borderId="2" xfId="0" applyNumberFormat="1" applyFont="1" applyFill="1" applyBorder="1" applyAlignment="1">
      <alignment horizontal="center" vertical="center"/>
    </xf>
    <xf numFmtId="184" fontId="36" fillId="11" borderId="32" xfId="0" applyNumberFormat="1" applyFont="1" applyFill="1" applyBorder="1" applyAlignment="1">
      <alignment horizontal="center" vertical="center"/>
    </xf>
    <xf numFmtId="176" fontId="36" fillId="11" borderId="27" xfId="0" applyNumberFormat="1" applyFont="1" applyFill="1" applyBorder="1" applyAlignment="1">
      <alignment horizontal="center" vertical="center" shrinkToFit="1"/>
    </xf>
    <xf numFmtId="176" fontId="36" fillId="11" borderId="5" xfId="0" applyNumberFormat="1" applyFont="1" applyFill="1" applyBorder="1" applyAlignment="1">
      <alignment horizontal="center" vertical="center" shrinkToFit="1"/>
    </xf>
    <xf numFmtId="176" fontId="36" fillId="11" borderId="27" xfId="0" applyNumberFormat="1" applyFont="1" applyFill="1" applyBorder="1" applyAlignment="1">
      <alignment horizontal="center" vertical="center"/>
    </xf>
    <xf numFmtId="176" fontId="36" fillId="11" borderId="5" xfId="0" applyNumberFormat="1" applyFont="1" applyFill="1" applyBorder="1" applyAlignment="1">
      <alignment horizontal="center" vertical="center"/>
    </xf>
    <xf numFmtId="184" fontId="36" fillId="13" borderId="31" xfId="0" applyNumberFormat="1" applyFont="1" applyFill="1" applyBorder="1" applyAlignment="1">
      <alignment horizontal="center" vertical="center"/>
    </xf>
    <xf numFmtId="184" fontId="36" fillId="13" borderId="2" xfId="0" applyNumberFormat="1" applyFont="1" applyFill="1" applyBorder="1" applyAlignment="1">
      <alignment horizontal="center" vertical="center"/>
    </xf>
    <xf numFmtId="184" fontId="36" fillId="13" borderId="32" xfId="0" applyNumberFormat="1" applyFont="1" applyFill="1" applyBorder="1" applyAlignment="1">
      <alignment horizontal="center" vertical="center"/>
    </xf>
    <xf numFmtId="0" fontId="30" fillId="0" borderId="28" xfId="5" applyFont="1" applyBorder="1" applyAlignment="1">
      <alignment horizontal="center" vertical="center"/>
    </xf>
    <xf numFmtId="176" fontId="11" fillId="0" borderId="1" xfId="5" applyNumberFormat="1" applyBorder="1" applyAlignment="1">
      <alignment horizontal="center" vertical="center"/>
    </xf>
    <xf numFmtId="176" fontId="11" fillId="0" borderId="1" xfId="5" applyNumberFormat="1" applyBorder="1" applyAlignment="1">
      <alignment horizontal="center" vertical="center" wrapText="1"/>
    </xf>
    <xf numFmtId="0" fontId="11" fillId="0" borderId="0" xfId="5"/>
    <xf numFmtId="176" fontId="31" fillId="0" borderId="1" xfId="5" applyNumberFormat="1" applyFont="1" applyBorder="1" applyAlignment="1">
      <alignment horizontal="center" vertical="center"/>
    </xf>
    <xf numFmtId="176" fontId="0" fillId="5" borderId="9" xfId="0" applyNumberFormat="1" applyFill="1" applyBorder="1" applyAlignment="1">
      <alignment horizontal="center" vertical="center"/>
    </xf>
    <xf numFmtId="176" fontId="0" fillId="5" borderId="10" xfId="0" applyNumberFormat="1" applyFill="1" applyBorder="1" applyAlignment="1">
      <alignment horizontal="center" vertical="center" wrapText="1"/>
    </xf>
    <xf numFmtId="176" fontId="0" fillId="5" borderId="14" xfId="0" applyNumberFormat="1" applyFill="1" applyBorder="1" applyAlignment="1">
      <alignment horizontal="center" vertical="center" wrapText="1"/>
    </xf>
    <xf numFmtId="176" fontId="0" fillId="5" borderId="30" xfId="0" applyNumberFormat="1" applyFill="1" applyBorder="1" applyAlignment="1">
      <alignment horizontal="center" vertical="center"/>
    </xf>
    <xf numFmtId="176" fontId="0" fillId="5" borderId="12" xfId="0" applyNumberFormat="1" applyFill="1" applyBorder="1" applyAlignment="1">
      <alignment horizontal="center" vertical="center"/>
    </xf>
    <xf numFmtId="176" fontId="0" fillId="5" borderId="13" xfId="0" applyNumberFormat="1" applyFill="1" applyBorder="1" applyAlignment="1">
      <alignment horizontal="center" vertical="center"/>
    </xf>
    <xf numFmtId="0" fontId="0" fillId="0" borderId="0" xfId="0"/>
    <xf numFmtId="176" fontId="0" fillId="5" borderId="10" xfId="0" applyNumberFormat="1" applyFill="1" applyBorder="1" applyAlignment="1">
      <alignment horizontal="center" vertical="center"/>
    </xf>
    <xf numFmtId="176" fontId="0" fillId="5" borderId="14" xfId="0" applyNumberFormat="1" applyFill="1" applyBorder="1" applyAlignment="1">
      <alignment horizontal="center" vertical="center"/>
    </xf>
  </cellXfs>
  <cellStyles count="9">
    <cellStyle name="백분율" xfId="4" builtinId="5"/>
    <cellStyle name="백분율 2 2" xfId="3" xr:uid="{00000000-0005-0000-0000-000001000000}"/>
    <cellStyle name="쉼표 [0]" xfId="6" builtinId="6"/>
    <cellStyle name="쉼표 [0] 2" xfId="2" xr:uid="{00000000-0005-0000-0000-000002000000}"/>
    <cellStyle name="표준" xfId="0" builtinId="0"/>
    <cellStyle name="표준 2" xfId="5" xr:uid="{F536D859-CC59-4D31-84B3-5B1A3E02008E}"/>
    <cellStyle name="표준 2 2 2" xfId="7" xr:uid="{ABC29D5D-0315-488F-BE8E-6294E5F42380}"/>
    <cellStyle name="표준 2 2 2 7" xfId="8" xr:uid="{36C846E8-CBBA-4C93-8C72-B6D5B877CE1C}"/>
    <cellStyle name="표준_원가계산서130129" xfId="1" xr:uid="{00000000-0005-0000-0000-000004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560293</xdr:colOff>
      <xdr:row>3</xdr:row>
      <xdr:rowOff>266700</xdr:rowOff>
    </xdr:from>
    <xdr:to>
      <xdr:col>7</xdr:col>
      <xdr:colOff>1100079</xdr:colOff>
      <xdr:row>5</xdr:row>
      <xdr:rowOff>276283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647CD477-417A-4463-8805-E51A1BECC30E}"/>
            </a:ext>
          </a:extLst>
        </xdr:cNvPr>
        <xdr:cNvSpPr>
          <a:spLocks noChangeArrowheads="1"/>
        </xdr:cNvSpPr>
      </xdr:nvSpPr>
      <xdr:spPr bwMode="auto">
        <a:xfrm>
          <a:off x="1522318" y="828675"/>
          <a:ext cx="6521486" cy="809683"/>
        </a:xfrm>
        <a:prstGeom prst="roundRect">
          <a:avLst>
            <a:gd name="adj" fmla="val 16667"/>
          </a:avLst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vertOverflow="clip" wrap="square" lIns="64008" tIns="41148" rIns="64008" bIns="41148" anchor="ctr" upright="1"/>
        <a:lstStyle/>
        <a:p>
          <a:pPr algn="ctr" rtl="0">
            <a:defRPr sz="1000"/>
          </a:pPr>
          <a:r>
            <a:rPr lang="ko-KR" altLang="en-US" sz="2800" b="1" i="0" strike="noStrike">
              <a:solidFill>
                <a:srgbClr val="000000"/>
              </a:solidFill>
              <a:latin typeface="굴림"/>
              <a:ea typeface="굴림"/>
            </a:rPr>
            <a:t>제</a:t>
          </a:r>
          <a:r>
            <a:rPr lang="en-US" altLang="ko-KR" sz="2800" b="1" i="0" strike="noStrike">
              <a:solidFill>
                <a:srgbClr val="000000"/>
              </a:solidFill>
              <a:latin typeface="굴림"/>
              <a:ea typeface="굴림"/>
            </a:rPr>
            <a:t>1</a:t>
          </a:r>
          <a:r>
            <a:rPr lang="ko-KR" altLang="en-US" sz="2800" b="1" i="0" strike="noStrike">
              <a:solidFill>
                <a:srgbClr val="000000"/>
              </a:solidFill>
              <a:latin typeface="굴림"/>
              <a:ea typeface="굴림"/>
            </a:rPr>
            <a:t>회 기성내역서</a:t>
          </a:r>
          <a:r>
            <a:rPr lang="en-US" altLang="ko-KR" sz="2800" b="1" i="0" strike="noStrike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2800" b="1" i="0" strike="noStrike">
              <a:solidFill>
                <a:srgbClr val="000000"/>
              </a:solidFill>
              <a:latin typeface="굴림"/>
              <a:ea typeface="굴림"/>
            </a:rPr>
            <a:t>토목</a:t>
          </a:r>
          <a:r>
            <a:rPr lang="en-US" altLang="ko-KR" sz="2800" b="1" i="0" strike="noStrike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9892;&#51221;&#48372;&#44256;\&#53664;&#47785;&#48320;&#44221;\&#50896;&#44032;&#44228;&#49328;&#49436;(&#53685;&#54633;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&#44592;&#49457;\01_&#53664;&#44277;%20&#48143;%20&#52384;&#44144;&#44277;(1&#54924;&#44592;&#49457;).xls" TargetMode="External"/><Relationship Id="rId1" Type="http://schemas.openxmlformats.org/officeDocument/2006/relationships/externalLinkPath" Target="file:///\\&#46020;&#54617;&#52380;pc\h\&#44592;&#49457;\&#51228;1&#54924;%20&#44592;&#49457;\01_&#53664;&#44277;%20&#48143;%20&#52384;&#44144;&#44277;(1&#54924;&#44592;&#49457;)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&#44592;&#49457;\02_&#50864;&#49688;,&#50724;&#49688;,&#49345;&#49688;&#44277;(1&#54924;&#44592;&#49457;)).xls" TargetMode="External"/><Relationship Id="rId1" Type="http://schemas.openxmlformats.org/officeDocument/2006/relationships/externalLinkPath" Target="file:///\\&#46020;&#54617;&#52380;pc\h\&#44592;&#49457;\&#51228;1&#54924;%20&#44592;&#49457;\02_&#50864;&#49688;,&#50724;&#49688;,&#49345;&#49688;&#44277;(1&#54924;&#44592;&#49457;))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&#49892;&#51221;&#48372;&#44256;\&#53664;&#47785;&#48320;&#44221;\&#53664;&#47785;&#49888;&#44508;&#51068;&#50948;\&#44256;&#44592;&#47532;%20&#49888;&#44508;&#45800;&#44032;.XLS" TargetMode="External"/><Relationship Id="rId1" Type="http://schemas.openxmlformats.org/officeDocument/2006/relationships/externalLinkPath" Target="file:///\\&#46020;&#54617;&#52380;pc\h\&#49892;&#51221;&#48372;&#44256;\&#53664;&#47785;&#48320;&#44221;\&#53664;&#47785;&#49888;&#44508;&#51068;&#50948;\&#44256;&#44592;&#47532;%20&#49888;&#44508;&#45800;&#4403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예정공정표 (2)"/>
      <sheetName val="원가계산서"/>
    </sheetNames>
    <sheetDataSet>
      <sheetData sheetId="0"/>
      <sheetData sheetId="1"/>
      <sheetData sheetId="2">
        <row r="1">
          <cell r="M1">
            <v>0.85935600000000001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표지"/>
      <sheetName val="토공 집계표"/>
      <sheetName val="토공수량표XX"/>
      <sheetName val="토공집계표"/>
      <sheetName val="토적"/>
      <sheetName val="폐기물처리량"/>
      <sheetName val="철거공 집계표"/>
      <sheetName val="포장철거 집계"/>
      <sheetName val="아스콘포장 철거(기성)"/>
      <sheetName val="아스콘철거변경"/>
      <sheetName val="투수콘포장 철거(기성)"/>
      <sheetName val="투수콘철거 변경"/>
      <sheetName val="보도블럭철거(기성)"/>
      <sheetName val="보도블럭 철거변경"/>
      <sheetName val="콘크리트포장철거(기성)"/>
      <sheetName val="콘크리트포장철거 변경"/>
      <sheetName val="배수시설 철거 집계"/>
      <sheetName val="집수정(TYPE-1)"/>
      <sheetName val="U형측구"/>
      <sheetName val="가옥철거(기성)"/>
      <sheetName val="가옥철거변경"/>
      <sheetName val="자연석헐기"/>
    </sheetNames>
    <sheetDataSet>
      <sheetData sheetId="0" refreshError="1"/>
      <sheetData sheetId="1">
        <row r="11">
          <cell r="C11">
            <v>1410.1371000000004</v>
          </cell>
          <cell r="D11">
            <v>1120.0033000000003</v>
          </cell>
          <cell r="E11">
            <v>127.53475714285716</v>
          </cell>
          <cell r="F11">
            <v>14395.460050000002</v>
          </cell>
          <cell r="G11">
            <v>14395.460050000002</v>
          </cell>
          <cell r="H11">
            <v>6.51</v>
          </cell>
          <cell r="I11">
            <v>7.97</v>
          </cell>
          <cell r="J11">
            <v>30</v>
          </cell>
          <cell r="K11">
            <v>78.150000000000006</v>
          </cell>
          <cell r="L11">
            <v>10</v>
          </cell>
          <cell r="M11">
            <v>52.056328571428573</v>
          </cell>
          <cell r="N11">
            <v>538</v>
          </cell>
          <cell r="R11">
            <v>390.1300835714286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6">
          <cell r="J16">
            <v>308.83999999999997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배수공집계표"/>
      <sheetName val="우수관(PE D450)기성"/>
      <sheetName val="우수관pe 변경"/>
      <sheetName val="우수관(PE D200)기성"/>
      <sheetName val="우수관(PE D200)"/>
      <sheetName val="우수관(D450)기성"/>
      <sheetName val="우수관450변경"/>
      <sheetName val="우수관(D500)기성"/>
      <sheetName val="우수관500변경"/>
      <sheetName val="우수관(D1000)기성"/>
      <sheetName val="우수관1000변경"/>
      <sheetName val="우수연결관(D300)기성"/>
      <sheetName val="우수300변경"/>
      <sheetName val="우수맨홀(1호맨홀)기성"/>
      <sheetName val="맨홀1호변경"/>
      <sheetName val="우수맨홀뚜껑(1호맨홀)"/>
      <sheetName val="우수맨홀뚜겅(1호맨홀)변경"/>
      <sheetName val="우수맨홀(2호맨홀)기성"/>
      <sheetName val="우수맨홀(2호맨홀)변경"/>
      <sheetName val="우수맨홀뚜껑(2호맨홀)"/>
      <sheetName val="우수맨홀뚜껑(2호맨홀)변경"/>
      <sheetName val="우수맨홀(4호맨홀)기성"/>
      <sheetName val="우수맨홀(4호맨홀)변경"/>
      <sheetName val="우수맨홀뚜껑(4호맨홀)"/>
      <sheetName val="우수맨홀뚜껑(4호맨홀)변경"/>
      <sheetName val="우수받이기성"/>
      <sheetName val="우수받이변경"/>
      <sheetName val="우수집수정(600X600)기성"/>
      <sheetName val="우수집수정(600X600)변경"/>
      <sheetName val="우수집수정(800X800)기성"/>
      <sheetName val="우수집수정(800X800)변경"/>
      <sheetName val="U-DITCH기성"/>
      <sheetName val="U-DITCH변경"/>
      <sheetName val="면벽"/>
      <sheetName val="면벽변경"/>
      <sheetName val="오수관(D300)"/>
      <sheetName val="오수관(D300)변경"/>
      <sheetName val="오수정화조"/>
      <sheetName val="오수정화조변경"/>
      <sheetName val="상수관 (D25)"/>
      <sheetName val="상수관 (D25)변경"/>
      <sheetName val="Sheet1"/>
    </sheetNames>
    <sheetDataSet>
      <sheetData sheetId="0">
        <row r="45">
          <cell r="C45">
            <v>948.46</v>
          </cell>
          <cell r="D45">
            <v>246.26</v>
          </cell>
          <cell r="E45">
            <v>197.26</v>
          </cell>
          <cell r="F45">
            <v>790.7</v>
          </cell>
          <cell r="G45">
            <v>206.76</v>
          </cell>
          <cell r="H45">
            <v>15.28</v>
          </cell>
          <cell r="I45">
            <v>73.89</v>
          </cell>
          <cell r="J45">
            <v>8.94</v>
          </cell>
          <cell r="K45">
            <v>25.66</v>
          </cell>
          <cell r="L45">
            <v>226.86</v>
          </cell>
          <cell r="M45">
            <v>40.729999999999997</v>
          </cell>
          <cell r="N45">
            <v>28.1</v>
          </cell>
          <cell r="O45">
            <v>1.008</v>
          </cell>
        </row>
        <row r="89">
          <cell r="E89">
            <v>0</v>
          </cell>
          <cell r="F89">
            <v>11</v>
          </cell>
          <cell r="G89">
            <v>13.5</v>
          </cell>
          <cell r="H89">
            <v>0</v>
          </cell>
          <cell r="I89">
            <v>222</v>
          </cell>
          <cell r="J89">
            <v>0</v>
          </cell>
        </row>
        <row r="134">
          <cell r="J134">
            <v>0</v>
          </cell>
          <cell r="O134">
            <v>26</v>
          </cell>
          <cell r="P13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내역서"/>
      <sheetName val="일위대가목록"/>
      <sheetName val="일위대가_호표"/>
      <sheetName val="일위대가_산근"/>
      <sheetName val="중기사용료목록"/>
      <sheetName val="중기사용료"/>
      <sheetName val="중기기초자료"/>
      <sheetName val="자재"/>
      <sheetName val="노임"/>
      <sheetName val="경비"/>
      <sheetName val="자재조서"/>
      <sheetName val="전역변수"/>
      <sheetName val="중기전역변수"/>
    </sheetNames>
    <sheetDataSet>
      <sheetData sheetId="0"/>
      <sheetData sheetId="1">
        <row r="3">
          <cell r="F3">
            <v>292</v>
          </cell>
          <cell r="G3">
            <v>4277</v>
          </cell>
          <cell r="H3">
            <v>381</v>
          </cell>
        </row>
        <row r="4">
          <cell r="F4">
            <v>278</v>
          </cell>
          <cell r="G4">
            <v>920</v>
          </cell>
          <cell r="H4">
            <v>363</v>
          </cell>
        </row>
        <row r="5">
          <cell r="F5">
            <v>440</v>
          </cell>
          <cell r="G5">
            <v>6160</v>
          </cell>
          <cell r="H5">
            <v>388</v>
          </cell>
        </row>
        <row r="6">
          <cell r="F6">
            <v>1075</v>
          </cell>
          <cell r="G6">
            <v>8587</v>
          </cell>
          <cell r="H6">
            <v>1040</v>
          </cell>
        </row>
        <row r="10">
          <cell r="F10">
            <v>0</v>
          </cell>
          <cell r="G10">
            <v>8220</v>
          </cell>
          <cell r="H10">
            <v>0</v>
          </cell>
        </row>
      </sheetData>
      <sheetData sheetId="2"/>
      <sheetData sheetId="3">
        <row r="4">
          <cell r="C4">
            <v>292</v>
          </cell>
          <cell r="D4">
            <v>4277</v>
          </cell>
          <cell r="E4">
            <v>381</v>
          </cell>
        </row>
        <row r="35">
          <cell r="C35">
            <v>278</v>
          </cell>
          <cell r="D35">
            <v>920</v>
          </cell>
          <cell r="E35">
            <v>363</v>
          </cell>
        </row>
        <row r="60">
          <cell r="C60">
            <v>440</v>
          </cell>
          <cell r="D60">
            <v>6160</v>
          </cell>
          <cell r="E60">
            <v>388</v>
          </cell>
        </row>
        <row r="93">
          <cell r="C93">
            <v>1075</v>
          </cell>
          <cell r="D93">
            <v>8587</v>
          </cell>
          <cell r="E93">
            <v>1040</v>
          </cell>
        </row>
      </sheetData>
      <sheetData sheetId="4">
        <row r="3">
          <cell r="E3">
            <v>16824</v>
          </cell>
          <cell r="F3">
            <v>55700</v>
          </cell>
          <cell r="G3">
            <v>21957</v>
          </cell>
        </row>
        <row r="4">
          <cell r="E4">
            <v>3361</v>
          </cell>
          <cell r="F4">
            <v>33571</v>
          </cell>
          <cell r="G4">
            <v>1846</v>
          </cell>
        </row>
        <row r="5">
          <cell r="E5">
            <v>1862</v>
          </cell>
          <cell r="F5">
            <v>33571</v>
          </cell>
          <cell r="G5">
            <v>750</v>
          </cell>
        </row>
      </sheetData>
      <sheetData sheetId="5">
        <row r="7">
          <cell r="G7">
            <v>21957</v>
          </cell>
        </row>
        <row r="10">
          <cell r="G10">
            <v>16824</v>
          </cell>
        </row>
        <row r="12">
          <cell r="G12">
            <v>55700</v>
          </cell>
        </row>
        <row r="19">
          <cell r="G19">
            <v>1846</v>
          </cell>
        </row>
        <row r="22">
          <cell r="G22">
            <v>3361</v>
          </cell>
        </row>
        <row r="24">
          <cell r="G24">
            <v>33571</v>
          </cell>
        </row>
        <row r="31">
          <cell r="G31">
            <v>750</v>
          </cell>
        </row>
        <row r="34">
          <cell r="G34">
            <v>1862</v>
          </cell>
        </row>
        <row r="36">
          <cell r="G36">
            <v>33571</v>
          </cell>
        </row>
      </sheetData>
      <sheetData sheetId="6">
        <row r="3">
          <cell r="F3">
            <v>105310</v>
          </cell>
        </row>
        <row r="4">
          <cell r="F4">
            <v>6537</v>
          </cell>
        </row>
        <row r="5">
          <cell r="F5">
            <v>1570</v>
          </cell>
        </row>
        <row r="6">
          <cell r="E6">
            <v>267360</v>
          </cell>
        </row>
        <row r="7">
          <cell r="E7">
            <v>161142</v>
          </cell>
        </row>
        <row r="8">
          <cell r="D8">
            <v>1552</v>
          </cell>
        </row>
        <row r="9">
          <cell r="D9">
            <v>1352</v>
          </cell>
        </row>
      </sheetData>
      <sheetData sheetId="7"/>
      <sheetData sheetId="8">
        <row r="3">
          <cell r="D3">
            <v>229482</v>
          </cell>
        </row>
        <row r="4">
          <cell r="D4">
            <v>165545</v>
          </cell>
        </row>
      </sheetData>
      <sheetData sheetId="9"/>
      <sheetData sheetId="10">
        <row r="4">
          <cell r="E4">
            <v>312000</v>
          </cell>
        </row>
        <row r="5">
          <cell r="E5">
            <v>19780</v>
          </cell>
        </row>
        <row r="6">
          <cell r="E6">
            <v>24000</v>
          </cell>
        </row>
        <row r="7">
          <cell r="E7">
            <v>22500</v>
          </cell>
        </row>
        <row r="8">
          <cell r="E8">
            <v>60000</v>
          </cell>
        </row>
      </sheetData>
      <sheetData sheetId="11">
        <row r="34">
          <cell r="C34">
            <v>1</v>
          </cell>
        </row>
      </sheetData>
      <sheetData sheetId="12">
        <row r="4">
          <cell r="C4">
            <v>1289</v>
          </cell>
        </row>
        <row r="18">
          <cell r="C18">
            <v>0.20833333333333334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2"/>
  <sheetViews>
    <sheetView tabSelected="1" view="pageBreakPreview" zoomScale="85" zoomScaleNormal="100" zoomScaleSheetLayoutView="85" workbookViewId="0">
      <selection activeCell="D22" sqref="D22"/>
    </sheetView>
  </sheetViews>
  <sheetFormatPr defaultColWidth="18.6640625" defaultRowHeight="26.25" customHeight="1" x14ac:dyDescent="0.15"/>
  <cols>
    <col min="1" max="1" width="16.83203125" style="336" customWidth="1"/>
    <col min="2" max="2" width="27.33203125" style="336" customWidth="1"/>
    <col min="3" max="3" width="8.1640625" style="336" customWidth="1"/>
    <col min="4" max="5" width="27.5" style="336" customWidth="1"/>
    <col min="6" max="6" width="15" style="336" customWidth="1"/>
    <col min="7" max="7" width="3.5" style="336" customWidth="1"/>
    <col min="8" max="8" width="29.1640625" style="336" customWidth="1"/>
    <col min="9" max="9" width="1.83203125" style="336" customWidth="1"/>
    <col min="10" max="10" width="16.83203125" style="336" customWidth="1"/>
    <col min="11" max="11" width="19.6640625" style="336" customWidth="1"/>
    <col min="12" max="256" width="18.6640625" style="336"/>
    <col min="257" max="257" width="19.6640625" style="336" customWidth="1"/>
    <col min="258" max="258" width="27.33203125" style="336" customWidth="1"/>
    <col min="259" max="259" width="8.1640625" style="336" customWidth="1"/>
    <col min="260" max="260" width="19.6640625" style="336" customWidth="1"/>
    <col min="261" max="261" width="28.6640625" style="336" customWidth="1"/>
    <col min="262" max="262" width="12" style="336" customWidth="1"/>
    <col min="263" max="263" width="2.1640625" style="336" customWidth="1"/>
    <col min="264" max="264" width="25" style="336" customWidth="1"/>
    <col min="265" max="265" width="1.83203125" style="336" customWidth="1"/>
    <col min="266" max="266" width="21.83203125" style="336" customWidth="1"/>
    <col min="267" max="267" width="19.6640625" style="336" customWidth="1"/>
    <col min="268" max="512" width="18.6640625" style="336"/>
    <col min="513" max="513" width="19.6640625" style="336" customWidth="1"/>
    <col min="514" max="514" width="27.33203125" style="336" customWidth="1"/>
    <col min="515" max="515" width="8.1640625" style="336" customWidth="1"/>
    <col min="516" max="516" width="19.6640625" style="336" customWidth="1"/>
    <col min="517" max="517" width="28.6640625" style="336" customWidth="1"/>
    <col min="518" max="518" width="12" style="336" customWidth="1"/>
    <col min="519" max="519" width="2.1640625" style="336" customWidth="1"/>
    <col min="520" max="520" width="25" style="336" customWidth="1"/>
    <col min="521" max="521" width="1.83203125" style="336" customWidth="1"/>
    <col min="522" max="522" width="21.83203125" style="336" customWidth="1"/>
    <col min="523" max="523" width="19.6640625" style="336" customWidth="1"/>
    <col min="524" max="768" width="18.6640625" style="336"/>
    <col min="769" max="769" width="19.6640625" style="336" customWidth="1"/>
    <col min="770" max="770" width="27.33203125" style="336" customWidth="1"/>
    <col min="771" max="771" width="8.1640625" style="336" customWidth="1"/>
    <col min="772" max="772" width="19.6640625" style="336" customWidth="1"/>
    <col min="773" max="773" width="28.6640625" style="336" customWidth="1"/>
    <col min="774" max="774" width="12" style="336" customWidth="1"/>
    <col min="775" max="775" width="2.1640625" style="336" customWidth="1"/>
    <col min="776" max="776" width="25" style="336" customWidth="1"/>
    <col min="777" max="777" width="1.83203125" style="336" customWidth="1"/>
    <col min="778" max="778" width="21.83203125" style="336" customWidth="1"/>
    <col min="779" max="779" width="19.6640625" style="336" customWidth="1"/>
    <col min="780" max="1024" width="18.6640625" style="336"/>
    <col min="1025" max="1025" width="19.6640625" style="336" customWidth="1"/>
    <col min="1026" max="1026" width="27.33203125" style="336" customWidth="1"/>
    <col min="1027" max="1027" width="8.1640625" style="336" customWidth="1"/>
    <col min="1028" max="1028" width="19.6640625" style="336" customWidth="1"/>
    <col min="1029" max="1029" width="28.6640625" style="336" customWidth="1"/>
    <col min="1030" max="1030" width="12" style="336" customWidth="1"/>
    <col min="1031" max="1031" width="2.1640625" style="336" customWidth="1"/>
    <col min="1032" max="1032" width="25" style="336" customWidth="1"/>
    <col min="1033" max="1033" width="1.83203125" style="336" customWidth="1"/>
    <col min="1034" max="1034" width="21.83203125" style="336" customWidth="1"/>
    <col min="1035" max="1035" width="19.6640625" style="336" customWidth="1"/>
    <col min="1036" max="1280" width="18.6640625" style="336"/>
    <col min="1281" max="1281" width="19.6640625" style="336" customWidth="1"/>
    <col min="1282" max="1282" width="27.33203125" style="336" customWidth="1"/>
    <col min="1283" max="1283" width="8.1640625" style="336" customWidth="1"/>
    <col min="1284" max="1284" width="19.6640625" style="336" customWidth="1"/>
    <col min="1285" max="1285" width="28.6640625" style="336" customWidth="1"/>
    <col min="1286" max="1286" width="12" style="336" customWidth="1"/>
    <col min="1287" max="1287" width="2.1640625" style="336" customWidth="1"/>
    <col min="1288" max="1288" width="25" style="336" customWidth="1"/>
    <col min="1289" max="1289" width="1.83203125" style="336" customWidth="1"/>
    <col min="1290" max="1290" width="21.83203125" style="336" customWidth="1"/>
    <col min="1291" max="1291" width="19.6640625" style="336" customWidth="1"/>
    <col min="1292" max="1536" width="18.6640625" style="336"/>
    <col min="1537" max="1537" width="19.6640625" style="336" customWidth="1"/>
    <col min="1538" max="1538" width="27.33203125" style="336" customWidth="1"/>
    <col min="1539" max="1539" width="8.1640625" style="336" customWidth="1"/>
    <col min="1540" max="1540" width="19.6640625" style="336" customWidth="1"/>
    <col min="1541" max="1541" width="28.6640625" style="336" customWidth="1"/>
    <col min="1542" max="1542" width="12" style="336" customWidth="1"/>
    <col min="1543" max="1543" width="2.1640625" style="336" customWidth="1"/>
    <col min="1544" max="1544" width="25" style="336" customWidth="1"/>
    <col min="1545" max="1545" width="1.83203125" style="336" customWidth="1"/>
    <col min="1546" max="1546" width="21.83203125" style="336" customWidth="1"/>
    <col min="1547" max="1547" width="19.6640625" style="336" customWidth="1"/>
    <col min="1548" max="1792" width="18.6640625" style="336"/>
    <col min="1793" max="1793" width="19.6640625" style="336" customWidth="1"/>
    <col min="1794" max="1794" width="27.33203125" style="336" customWidth="1"/>
    <col min="1795" max="1795" width="8.1640625" style="336" customWidth="1"/>
    <col min="1796" max="1796" width="19.6640625" style="336" customWidth="1"/>
    <col min="1797" max="1797" width="28.6640625" style="336" customWidth="1"/>
    <col min="1798" max="1798" width="12" style="336" customWidth="1"/>
    <col min="1799" max="1799" width="2.1640625" style="336" customWidth="1"/>
    <col min="1800" max="1800" width="25" style="336" customWidth="1"/>
    <col min="1801" max="1801" width="1.83203125" style="336" customWidth="1"/>
    <col min="1802" max="1802" width="21.83203125" style="336" customWidth="1"/>
    <col min="1803" max="1803" width="19.6640625" style="336" customWidth="1"/>
    <col min="1804" max="2048" width="18.6640625" style="336"/>
    <col min="2049" max="2049" width="19.6640625" style="336" customWidth="1"/>
    <col min="2050" max="2050" width="27.33203125" style="336" customWidth="1"/>
    <col min="2051" max="2051" width="8.1640625" style="336" customWidth="1"/>
    <col min="2052" max="2052" width="19.6640625" style="336" customWidth="1"/>
    <col min="2053" max="2053" width="28.6640625" style="336" customWidth="1"/>
    <col min="2054" max="2054" width="12" style="336" customWidth="1"/>
    <col min="2055" max="2055" width="2.1640625" style="336" customWidth="1"/>
    <col min="2056" max="2056" width="25" style="336" customWidth="1"/>
    <col min="2057" max="2057" width="1.83203125" style="336" customWidth="1"/>
    <col min="2058" max="2058" width="21.83203125" style="336" customWidth="1"/>
    <col min="2059" max="2059" width="19.6640625" style="336" customWidth="1"/>
    <col min="2060" max="2304" width="18.6640625" style="336"/>
    <col min="2305" max="2305" width="19.6640625" style="336" customWidth="1"/>
    <col min="2306" max="2306" width="27.33203125" style="336" customWidth="1"/>
    <col min="2307" max="2307" width="8.1640625" style="336" customWidth="1"/>
    <col min="2308" max="2308" width="19.6640625" style="336" customWidth="1"/>
    <col min="2309" max="2309" width="28.6640625" style="336" customWidth="1"/>
    <col min="2310" max="2310" width="12" style="336" customWidth="1"/>
    <col min="2311" max="2311" width="2.1640625" style="336" customWidth="1"/>
    <col min="2312" max="2312" width="25" style="336" customWidth="1"/>
    <col min="2313" max="2313" width="1.83203125" style="336" customWidth="1"/>
    <col min="2314" max="2314" width="21.83203125" style="336" customWidth="1"/>
    <col min="2315" max="2315" width="19.6640625" style="336" customWidth="1"/>
    <col min="2316" max="2560" width="18.6640625" style="336"/>
    <col min="2561" max="2561" width="19.6640625" style="336" customWidth="1"/>
    <col min="2562" max="2562" width="27.33203125" style="336" customWidth="1"/>
    <col min="2563" max="2563" width="8.1640625" style="336" customWidth="1"/>
    <col min="2564" max="2564" width="19.6640625" style="336" customWidth="1"/>
    <col min="2565" max="2565" width="28.6640625" style="336" customWidth="1"/>
    <col min="2566" max="2566" width="12" style="336" customWidth="1"/>
    <col min="2567" max="2567" width="2.1640625" style="336" customWidth="1"/>
    <col min="2568" max="2568" width="25" style="336" customWidth="1"/>
    <col min="2569" max="2569" width="1.83203125" style="336" customWidth="1"/>
    <col min="2570" max="2570" width="21.83203125" style="336" customWidth="1"/>
    <col min="2571" max="2571" width="19.6640625" style="336" customWidth="1"/>
    <col min="2572" max="2816" width="18.6640625" style="336"/>
    <col min="2817" max="2817" width="19.6640625" style="336" customWidth="1"/>
    <col min="2818" max="2818" width="27.33203125" style="336" customWidth="1"/>
    <col min="2819" max="2819" width="8.1640625" style="336" customWidth="1"/>
    <col min="2820" max="2820" width="19.6640625" style="336" customWidth="1"/>
    <col min="2821" max="2821" width="28.6640625" style="336" customWidth="1"/>
    <col min="2822" max="2822" width="12" style="336" customWidth="1"/>
    <col min="2823" max="2823" width="2.1640625" style="336" customWidth="1"/>
    <col min="2824" max="2824" width="25" style="336" customWidth="1"/>
    <col min="2825" max="2825" width="1.83203125" style="336" customWidth="1"/>
    <col min="2826" max="2826" width="21.83203125" style="336" customWidth="1"/>
    <col min="2827" max="2827" width="19.6640625" style="336" customWidth="1"/>
    <col min="2828" max="3072" width="18.6640625" style="336"/>
    <col min="3073" max="3073" width="19.6640625" style="336" customWidth="1"/>
    <col min="3074" max="3074" width="27.33203125" style="336" customWidth="1"/>
    <col min="3075" max="3075" width="8.1640625" style="336" customWidth="1"/>
    <col min="3076" max="3076" width="19.6640625" style="336" customWidth="1"/>
    <col min="3077" max="3077" width="28.6640625" style="336" customWidth="1"/>
    <col min="3078" max="3078" width="12" style="336" customWidth="1"/>
    <col min="3079" max="3079" width="2.1640625" style="336" customWidth="1"/>
    <col min="3080" max="3080" width="25" style="336" customWidth="1"/>
    <col min="3081" max="3081" width="1.83203125" style="336" customWidth="1"/>
    <col min="3082" max="3082" width="21.83203125" style="336" customWidth="1"/>
    <col min="3083" max="3083" width="19.6640625" style="336" customWidth="1"/>
    <col min="3084" max="3328" width="18.6640625" style="336"/>
    <col min="3329" max="3329" width="19.6640625" style="336" customWidth="1"/>
    <col min="3330" max="3330" width="27.33203125" style="336" customWidth="1"/>
    <col min="3331" max="3331" width="8.1640625" style="336" customWidth="1"/>
    <col min="3332" max="3332" width="19.6640625" style="336" customWidth="1"/>
    <col min="3333" max="3333" width="28.6640625" style="336" customWidth="1"/>
    <col min="3334" max="3334" width="12" style="336" customWidth="1"/>
    <col min="3335" max="3335" width="2.1640625" style="336" customWidth="1"/>
    <col min="3336" max="3336" width="25" style="336" customWidth="1"/>
    <col min="3337" max="3337" width="1.83203125" style="336" customWidth="1"/>
    <col min="3338" max="3338" width="21.83203125" style="336" customWidth="1"/>
    <col min="3339" max="3339" width="19.6640625" style="336" customWidth="1"/>
    <col min="3340" max="3584" width="18.6640625" style="336"/>
    <col min="3585" max="3585" width="19.6640625" style="336" customWidth="1"/>
    <col min="3586" max="3586" width="27.33203125" style="336" customWidth="1"/>
    <col min="3587" max="3587" width="8.1640625" style="336" customWidth="1"/>
    <col min="3588" max="3588" width="19.6640625" style="336" customWidth="1"/>
    <col min="3589" max="3589" width="28.6640625" style="336" customWidth="1"/>
    <col min="3590" max="3590" width="12" style="336" customWidth="1"/>
    <col min="3591" max="3591" width="2.1640625" style="336" customWidth="1"/>
    <col min="3592" max="3592" width="25" style="336" customWidth="1"/>
    <col min="3593" max="3593" width="1.83203125" style="336" customWidth="1"/>
    <col min="3594" max="3594" width="21.83203125" style="336" customWidth="1"/>
    <col min="3595" max="3595" width="19.6640625" style="336" customWidth="1"/>
    <col min="3596" max="3840" width="18.6640625" style="336"/>
    <col min="3841" max="3841" width="19.6640625" style="336" customWidth="1"/>
    <col min="3842" max="3842" width="27.33203125" style="336" customWidth="1"/>
    <col min="3843" max="3843" width="8.1640625" style="336" customWidth="1"/>
    <col min="3844" max="3844" width="19.6640625" style="336" customWidth="1"/>
    <col min="3845" max="3845" width="28.6640625" style="336" customWidth="1"/>
    <col min="3846" max="3846" width="12" style="336" customWidth="1"/>
    <col min="3847" max="3847" width="2.1640625" style="336" customWidth="1"/>
    <col min="3848" max="3848" width="25" style="336" customWidth="1"/>
    <col min="3849" max="3849" width="1.83203125" style="336" customWidth="1"/>
    <col min="3850" max="3850" width="21.83203125" style="336" customWidth="1"/>
    <col min="3851" max="3851" width="19.6640625" style="336" customWidth="1"/>
    <col min="3852" max="4096" width="18.6640625" style="336"/>
    <col min="4097" max="4097" width="19.6640625" style="336" customWidth="1"/>
    <col min="4098" max="4098" width="27.33203125" style="336" customWidth="1"/>
    <col min="4099" max="4099" width="8.1640625" style="336" customWidth="1"/>
    <col min="4100" max="4100" width="19.6640625" style="336" customWidth="1"/>
    <col min="4101" max="4101" width="28.6640625" style="336" customWidth="1"/>
    <col min="4102" max="4102" width="12" style="336" customWidth="1"/>
    <col min="4103" max="4103" width="2.1640625" style="336" customWidth="1"/>
    <col min="4104" max="4104" width="25" style="336" customWidth="1"/>
    <col min="4105" max="4105" width="1.83203125" style="336" customWidth="1"/>
    <col min="4106" max="4106" width="21.83203125" style="336" customWidth="1"/>
    <col min="4107" max="4107" width="19.6640625" style="336" customWidth="1"/>
    <col min="4108" max="4352" width="18.6640625" style="336"/>
    <col min="4353" max="4353" width="19.6640625" style="336" customWidth="1"/>
    <col min="4354" max="4354" width="27.33203125" style="336" customWidth="1"/>
    <col min="4355" max="4355" width="8.1640625" style="336" customWidth="1"/>
    <col min="4356" max="4356" width="19.6640625" style="336" customWidth="1"/>
    <col min="4357" max="4357" width="28.6640625" style="336" customWidth="1"/>
    <col min="4358" max="4358" width="12" style="336" customWidth="1"/>
    <col min="4359" max="4359" width="2.1640625" style="336" customWidth="1"/>
    <col min="4360" max="4360" width="25" style="336" customWidth="1"/>
    <col min="4361" max="4361" width="1.83203125" style="336" customWidth="1"/>
    <col min="4362" max="4362" width="21.83203125" style="336" customWidth="1"/>
    <col min="4363" max="4363" width="19.6640625" style="336" customWidth="1"/>
    <col min="4364" max="4608" width="18.6640625" style="336"/>
    <col min="4609" max="4609" width="19.6640625" style="336" customWidth="1"/>
    <col min="4610" max="4610" width="27.33203125" style="336" customWidth="1"/>
    <col min="4611" max="4611" width="8.1640625" style="336" customWidth="1"/>
    <col min="4612" max="4612" width="19.6640625" style="336" customWidth="1"/>
    <col min="4613" max="4613" width="28.6640625" style="336" customWidth="1"/>
    <col min="4614" max="4614" width="12" style="336" customWidth="1"/>
    <col min="4615" max="4615" width="2.1640625" style="336" customWidth="1"/>
    <col min="4616" max="4616" width="25" style="336" customWidth="1"/>
    <col min="4617" max="4617" width="1.83203125" style="336" customWidth="1"/>
    <col min="4618" max="4618" width="21.83203125" style="336" customWidth="1"/>
    <col min="4619" max="4619" width="19.6640625" style="336" customWidth="1"/>
    <col min="4620" max="4864" width="18.6640625" style="336"/>
    <col min="4865" max="4865" width="19.6640625" style="336" customWidth="1"/>
    <col min="4866" max="4866" width="27.33203125" style="336" customWidth="1"/>
    <col min="4867" max="4867" width="8.1640625" style="336" customWidth="1"/>
    <col min="4868" max="4868" width="19.6640625" style="336" customWidth="1"/>
    <col min="4869" max="4869" width="28.6640625" style="336" customWidth="1"/>
    <col min="4870" max="4870" width="12" style="336" customWidth="1"/>
    <col min="4871" max="4871" width="2.1640625" style="336" customWidth="1"/>
    <col min="4872" max="4872" width="25" style="336" customWidth="1"/>
    <col min="4873" max="4873" width="1.83203125" style="336" customWidth="1"/>
    <col min="4874" max="4874" width="21.83203125" style="336" customWidth="1"/>
    <col min="4875" max="4875" width="19.6640625" style="336" customWidth="1"/>
    <col min="4876" max="5120" width="18.6640625" style="336"/>
    <col min="5121" max="5121" width="19.6640625" style="336" customWidth="1"/>
    <col min="5122" max="5122" width="27.33203125" style="336" customWidth="1"/>
    <col min="5123" max="5123" width="8.1640625" style="336" customWidth="1"/>
    <col min="5124" max="5124" width="19.6640625" style="336" customWidth="1"/>
    <col min="5125" max="5125" width="28.6640625" style="336" customWidth="1"/>
    <col min="5126" max="5126" width="12" style="336" customWidth="1"/>
    <col min="5127" max="5127" width="2.1640625" style="336" customWidth="1"/>
    <col min="5128" max="5128" width="25" style="336" customWidth="1"/>
    <col min="5129" max="5129" width="1.83203125" style="336" customWidth="1"/>
    <col min="5130" max="5130" width="21.83203125" style="336" customWidth="1"/>
    <col min="5131" max="5131" width="19.6640625" style="336" customWidth="1"/>
    <col min="5132" max="5376" width="18.6640625" style="336"/>
    <col min="5377" max="5377" width="19.6640625" style="336" customWidth="1"/>
    <col min="5378" max="5378" width="27.33203125" style="336" customWidth="1"/>
    <col min="5379" max="5379" width="8.1640625" style="336" customWidth="1"/>
    <col min="5380" max="5380" width="19.6640625" style="336" customWidth="1"/>
    <col min="5381" max="5381" width="28.6640625" style="336" customWidth="1"/>
    <col min="5382" max="5382" width="12" style="336" customWidth="1"/>
    <col min="5383" max="5383" width="2.1640625" style="336" customWidth="1"/>
    <col min="5384" max="5384" width="25" style="336" customWidth="1"/>
    <col min="5385" max="5385" width="1.83203125" style="336" customWidth="1"/>
    <col min="5386" max="5386" width="21.83203125" style="336" customWidth="1"/>
    <col min="5387" max="5387" width="19.6640625" style="336" customWidth="1"/>
    <col min="5388" max="5632" width="18.6640625" style="336"/>
    <col min="5633" max="5633" width="19.6640625" style="336" customWidth="1"/>
    <col min="5634" max="5634" width="27.33203125" style="336" customWidth="1"/>
    <col min="5635" max="5635" width="8.1640625" style="336" customWidth="1"/>
    <col min="5636" max="5636" width="19.6640625" style="336" customWidth="1"/>
    <col min="5637" max="5637" width="28.6640625" style="336" customWidth="1"/>
    <col min="5638" max="5638" width="12" style="336" customWidth="1"/>
    <col min="5639" max="5639" width="2.1640625" style="336" customWidth="1"/>
    <col min="5640" max="5640" width="25" style="336" customWidth="1"/>
    <col min="5641" max="5641" width="1.83203125" style="336" customWidth="1"/>
    <col min="5642" max="5642" width="21.83203125" style="336" customWidth="1"/>
    <col min="5643" max="5643" width="19.6640625" style="336" customWidth="1"/>
    <col min="5644" max="5888" width="18.6640625" style="336"/>
    <col min="5889" max="5889" width="19.6640625" style="336" customWidth="1"/>
    <col min="5890" max="5890" width="27.33203125" style="336" customWidth="1"/>
    <col min="5891" max="5891" width="8.1640625" style="336" customWidth="1"/>
    <col min="5892" max="5892" width="19.6640625" style="336" customWidth="1"/>
    <col min="5893" max="5893" width="28.6640625" style="336" customWidth="1"/>
    <col min="5894" max="5894" width="12" style="336" customWidth="1"/>
    <col min="5895" max="5895" width="2.1640625" style="336" customWidth="1"/>
    <col min="5896" max="5896" width="25" style="336" customWidth="1"/>
    <col min="5897" max="5897" width="1.83203125" style="336" customWidth="1"/>
    <col min="5898" max="5898" width="21.83203125" style="336" customWidth="1"/>
    <col min="5899" max="5899" width="19.6640625" style="336" customWidth="1"/>
    <col min="5900" max="6144" width="18.6640625" style="336"/>
    <col min="6145" max="6145" width="19.6640625" style="336" customWidth="1"/>
    <col min="6146" max="6146" width="27.33203125" style="336" customWidth="1"/>
    <col min="6147" max="6147" width="8.1640625" style="336" customWidth="1"/>
    <col min="6148" max="6148" width="19.6640625" style="336" customWidth="1"/>
    <col min="6149" max="6149" width="28.6640625" style="336" customWidth="1"/>
    <col min="6150" max="6150" width="12" style="336" customWidth="1"/>
    <col min="6151" max="6151" width="2.1640625" style="336" customWidth="1"/>
    <col min="6152" max="6152" width="25" style="336" customWidth="1"/>
    <col min="6153" max="6153" width="1.83203125" style="336" customWidth="1"/>
    <col min="6154" max="6154" width="21.83203125" style="336" customWidth="1"/>
    <col min="6155" max="6155" width="19.6640625" style="336" customWidth="1"/>
    <col min="6156" max="6400" width="18.6640625" style="336"/>
    <col min="6401" max="6401" width="19.6640625" style="336" customWidth="1"/>
    <col min="6402" max="6402" width="27.33203125" style="336" customWidth="1"/>
    <col min="6403" max="6403" width="8.1640625" style="336" customWidth="1"/>
    <col min="6404" max="6404" width="19.6640625" style="336" customWidth="1"/>
    <col min="6405" max="6405" width="28.6640625" style="336" customWidth="1"/>
    <col min="6406" max="6406" width="12" style="336" customWidth="1"/>
    <col min="6407" max="6407" width="2.1640625" style="336" customWidth="1"/>
    <col min="6408" max="6408" width="25" style="336" customWidth="1"/>
    <col min="6409" max="6409" width="1.83203125" style="336" customWidth="1"/>
    <col min="6410" max="6410" width="21.83203125" style="336" customWidth="1"/>
    <col min="6411" max="6411" width="19.6640625" style="336" customWidth="1"/>
    <col min="6412" max="6656" width="18.6640625" style="336"/>
    <col min="6657" max="6657" width="19.6640625" style="336" customWidth="1"/>
    <col min="6658" max="6658" width="27.33203125" style="336" customWidth="1"/>
    <col min="6659" max="6659" width="8.1640625" style="336" customWidth="1"/>
    <col min="6660" max="6660" width="19.6640625" style="336" customWidth="1"/>
    <col min="6661" max="6661" width="28.6640625" style="336" customWidth="1"/>
    <col min="6662" max="6662" width="12" style="336" customWidth="1"/>
    <col min="6663" max="6663" width="2.1640625" style="336" customWidth="1"/>
    <col min="6664" max="6664" width="25" style="336" customWidth="1"/>
    <col min="6665" max="6665" width="1.83203125" style="336" customWidth="1"/>
    <col min="6666" max="6666" width="21.83203125" style="336" customWidth="1"/>
    <col min="6667" max="6667" width="19.6640625" style="336" customWidth="1"/>
    <col min="6668" max="6912" width="18.6640625" style="336"/>
    <col min="6913" max="6913" width="19.6640625" style="336" customWidth="1"/>
    <col min="6914" max="6914" width="27.33203125" style="336" customWidth="1"/>
    <col min="6915" max="6915" width="8.1640625" style="336" customWidth="1"/>
    <col min="6916" max="6916" width="19.6640625" style="336" customWidth="1"/>
    <col min="6917" max="6917" width="28.6640625" style="336" customWidth="1"/>
    <col min="6918" max="6918" width="12" style="336" customWidth="1"/>
    <col min="6919" max="6919" width="2.1640625" style="336" customWidth="1"/>
    <col min="6920" max="6920" width="25" style="336" customWidth="1"/>
    <col min="6921" max="6921" width="1.83203125" style="336" customWidth="1"/>
    <col min="6922" max="6922" width="21.83203125" style="336" customWidth="1"/>
    <col min="6923" max="6923" width="19.6640625" style="336" customWidth="1"/>
    <col min="6924" max="7168" width="18.6640625" style="336"/>
    <col min="7169" max="7169" width="19.6640625" style="336" customWidth="1"/>
    <col min="7170" max="7170" width="27.33203125" style="336" customWidth="1"/>
    <col min="7171" max="7171" width="8.1640625" style="336" customWidth="1"/>
    <col min="7172" max="7172" width="19.6640625" style="336" customWidth="1"/>
    <col min="7173" max="7173" width="28.6640625" style="336" customWidth="1"/>
    <col min="7174" max="7174" width="12" style="336" customWidth="1"/>
    <col min="7175" max="7175" width="2.1640625" style="336" customWidth="1"/>
    <col min="7176" max="7176" width="25" style="336" customWidth="1"/>
    <col min="7177" max="7177" width="1.83203125" style="336" customWidth="1"/>
    <col min="7178" max="7178" width="21.83203125" style="336" customWidth="1"/>
    <col min="7179" max="7179" width="19.6640625" style="336" customWidth="1"/>
    <col min="7180" max="7424" width="18.6640625" style="336"/>
    <col min="7425" max="7425" width="19.6640625" style="336" customWidth="1"/>
    <col min="7426" max="7426" width="27.33203125" style="336" customWidth="1"/>
    <col min="7427" max="7427" width="8.1640625" style="336" customWidth="1"/>
    <col min="7428" max="7428" width="19.6640625" style="336" customWidth="1"/>
    <col min="7429" max="7429" width="28.6640625" style="336" customWidth="1"/>
    <col min="7430" max="7430" width="12" style="336" customWidth="1"/>
    <col min="7431" max="7431" width="2.1640625" style="336" customWidth="1"/>
    <col min="7432" max="7432" width="25" style="336" customWidth="1"/>
    <col min="7433" max="7433" width="1.83203125" style="336" customWidth="1"/>
    <col min="7434" max="7434" width="21.83203125" style="336" customWidth="1"/>
    <col min="7435" max="7435" width="19.6640625" style="336" customWidth="1"/>
    <col min="7436" max="7680" width="18.6640625" style="336"/>
    <col min="7681" max="7681" width="19.6640625" style="336" customWidth="1"/>
    <col min="7682" max="7682" width="27.33203125" style="336" customWidth="1"/>
    <col min="7683" max="7683" width="8.1640625" style="336" customWidth="1"/>
    <col min="7684" max="7684" width="19.6640625" style="336" customWidth="1"/>
    <col min="7685" max="7685" width="28.6640625" style="336" customWidth="1"/>
    <col min="7686" max="7686" width="12" style="336" customWidth="1"/>
    <col min="7687" max="7687" width="2.1640625" style="336" customWidth="1"/>
    <col min="7688" max="7688" width="25" style="336" customWidth="1"/>
    <col min="7689" max="7689" width="1.83203125" style="336" customWidth="1"/>
    <col min="7690" max="7690" width="21.83203125" style="336" customWidth="1"/>
    <col min="7691" max="7691" width="19.6640625" style="336" customWidth="1"/>
    <col min="7692" max="7936" width="18.6640625" style="336"/>
    <col min="7937" max="7937" width="19.6640625" style="336" customWidth="1"/>
    <col min="7938" max="7938" width="27.33203125" style="336" customWidth="1"/>
    <col min="7939" max="7939" width="8.1640625" style="336" customWidth="1"/>
    <col min="7940" max="7940" width="19.6640625" style="336" customWidth="1"/>
    <col min="7941" max="7941" width="28.6640625" style="336" customWidth="1"/>
    <col min="7942" max="7942" width="12" style="336" customWidth="1"/>
    <col min="7943" max="7943" width="2.1640625" style="336" customWidth="1"/>
    <col min="7944" max="7944" width="25" style="336" customWidth="1"/>
    <col min="7945" max="7945" width="1.83203125" style="336" customWidth="1"/>
    <col min="7946" max="7946" width="21.83203125" style="336" customWidth="1"/>
    <col min="7947" max="7947" width="19.6640625" style="336" customWidth="1"/>
    <col min="7948" max="8192" width="18.6640625" style="336"/>
    <col min="8193" max="8193" width="19.6640625" style="336" customWidth="1"/>
    <col min="8194" max="8194" width="27.33203125" style="336" customWidth="1"/>
    <col min="8195" max="8195" width="8.1640625" style="336" customWidth="1"/>
    <col min="8196" max="8196" width="19.6640625" style="336" customWidth="1"/>
    <col min="8197" max="8197" width="28.6640625" style="336" customWidth="1"/>
    <col min="8198" max="8198" width="12" style="336" customWidth="1"/>
    <col min="8199" max="8199" width="2.1640625" style="336" customWidth="1"/>
    <col min="8200" max="8200" width="25" style="336" customWidth="1"/>
    <col min="8201" max="8201" width="1.83203125" style="336" customWidth="1"/>
    <col min="8202" max="8202" width="21.83203125" style="336" customWidth="1"/>
    <col min="8203" max="8203" width="19.6640625" style="336" customWidth="1"/>
    <col min="8204" max="8448" width="18.6640625" style="336"/>
    <col min="8449" max="8449" width="19.6640625" style="336" customWidth="1"/>
    <col min="8450" max="8450" width="27.33203125" style="336" customWidth="1"/>
    <col min="8451" max="8451" width="8.1640625" style="336" customWidth="1"/>
    <col min="8452" max="8452" width="19.6640625" style="336" customWidth="1"/>
    <col min="8453" max="8453" width="28.6640625" style="336" customWidth="1"/>
    <col min="8454" max="8454" width="12" style="336" customWidth="1"/>
    <col min="8455" max="8455" width="2.1640625" style="336" customWidth="1"/>
    <col min="8456" max="8456" width="25" style="336" customWidth="1"/>
    <col min="8457" max="8457" width="1.83203125" style="336" customWidth="1"/>
    <col min="8458" max="8458" width="21.83203125" style="336" customWidth="1"/>
    <col min="8459" max="8459" width="19.6640625" style="336" customWidth="1"/>
    <col min="8460" max="8704" width="18.6640625" style="336"/>
    <col min="8705" max="8705" width="19.6640625" style="336" customWidth="1"/>
    <col min="8706" max="8706" width="27.33203125" style="336" customWidth="1"/>
    <col min="8707" max="8707" width="8.1640625" style="336" customWidth="1"/>
    <col min="8708" max="8708" width="19.6640625" style="336" customWidth="1"/>
    <col min="8709" max="8709" width="28.6640625" style="336" customWidth="1"/>
    <col min="8710" max="8710" width="12" style="336" customWidth="1"/>
    <col min="8711" max="8711" width="2.1640625" style="336" customWidth="1"/>
    <col min="8712" max="8712" width="25" style="336" customWidth="1"/>
    <col min="8713" max="8713" width="1.83203125" style="336" customWidth="1"/>
    <col min="8714" max="8714" width="21.83203125" style="336" customWidth="1"/>
    <col min="8715" max="8715" width="19.6640625" style="336" customWidth="1"/>
    <col min="8716" max="8960" width="18.6640625" style="336"/>
    <col min="8961" max="8961" width="19.6640625" style="336" customWidth="1"/>
    <col min="8962" max="8962" width="27.33203125" style="336" customWidth="1"/>
    <col min="8963" max="8963" width="8.1640625" style="336" customWidth="1"/>
    <col min="8964" max="8964" width="19.6640625" style="336" customWidth="1"/>
    <col min="8965" max="8965" width="28.6640625" style="336" customWidth="1"/>
    <col min="8966" max="8966" width="12" style="336" customWidth="1"/>
    <col min="8967" max="8967" width="2.1640625" style="336" customWidth="1"/>
    <col min="8968" max="8968" width="25" style="336" customWidth="1"/>
    <col min="8969" max="8969" width="1.83203125" style="336" customWidth="1"/>
    <col min="8970" max="8970" width="21.83203125" style="336" customWidth="1"/>
    <col min="8971" max="8971" width="19.6640625" style="336" customWidth="1"/>
    <col min="8972" max="9216" width="18.6640625" style="336"/>
    <col min="9217" max="9217" width="19.6640625" style="336" customWidth="1"/>
    <col min="9218" max="9218" width="27.33203125" style="336" customWidth="1"/>
    <col min="9219" max="9219" width="8.1640625" style="336" customWidth="1"/>
    <col min="9220" max="9220" width="19.6640625" style="336" customWidth="1"/>
    <col min="9221" max="9221" width="28.6640625" style="336" customWidth="1"/>
    <col min="9222" max="9222" width="12" style="336" customWidth="1"/>
    <col min="9223" max="9223" width="2.1640625" style="336" customWidth="1"/>
    <col min="9224" max="9224" width="25" style="336" customWidth="1"/>
    <col min="9225" max="9225" width="1.83203125" style="336" customWidth="1"/>
    <col min="9226" max="9226" width="21.83203125" style="336" customWidth="1"/>
    <col min="9227" max="9227" width="19.6640625" style="336" customWidth="1"/>
    <col min="9228" max="9472" width="18.6640625" style="336"/>
    <col min="9473" max="9473" width="19.6640625" style="336" customWidth="1"/>
    <col min="9474" max="9474" width="27.33203125" style="336" customWidth="1"/>
    <col min="9475" max="9475" width="8.1640625" style="336" customWidth="1"/>
    <col min="9476" max="9476" width="19.6640625" style="336" customWidth="1"/>
    <col min="9477" max="9477" width="28.6640625" style="336" customWidth="1"/>
    <col min="9478" max="9478" width="12" style="336" customWidth="1"/>
    <col min="9479" max="9479" width="2.1640625" style="336" customWidth="1"/>
    <col min="9480" max="9480" width="25" style="336" customWidth="1"/>
    <col min="9481" max="9481" width="1.83203125" style="336" customWidth="1"/>
    <col min="9482" max="9482" width="21.83203125" style="336" customWidth="1"/>
    <col min="9483" max="9483" width="19.6640625" style="336" customWidth="1"/>
    <col min="9484" max="9728" width="18.6640625" style="336"/>
    <col min="9729" max="9729" width="19.6640625" style="336" customWidth="1"/>
    <col min="9730" max="9730" width="27.33203125" style="336" customWidth="1"/>
    <col min="9731" max="9731" width="8.1640625" style="336" customWidth="1"/>
    <col min="9732" max="9732" width="19.6640625" style="336" customWidth="1"/>
    <col min="9733" max="9733" width="28.6640625" style="336" customWidth="1"/>
    <col min="9734" max="9734" width="12" style="336" customWidth="1"/>
    <col min="9735" max="9735" width="2.1640625" style="336" customWidth="1"/>
    <col min="9736" max="9736" width="25" style="336" customWidth="1"/>
    <col min="9737" max="9737" width="1.83203125" style="336" customWidth="1"/>
    <col min="9738" max="9738" width="21.83203125" style="336" customWidth="1"/>
    <col min="9739" max="9739" width="19.6640625" style="336" customWidth="1"/>
    <col min="9740" max="9984" width="18.6640625" style="336"/>
    <col min="9985" max="9985" width="19.6640625" style="336" customWidth="1"/>
    <col min="9986" max="9986" width="27.33203125" style="336" customWidth="1"/>
    <col min="9987" max="9987" width="8.1640625" style="336" customWidth="1"/>
    <col min="9988" max="9988" width="19.6640625" style="336" customWidth="1"/>
    <col min="9989" max="9989" width="28.6640625" style="336" customWidth="1"/>
    <col min="9990" max="9990" width="12" style="336" customWidth="1"/>
    <col min="9991" max="9991" width="2.1640625" style="336" customWidth="1"/>
    <col min="9992" max="9992" width="25" style="336" customWidth="1"/>
    <col min="9993" max="9993" width="1.83203125" style="336" customWidth="1"/>
    <col min="9994" max="9994" width="21.83203125" style="336" customWidth="1"/>
    <col min="9995" max="9995" width="19.6640625" style="336" customWidth="1"/>
    <col min="9996" max="10240" width="18.6640625" style="336"/>
    <col min="10241" max="10241" width="19.6640625" style="336" customWidth="1"/>
    <col min="10242" max="10242" width="27.33203125" style="336" customWidth="1"/>
    <col min="10243" max="10243" width="8.1640625" style="336" customWidth="1"/>
    <col min="10244" max="10244" width="19.6640625" style="336" customWidth="1"/>
    <col min="10245" max="10245" width="28.6640625" style="336" customWidth="1"/>
    <col min="10246" max="10246" width="12" style="336" customWidth="1"/>
    <col min="10247" max="10247" width="2.1640625" style="336" customWidth="1"/>
    <col min="10248" max="10248" width="25" style="336" customWidth="1"/>
    <col min="10249" max="10249" width="1.83203125" style="336" customWidth="1"/>
    <col min="10250" max="10250" width="21.83203125" style="336" customWidth="1"/>
    <col min="10251" max="10251" width="19.6640625" style="336" customWidth="1"/>
    <col min="10252" max="10496" width="18.6640625" style="336"/>
    <col min="10497" max="10497" width="19.6640625" style="336" customWidth="1"/>
    <col min="10498" max="10498" width="27.33203125" style="336" customWidth="1"/>
    <col min="10499" max="10499" width="8.1640625" style="336" customWidth="1"/>
    <col min="10500" max="10500" width="19.6640625" style="336" customWidth="1"/>
    <col min="10501" max="10501" width="28.6640625" style="336" customWidth="1"/>
    <col min="10502" max="10502" width="12" style="336" customWidth="1"/>
    <col min="10503" max="10503" width="2.1640625" style="336" customWidth="1"/>
    <col min="10504" max="10504" width="25" style="336" customWidth="1"/>
    <col min="10505" max="10505" width="1.83203125" style="336" customWidth="1"/>
    <col min="10506" max="10506" width="21.83203125" style="336" customWidth="1"/>
    <col min="10507" max="10507" width="19.6640625" style="336" customWidth="1"/>
    <col min="10508" max="10752" width="18.6640625" style="336"/>
    <col min="10753" max="10753" width="19.6640625" style="336" customWidth="1"/>
    <col min="10754" max="10754" width="27.33203125" style="336" customWidth="1"/>
    <col min="10755" max="10755" width="8.1640625" style="336" customWidth="1"/>
    <col min="10756" max="10756" width="19.6640625" style="336" customWidth="1"/>
    <col min="10757" max="10757" width="28.6640625" style="336" customWidth="1"/>
    <col min="10758" max="10758" width="12" style="336" customWidth="1"/>
    <col min="10759" max="10759" width="2.1640625" style="336" customWidth="1"/>
    <col min="10760" max="10760" width="25" style="336" customWidth="1"/>
    <col min="10761" max="10761" width="1.83203125" style="336" customWidth="1"/>
    <col min="10762" max="10762" width="21.83203125" style="336" customWidth="1"/>
    <col min="10763" max="10763" width="19.6640625" style="336" customWidth="1"/>
    <col min="10764" max="11008" width="18.6640625" style="336"/>
    <col min="11009" max="11009" width="19.6640625" style="336" customWidth="1"/>
    <col min="11010" max="11010" width="27.33203125" style="336" customWidth="1"/>
    <col min="11011" max="11011" width="8.1640625" style="336" customWidth="1"/>
    <col min="11012" max="11012" width="19.6640625" style="336" customWidth="1"/>
    <col min="11013" max="11013" width="28.6640625" style="336" customWidth="1"/>
    <col min="11014" max="11014" width="12" style="336" customWidth="1"/>
    <col min="11015" max="11015" width="2.1640625" style="336" customWidth="1"/>
    <col min="11016" max="11016" width="25" style="336" customWidth="1"/>
    <col min="11017" max="11017" width="1.83203125" style="336" customWidth="1"/>
    <col min="11018" max="11018" width="21.83203125" style="336" customWidth="1"/>
    <col min="11019" max="11019" width="19.6640625" style="336" customWidth="1"/>
    <col min="11020" max="11264" width="18.6640625" style="336"/>
    <col min="11265" max="11265" width="19.6640625" style="336" customWidth="1"/>
    <col min="11266" max="11266" width="27.33203125" style="336" customWidth="1"/>
    <col min="11267" max="11267" width="8.1640625" style="336" customWidth="1"/>
    <col min="11268" max="11268" width="19.6640625" style="336" customWidth="1"/>
    <col min="11269" max="11269" width="28.6640625" style="336" customWidth="1"/>
    <col min="11270" max="11270" width="12" style="336" customWidth="1"/>
    <col min="11271" max="11271" width="2.1640625" style="336" customWidth="1"/>
    <col min="11272" max="11272" width="25" style="336" customWidth="1"/>
    <col min="11273" max="11273" width="1.83203125" style="336" customWidth="1"/>
    <col min="11274" max="11274" width="21.83203125" style="336" customWidth="1"/>
    <col min="11275" max="11275" width="19.6640625" style="336" customWidth="1"/>
    <col min="11276" max="11520" width="18.6640625" style="336"/>
    <col min="11521" max="11521" width="19.6640625" style="336" customWidth="1"/>
    <col min="11522" max="11522" width="27.33203125" style="336" customWidth="1"/>
    <col min="11523" max="11523" width="8.1640625" style="336" customWidth="1"/>
    <col min="11524" max="11524" width="19.6640625" style="336" customWidth="1"/>
    <col min="11525" max="11525" width="28.6640625" style="336" customWidth="1"/>
    <col min="11526" max="11526" width="12" style="336" customWidth="1"/>
    <col min="11527" max="11527" width="2.1640625" style="336" customWidth="1"/>
    <col min="11528" max="11528" width="25" style="336" customWidth="1"/>
    <col min="11529" max="11529" width="1.83203125" style="336" customWidth="1"/>
    <col min="11530" max="11530" width="21.83203125" style="336" customWidth="1"/>
    <col min="11531" max="11531" width="19.6640625" style="336" customWidth="1"/>
    <col min="11532" max="11776" width="18.6640625" style="336"/>
    <col min="11777" max="11777" width="19.6640625" style="336" customWidth="1"/>
    <col min="11778" max="11778" width="27.33203125" style="336" customWidth="1"/>
    <col min="11779" max="11779" width="8.1640625" style="336" customWidth="1"/>
    <col min="11780" max="11780" width="19.6640625" style="336" customWidth="1"/>
    <col min="11781" max="11781" width="28.6640625" style="336" customWidth="1"/>
    <col min="11782" max="11782" width="12" style="336" customWidth="1"/>
    <col min="11783" max="11783" width="2.1640625" style="336" customWidth="1"/>
    <col min="11784" max="11784" width="25" style="336" customWidth="1"/>
    <col min="11785" max="11785" width="1.83203125" style="336" customWidth="1"/>
    <col min="11786" max="11786" width="21.83203125" style="336" customWidth="1"/>
    <col min="11787" max="11787" width="19.6640625" style="336" customWidth="1"/>
    <col min="11788" max="12032" width="18.6640625" style="336"/>
    <col min="12033" max="12033" width="19.6640625" style="336" customWidth="1"/>
    <col min="12034" max="12034" width="27.33203125" style="336" customWidth="1"/>
    <col min="12035" max="12035" width="8.1640625" style="336" customWidth="1"/>
    <col min="12036" max="12036" width="19.6640625" style="336" customWidth="1"/>
    <col min="12037" max="12037" width="28.6640625" style="336" customWidth="1"/>
    <col min="12038" max="12038" width="12" style="336" customWidth="1"/>
    <col min="12039" max="12039" width="2.1640625" style="336" customWidth="1"/>
    <col min="12040" max="12040" width="25" style="336" customWidth="1"/>
    <col min="12041" max="12041" width="1.83203125" style="336" customWidth="1"/>
    <col min="12042" max="12042" width="21.83203125" style="336" customWidth="1"/>
    <col min="12043" max="12043" width="19.6640625" style="336" customWidth="1"/>
    <col min="12044" max="12288" width="18.6640625" style="336"/>
    <col min="12289" max="12289" width="19.6640625" style="336" customWidth="1"/>
    <col min="12290" max="12290" width="27.33203125" style="336" customWidth="1"/>
    <col min="12291" max="12291" width="8.1640625" style="336" customWidth="1"/>
    <col min="12292" max="12292" width="19.6640625" style="336" customWidth="1"/>
    <col min="12293" max="12293" width="28.6640625" style="336" customWidth="1"/>
    <col min="12294" max="12294" width="12" style="336" customWidth="1"/>
    <col min="12295" max="12295" width="2.1640625" style="336" customWidth="1"/>
    <col min="12296" max="12296" width="25" style="336" customWidth="1"/>
    <col min="12297" max="12297" width="1.83203125" style="336" customWidth="1"/>
    <col min="12298" max="12298" width="21.83203125" style="336" customWidth="1"/>
    <col min="12299" max="12299" width="19.6640625" style="336" customWidth="1"/>
    <col min="12300" max="12544" width="18.6640625" style="336"/>
    <col min="12545" max="12545" width="19.6640625" style="336" customWidth="1"/>
    <col min="12546" max="12546" width="27.33203125" style="336" customWidth="1"/>
    <col min="12547" max="12547" width="8.1640625" style="336" customWidth="1"/>
    <col min="12548" max="12548" width="19.6640625" style="336" customWidth="1"/>
    <col min="12549" max="12549" width="28.6640625" style="336" customWidth="1"/>
    <col min="12550" max="12550" width="12" style="336" customWidth="1"/>
    <col min="12551" max="12551" width="2.1640625" style="336" customWidth="1"/>
    <col min="12552" max="12552" width="25" style="336" customWidth="1"/>
    <col min="12553" max="12553" width="1.83203125" style="336" customWidth="1"/>
    <col min="12554" max="12554" width="21.83203125" style="336" customWidth="1"/>
    <col min="12555" max="12555" width="19.6640625" style="336" customWidth="1"/>
    <col min="12556" max="12800" width="18.6640625" style="336"/>
    <col min="12801" max="12801" width="19.6640625" style="336" customWidth="1"/>
    <col min="12802" max="12802" width="27.33203125" style="336" customWidth="1"/>
    <col min="12803" max="12803" width="8.1640625" style="336" customWidth="1"/>
    <col min="12804" max="12804" width="19.6640625" style="336" customWidth="1"/>
    <col min="12805" max="12805" width="28.6640625" style="336" customWidth="1"/>
    <col min="12806" max="12806" width="12" style="336" customWidth="1"/>
    <col min="12807" max="12807" width="2.1640625" style="336" customWidth="1"/>
    <col min="12808" max="12808" width="25" style="336" customWidth="1"/>
    <col min="12809" max="12809" width="1.83203125" style="336" customWidth="1"/>
    <col min="12810" max="12810" width="21.83203125" style="336" customWidth="1"/>
    <col min="12811" max="12811" width="19.6640625" style="336" customWidth="1"/>
    <col min="12812" max="13056" width="18.6640625" style="336"/>
    <col min="13057" max="13057" width="19.6640625" style="336" customWidth="1"/>
    <col min="13058" max="13058" width="27.33203125" style="336" customWidth="1"/>
    <col min="13059" max="13059" width="8.1640625" style="336" customWidth="1"/>
    <col min="13060" max="13060" width="19.6640625" style="336" customWidth="1"/>
    <col min="13061" max="13061" width="28.6640625" style="336" customWidth="1"/>
    <col min="13062" max="13062" width="12" style="336" customWidth="1"/>
    <col min="13063" max="13063" width="2.1640625" style="336" customWidth="1"/>
    <col min="13064" max="13064" width="25" style="336" customWidth="1"/>
    <col min="13065" max="13065" width="1.83203125" style="336" customWidth="1"/>
    <col min="13066" max="13066" width="21.83203125" style="336" customWidth="1"/>
    <col min="13067" max="13067" width="19.6640625" style="336" customWidth="1"/>
    <col min="13068" max="13312" width="18.6640625" style="336"/>
    <col min="13313" max="13313" width="19.6640625" style="336" customWidth="1"/>
    <col min="13314" max="13314" width="27.33203125" style="336" customWidth="1"/>
    <col min="13315" max="13315" width="8.1640625" style="336" customWidth="1"/>
    <col min="13316" max="13316" width="19.6640625" style="336" customWidth="1"/>
    <col min="13317" max="13317" width="28.6640625" style="336" customWidth="1"/>
    <col min="13318" max="13318" width="12" style="336" customWidth="1"/>
    <col min="13319" max="13319" width="2.1640625" style="336" customWidth="1"/>
    <col min="13320" max="13320" width="25" style="336" customWidth="1"/>
    <col min="13321" max="13321" width="1.83203125" style="336" customWidth="1"/>
    <col min="13322" max="13322" width="21.83203125" style="336" customWidth="1"/>
    <col min="13323" max="13323" width="19.6640625" style="336" customWidth="1"/>
    <col min="13324" max="13568" width="18.6640625" style="336"/>
    <col min="13569" max="13569" width="19.6640625" style="336" customWidth="1"/>
    <col min="13570" max="13570" width="27.33203125" style="336" customWidth="1"/>
    <col min="13571" max="13571" width="8.1640625" style="336" customWidth="1"/>
    <col min="13572" max="13572" width="19.6640625" style="336" customWidth="1"/>
    <col min="13573" max="13573" width="28.6640625" style="336" customWidth="1"/>
    <col min="13574" max="13574" width="12" style="336" customWidth="1"/>
    <col min="13575" max="13575" width="2.1640625" style="336" customWidth="1"/>
    <col min="13576" max="13576" width="25" style="336" customWidth="1"/>
    <col min="13577" max="13577" width="1.83203125" style="336" customWidth="1"/>
    <col min="13578" max="13578" width="21.83203125" style="336" customWidth="1"/>
    <col min="13579" max="13579" width="19.6640625" style="336" customWidth="1"/>
    <col min="13580" max="13824" width="18.6640625" style="336"/>
    <col min="13825" max="13825" width="19.6640625" style="336" customWidth="1"/>
    <col min="13826" max="13826" width="27.33203125" style="336" customWidth="1"/>
    <col min="13827" max="13827" width="8.1640625" style="336" customWidth="1"/>
    <col min="13828" max="13828" width="19.6640625" style="336" customWidth="1"/>
    <col min="13829" max="13829" width="28.6640625" style="336" customWidth="1"/>
    <col min="13830" max="13830" width="12" style="336" customWidth="1"/>
    <col min="13831" max="13831" width="2.1640625" style="336" customWidth="1"/>
    <col min="13832" max="13832" width="25" style="336" customWidth="1"/>
    <col min="13833" max="13833" width="1.83203125" style="336" customWidth="1"/>
    <col min="13834" max="13834" width="21.83203125" style="336" customWidth="1"/>
    <col min="13835" max="13835" width="19.6640625" style="336" customWidth="1"/>
    <col min="13836" max="14080" width="18.6640625" style="336"/>
    <col min="14081" max="14081" width="19.6640625" style="336" customWidth="1"/>
    <col min="14082" max="14082" width="27.33203125" style="336" customWidth="1"/>
    <col min="14083" max="14083" width="8.1640625" style="336" customWidth="1"/>
    <col min="14084" max="14084" width="19.6640625" style="336" customWidth="1"/>
    <col min="14085" max="14085" width="28.6640625" style="336" customWidth="1"/>
    <col min="14086" max="14086" width="12" style="336" customWidth="1"/>
    <col min="14087" max="14087" width="2.1640625" style="336" customWidth="1"/>
    <col min="14088" max="14088" width="25" style="336" customWidth="1"/>
    <col min="14089" max="14089" width="1.83203125" style="336" customWidth="1"/>
    <col min="14090" max="14090" width="21.83203125" style="336" customWidth="1"/>
    <col min="14091" max="14091" width="19.6640625" style="336" customWidth="1"/>
    <col min="14092" max="14336" width="18.6640625" style="336"/>
    <col min="14337" max="14337" width="19.6640625" style="336" customWidth="1"/>
    <col min="14338" max="14338" width="27.33203125" style="336" customWidth="1"/>
    <col min="14339" max="14339" width="8.1640625" style="336" customWidth="1"/>
    <col min="14340" max="14340" width="19.6640625" style="336" customWidth="1"/>
    <col min="14341" max="14341" width="28.6640625" style="336" customWidth="1"/>
    <col min="14342" max="14342" width="12" style="336" customWidth="1"/>
    <col min="14343" max="14343" width="2.1640625" style="336" customWidth="1"/>
    <col min="14344" max="14344" width="25" style="336" customWidth="1"/>
    <col min="14345" max="14345" width="1.83203125" style="336" customWidth="1"/>
    <col min="14346" max="14346" width="21.83203125" style="336" customWidth="1"/>
    <col min="14347" max="14347" width="19.6640625" style="336" customWidth="1"/>
    <col min="14348" max="14592" width="18.6640625" style="336"/>
    <col min="14593" max="14593" width="19.6640625" style="336" customWidth="1"/>
    <col min="14594" max="14594" width="27.33203125" style="336" customWidth="1"/>
    <col min="14595" max="14595" width="8.1640625" style="336" customWidth="1"/>
    <col min="14596" max="14596" width="19.6640625" style="336" customWidth="1"/>
    <col min="14597" max="14597" width="28.6640625" style="336" customWidth="1"/>
    <col min="14598" max="14598" width="12" style="336" customWidth="1"/>
    <col min="14599" max="14599" width="2.1640625" style="336" customWidth="1"/>
    <col min="14600" max="14600" width="25" style="336" customWidth="1"/>
    <col min="14601" max="14601" width="1.83203125" style="336" customWidth="1"/>
    <col min="14602" max="14602" width="21.83203125" style="336" customWidth="1"/>
    <col min="14603" max="14603" width="19.6640625" style="336" customWidth="1"/>
    <col min="14604" max="14848" width="18.6640625" style="336"/>
    <col min="14849" max="14849" width="19.6640625" style="336" customWidth="1"/>
    <col min="14850" max="14850" width="27.33203125" style="336" customWidth="1"/>
    <col min="14851" max="14851" width="8.1640625" style="336" customWidth="1"/>
    <col min="14852" max="14852" width="19.6640625" style="336" customWidth="1"/>
    <col min="14853" max="14853" width="28.6640625" style="336" customWidth="1"/>
    <col min="14854" max="14854" width="12" style="336" customWidth="1"/>
    <col min="14855" max="14855" width="2.1640625" style="336" customWidth="1"/>
    <col min="14856" max="14856" width="25" style="336" customWidth="1"/>
    <col min="14857" max="14857" width="1.83203125" style="336" customWidth="1"/>
    <col min="14858" max="14858" width="21.83203125" style="336" customWidth="1"/>
    <col min="14859" max="14859" width="19.6640625" style="336" customWidth="1"/>
    <col min="14860" max="15104" width="18.6640625" style="336"/>
    <col min="15105" max="15105" width="19.6640625" style="336" customWidth="1"/>
    <col min="15106" max="15106" width="27.33203125" style="336" customWidth="1"/>
    <col min="15107" max="15107" width="8.1640625" style="336" customWidth="1"/>
    <col min="15108" max="15108" width="19.6640625" style="336" customWidth="1"/>
    <col min="15109" max="15109" width="28.6640625" style="336" customWidth="1"/>
    <col min="15110" max="15110" width="12" style="336" customWidth="1"/>
    <col min="15111" max="15111" width="2.1640625" style="336" customWidth="1"/>
    <col min="15112" max="15112" width="25" style="336" customWidth="1"/>
    <col min="15113" max="15113" width="1.83203125" style="336" customWidth="1"/>
    <col min="15114" max="15114" width="21.83203125" style="336" customWidth="1"/>
    <col min="15115" max="15115" width="19.6640625" style="336" customWidth="1"/>
    <col min="15116" max="15360" width="18.6640625" style="336"/>
    <col min="15361" max="15361" width="19.6640625" style="336" customWidth="1"/>
    <col min="15362" max="15362" width="27.33203125" style="336" customWidth="1"/>
    <col min="15363" max="15363" width="8.1640625" style="336" customWidth="1"/>
    <col min="15364" max="15364" width="19.6640625" style="336" customWidth="1"/>
    <col min="15365" max="15365" width="28.6640625" style="336" customWidth="1"/>
    <col min="15366" max="15366" width="12" style="336" customWidth="1"/>
    <col min="15367" max="15367" width="2.1640625" style="336" customWidth="1"/>
    <col min="15368" max="15368" width="25" style="336" customWidth="1"/>
    <col min="15369" max="15369" width="1.83203125" style="336" customWidth="1"/>
    <col min="15370" max="15370" width="21.83203125" style="336" customWidth="1"/>
    <col min="15371" max="15371" width="19.6640625" style="336" customWidth="1"/>
    <col min="15372" max="15616" width="18.6640625" style="336"/>
    <col min="15617" max="15617" width="19.6640625" style="336" customWidth="1"/>
    <col min="15618" max="15618" width="27.33203125" style="336" customWidth="1"/>
    <col min="15619" max="15619" width="8.1640625" style="336" customWidth="1"/>
    <col min="15620" max="15620" width="19.6640625" style="336" customWidth="1"/>
    <col min="15621" max="15621" width="28.6640625" style="336" customWidth="1"/>
    <col min="15622" max="15622" width="12" style="336" customWidth="1"/>
    <col min="15623" max="15623" width="2.1640625" style="336" customWidth="1"/>
    <col min="15624" max="15624" width="25" style="336" customWidth="1"/>
    <col min="15625" max="15625" width="1.83203125" style="336" customWidth="1"/>
    <col min="15626" max="15626" width="21.83203125" style="336" customWidth="1"/>
    <col min="15627" max="15627" width="19.6640625" style="336" customWidth="1"/>
    <col min="15628" max="15872" width="18.6640625" style="336"/>
    <col min="15873" max="15873" width="19.6640625" style="336" customWidth="1"/>
    <col min="15874" max="15874" width="27.33203125" style="336" customWidth="1"/>
    <col min="15875" max="15875" width="8.1640625" style="336" customWidth="1"/>
    <col min="15876" max="15876" width="19.6640625" style="336" customWidth="1"/>
    <col min="15877" max="15877" width="28.6640625" style="336" customWidth="1"/>
    <col min="15878" max="15878" width="12" style="336" customWidth="1"/>
    <col min="15879" max="15879" width="2.1640625" style="336" customWidth="1"/>
    <col min="15880" max="15880" width="25" style="336" customWidth="1"/>
    <col min="15881" max="15881" width="1.83203125" style="336" customWidth="1"/>
    <col min="15882" max="15882" width="21.83203125" style="336" customWidth="1"/>
    <col min="15883" max="15883" width="19.6640625" style="336" customWidth="1"/>
    <col min="15884" max="16128" width="18.6640625" style="336"/>
    <col min="16129" max="16129" width="19.6640625" style="336" customWidth="1"/>
    <col min="16130" max="16130" width="27.33203125" style="336" customWidth="1"/>
    <col min="16131" max="16131" width="8.1640625" style="336" customWidth="1"/>
    <col min="16132" max="16132" width="19.6640625" style="336" customWidth="1"/>
    <col min="16133" max="16133" width="28.6640625" style="336" customWidth="1"/>
    <col min="16134" max="16134" width="12" style="336" customWidth="1"/>
    <col min="16135" max="16135" width="2.1640625" style="336" customWidth="1"/>
    <col min="16136" max="16136" width="25" style="336" customWidth="1"/>
    <col min="16137" max="16137" width="1.83203125" style="336" customWidth="1"/>
    <col min="16138" max="16138" width="21.83203125" style="336" customWidth="1"/>
    <col min="16139" max="16139" width="19.6640625" style="336" customWidth="1"/>
    <col min="16140" max="16384" width="18.6640625" style="336"/>
  </cols>
  <sheetData>
    <row r="1" spans="1:11" ht="32.1" customHeight="1" x14ac:dyDescent="0.15">
      <c r="A1" s="333"/>
      <c r="B1" s="334"/>
      <c r="C1" s="334"/>
      <c r="D1" s="334"/>
      <c r="E1" s="334"/>
      <c r="F1" s="334"/>
      <c r="G1" s="334"/>
      <c r="H1" s="334"/>
      <c r="I1" s="334"/>
      <c r="J1" s="335"/>
    </row>
    <row r="2" spans="1:11" ht="4.5" customHeight="1" x14ac:dyDescent="0.15">
      <c r="A2" s="337"/>
      <c r="J2" s="338"/>
    </row>
    <row r="3" spans="1:11" ht="8.25" customHeight="1" x14ac:dyDescent="0.15">
      <c r="A3" s="337"/>
      <c r="J3" s="338"/>
    </row>
    <row r="4" spans="1:11" ht="32.1" customHeight="1" x14ac:dyDescent="0.15">
      <c r="A4" s="337"/>
      <c r="J4" s="338"/>
    </row>
    <row r="5" spans="1:11" ht="32.1" customHeight="1" x14ac:dyDescent="0.15">
      <c r="A5" s="337"/>
      <c r="J5" s="338"/>
    </row>
    <row r="6" spans="1:11" ht="32.1" customHeight="1" x14ac:dyDescent="0.15">
      <c r="A6" s="337"/>
      <c r="J6" s="338"/>
    </row>
    <row r="7" spans="1:11" ht="32.1" customHeight="1" x14ac:dyDescent="0.15">
      <c r="A7" s="337"/>
      <c r="J7" s="338"/>
    </row>
    <row r="8" spans="1:11" ht="32.1" customHeight="1" x14ac:dyDescent="0.15">
      <c r="A8" s="371" t="s">
        <v>3257</v>
      </c>
      <c r="B8" s="372"/>
      <c r="C8" s="372"/>
      <c r="D8" s="372"/>
      <c r="E8" s="372"/>
      <c r="F8" s="372"/>
      <c r="G8" s="372"/>
      <c r="H8" s="372"/>
      <c r="I8" s="372"/>
      <c r="J8" s="373"/>
    </row>
    <row r="9" spans="1:11" ht="32.1" customHeight="1" x14ac:dyDescent="0.15">
      <c r="A9" s="339"/>
      <c r="B9" s="340"/>
      <c r="C9" s="340"/>
      <c r="D9" s="340"/>
      <c r="E9" s="340"/>
      <c r="F9" s="340"/>
      <c r="G9" s="340"/>
      <c r="H9" s="340"/>
      <c r="I9" s="340"/>
      <c r="J9" s="341"/>
    </row>
    <row r="10" spans="1:11" ht="15.75" customHeight="1" x14ac:dyDescent="0.15">
      <c r="A10" s="337"/>
      <c r="J10" s="338"/>
    </row>
    <row r="11" spans="1:11" s="350" customFormat="1" ht="32.1" customHeight="1" x14ac:dyDescent="0.15">
      <c r="A11" s="342"/>
      <c r="B11" s="343" t="s">
        <v>3248</v>
      </c>
      <c r="C11" s="344" t="s">
        <v>3249</v>
      </c>
      <c r="D11" s="374" t="str">
        <f>NUMBERSTRING(H11,1)</f>
        <v>팔억일천팔백오십육만</v>
      </c>
      <c r="E11" s="374"/>
      <c r="F11" s="344" t="s">
        <v>3250</v>
      </c>
      <c r="G11" s="345" t="s">
        <v>3251</v>
      </c>
      <c r="H11" s="346">
        <f>토목원가계산서!D32</f>
        <v>818559999.5454545</v>
      </c>
      <c r="I11" s="347" t="s">
        <v>3252</v>
      </c>
      <c r="J11" s="348"/>
      <c r="K11" s="349"/>
    </row>
    <row r="12" spans="1:11" s="350" customFormat="1" ht="32.1" customHeight="1" x14ac:dyDescent="0.15">
      <c r="A12" s="342"/>
      <c r="B12" s="351" t="s">
        <v>3253</v>
      </c>
      <c r="C12" s="352" t="s">
        <v>3249</v>
      </c>
      <c r="D12" s="375" t="str">
        <f>NUMBERSTRING(H12,1)</f>
        <v>영</v>
      </c>
      <c r="E12" s="375"/>
      <c r="F12" s="352" t="s">
        <v>3250</v>
      </c>
      <c r="G12" s="353" t="s">
        <v>3251</v>
      </c>
      <c r="H12" s="354">
        <f>토목원가계산서!E32</f>
        <v>0</v>
      </c>
      <c r="I12" s="355" t="s">
        <v>3252</v>
      </c>
      <c r="J12" s="356"/>
      <c r="K12" s="349"/>
    </row>
    <row r="13" spans="1:11" s="363" customFormat="1" ht="32.1" customHeight="1" x14ac:dyDescent="0.15">
      <c r="A13" s="357"/>
      <c r="B13" s="358" t="s">
        <v>3254</v>
      </c>
      <c r="C13" s="349" t="s">
        <v>3249</v>
      </c>
      <c r="D13" s="376" t="str">
        <f>NUMBERSTRING(H13,1)</f>
        <v>이억일천칠백오십팔만</v>
      </c>
      <c r="E13" s="376"/>
      <c r="F13" s="349" t="s">
        <v>3250</v>
      </c>
      <c r="G13" s="359" t="s">
        <v>3251</v>
      </c>
      <c r="H13" s="360">
        <f>토목원가계산서!G32</f>
        <v>217580000</v>
      </c>
      <c r="I13" s="361" t="s">
        <v>3252</v>
      </c>
      <c r="J13" s="362"/>
      <c r="K13" s="352"/>
    </row>
    <row r="14" spans="1:11" s="350" customFormat="1" ht="32.1" customHeight="1" x14ac:dyDescent="0.15">
      <c r="A14" s="342"/>
      <c r="B14" s="343" t="s">
        <v>3255</v>
      </c>
      <c r="C14" s="344" t="s">
        <v>3249</v>
      </c>
      <c r="D14" s="374" t="str">
        <f>NUMBERSTRING(H14,1)</f>
        <v>이억일천칠백오십팔만</v>
      </c>
      <c r="E14" s="374"/>
      <c r="F14" s="344" t="s">
        <v>3250</v>
      </c>
      <c r="G14" s="345" t="s">
        <v>3251</v>
      </c>
      <c r="H14" s="346">
        <f>H12+H13</f>
        <v>217580000</v>
      </c>
      <c r="I14" s="347" t="s">
        <v>3252</v>
      </c>
      <c r="J14" s="348"/>
      <c r="K14" s="349"/>
    </row>
    <row r="15" spans="1:11" ht="32.1" customHeight="1" x14ac:dyDescent="0.15">
      <c r="A15" s="337"/>
      <c r="B15" s="343" t="s">
        <v>3256</v>
      </c>
      <c r="C15" s="344" t="s">
        <v>3249</v>
      </c>
      <c r="D15" s="374" t="str">
        <f>NUMBERSTRING(H15,1)</f>
        <v>육억구십팔만</v>
      </c>
      <c r="E15" s="374"/>
      <c r="F15" s="344" t="s">
        <v>3250</v>
      </c>
      <c r="G15" s="345" t="s">
        <v>3251</v>
      </c>
      <c r="H15" s="346">
        <f>H11-H14</f>
        <v>600979999.5454545</v>
      </c>
      <c r="I15" s="347" t="s">
        <v>3252</v>
      </c>
      <c r="J15" s="348"/>
    </row>
    <row r="16" spans="1:11" ht="32.1" customHeight="1" x14ac:dyDescent="0.15">
      <c r="A16" s="337"/>
      <c r="F16" s="364"/>
      <c r="G16" s="364"/>
      <c r="H16" s="364"/>
      <c r="I16" s="364"/>
      <c r="J16" s="365"/>
    </row>
    <row r="17" spans="1:10" ht="12" customHeight="1" x14ac:dyDescent="0.15">
      <c r="A17" s="337"/>
      <c r="F17" s="364"/>
      <c r="G17" s="364"/>
      <c r="H17" s="364"/>
      <c r="I17" s="364"/>
      <c r="J17" s="365"/>
    </row>
    <row r="18" spans="1:10" ht="12.75" customHeight="1" x14ac:dyDescent="0.15">
      <c r="A18" s="337"/>
      <c r="J18" s="338"/>
    </row>
    <row r="19" spans="1:10" ht="32.1" customHeight="1" thickBot="1" x14ac:dyDescent="0.2">
      <c r="A19" s="366"/>
      <c r="B19" s="367"/>
      <c r="C19" s="367"/>
      <c r="D19" s="367"/>
      <c r="E19" s="369"/>
      <c r="F19" s="369"/>
      <c r="G19" s="369"/>
      <c r="H19" s="369"/>
      <c r="I19" s="369"/>
      <c r="J19" s="370"/>
    </row>
    <row r="20" spans="1:10" ht="12.75" customHeight="1" x14ac:dyDescent="0.15"/>
    <row r="22" spans="1:10" ht="12.75" customHeight="1" x14ac:dyDescent="0.15">
      <c r="H22" s="368"/>
    </row>
  </sheetData>
  <mergeCells count="7">
    <mergeCell ref="E19:J19"/>
    <mergeCell ref="A8:J8"/>
    <mergeCell ref="D11:E11"/>
    <mergeCell ref="D12:E12"/>
    <mergeCell ref="D13:E13"/>
    <mergeCell ref="D14:E14"/>
    <mergeCell ref="D15:E15"/>
  </mergeCells>
  <phoneticPr fontId="5" type="noConversion"/>
  <printOptions horizontalCentered="1"/>
  <pageMargins left="0.35433070866141736" right="0.35433070866141736" top="0.98425196850393704" bottom="0.78740157480314965" header="0.51181102362204722" footer="0.51181102362204722"/>
  <pageSetup paperSize="9" scale="95" orientation="landscape" r:id="rId1"/>
  <headerFooter alignWithMargins="0"/>
  <rowBreaks count="1" manualBreakCount="1">
    <brk id="19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6"/>
  <sheetViews>
    <sheetView showZeros="0" view="pageBreakPreview" zoomScale="70" zoomScaleNormal="100" zoomScaleSheetLayoutView="70" workbookViewId="0">
      <pane xSplit="2" ySplit="4" topLeftCell="C5" activePane="bottomRight" state="frozen"/>
      <selection activeCell="M13" sqref="M13"/>
      <selection pane="topRight" activeCell="M13" sqref="M13"/>
      <selection pane="bottomLeft" activeCell="M13" sqref="M13"/>
      <selection pane="bottomRight" activeCell="I17" sqref="I17"/>
    </sheetView>
  </sheetViews>
  <sheetFormatPr defaultColWidth="9.33203125" defaultRowHeight="10.5" x14ac:dyDescent="0.15"/>
  <cols>
    <col min="1" max="1" width="57.83203125" style="95" bestFit="1" customWidth="1"/>
    <col min="2" max="2" width="5.83203125" style="95" bestFit="1" customWidth="1"/>
    <col min="3" max="3" width="38.6640625" style="95" bestFit="1" customWidth="1"/>
    <col min="4" max="4" width="25.6640625" style="95" bestFit="1" customWidth="1"/>
    <col min="5" max="5" width="13.6640625" style="95" bestFit="1" customWidth="1"/>
    <col min="6" max="6" width="13.33203125" style="95" bestFit="1" customWidth="1"/>
    <col min="7" max="7" width="25.6640625" style="95" bestFit="1" customWidth="1"/>
    <col min="8" max="8" width="13.33203125" style="95" bestFit="1" customWidth="1"/>
    <col min="9" max="9" width="25.6640625" style="95" bestFit="1" customWidth="1"/>
    <col min="10" max="10" width="13.33203125" style="95" bestFit="1" customWidth="1"/>
    <col min="11" max="11" width="60" style="95" bestFit="1" customWidth="1"/>
    <col min="12" max="12" width="25.33203125" style="95" bestFit="1" customWidth="1"/>
    <col min="13" max="13" width="37.33203125" style="95" bestFit="1" customWidth="1"/>
    <col min="14" max="14" width="21.83203125" style="95" bestFit="1" customWidth="1"/>
    <col min="15" max="15" width="15.33203125" style="95" bestFit="1" customWidth="1"/>
    <col min="16" max="16" width="18.5" style="95" bestFit="1" customWidth="1"/>
    <col min="17" max="16384" width="9.33203125" style="95"/>
  </cols>
  <sheetData>
    <row r="1" spans="1:16" ht="33.75" customHeight="1" x14ac:dyDescent="0.15">
      <c r="A1" s="385" t="s">
        <v>3189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92"/>
      <c r="N1" s="93"/>
      <c r="O1" s="94"/>
      <c r="P1" s="94"/>
    </row>
    <row r="2" spans="1:16" ht="23.1" customHeight="1" thickBot="1" x14ac:dyDescent="0.2">
      <c r="A2" s="96" t="s">
        <v>3191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8"/>
      <c r="M2" s="98"/>
      <c r="N2" s="99" t="s">
        <v>2860</v>
      </c>
      <c r="O2" s="94"/>
      <c r="P2" s="94"/>
    </row>
    <row r="3" spans="1:16" s="229" customFormat="1" ht="18" customHeight="1" x14ac:dyDescent="0.15">
      <c r="A3" s="379" t="s">
        <v>2861</v>
      </c>
      <c r="B3" s="380"/>
      <c r="C3" s="381"/>
      <c r="D3" s="387" t="s">
        <v>3247</v>
      </c>
      <c r="E3" s="387" t="s">
        <v>3243</v>
      </c>
      <c r="F3" s="395" t="s">
        <v>3242</v>
      </c>
      <c r="G3" s="389" t="s">
        <v>3244</v>
      </c>
      <c r="H3" s="397" t="s">
        <v>3242</v>
      </c>
      <c r="I3" s="399" t="s">
        <v>3246</v>
      </c>
      <c r="J3" s="387" t="s">
        <v>3242</v>
      </c>
      <c r="K3" s="391" t="s">
        <v>2862</v>
      </c>
      <c r="L3" s="393" t="s">
        <v>3190</v>
      </c>
      <c r="M3" s="226" t="s">
        <v>3192</v>
      </c>
      <c r="N3" s="227"/>
      <c r="O3" s="228"/>
      <c r="P3" s="228"/>
    </row>
    <row r="4" spans="1:16" s="229" customFormat="1" ht="18" customHeight="1" x14ac:dyDescent="0.15">
      <c r="A4" s="382"/>
      <c r="B4" s="383"/>
      <c r="C4" s="384"/>
      <c r="D4" s="388"/>
      <c r="E4" s="388"/>
      <c r="F4" s="396"/>
      <c r="G4" s="390"/>
      <c r="H4" s="398"/>
      <c r="I4" s="400"/>
      <c r="J4" s="388"/>
      <c r="K4" s="392"/>
      <c r="L4" s="394"/>
      <c r="M4" s="230"/>
      <c r="N4" s="231" t="s">
        <v>2863</v>
      </c>
      <c r="O4" s="228"/>
      <c r="P4" s="228"/>
    </row>
    <row r="5" spans="1:16" s="190" customFormat="1" ht="24.95" customHeight="1" x14ac:dyDescent="0.15">
      <c r="A5" s="235"/>
      <c r="B5" s="236" t="s">
        <v>2864</v>
      </c>
      <c r="C5" s="237" t="s">
        <v>2865</v>
      </c>
      <c r="D5" s="238">
        <v>128998292</v>
      </c>
      <c r="E5" s="238"/>
      <c r="F5" s="282">
        <f>IFERROR(E5/D5,0)</f>
        <v>0</v>
      </c>
      <c r="G5" s="299">
        <f>내역서!S9</f>
        <v>29756977</v>
      </c>
      <c r="H5" s="300">
        <f>IFERROR(G5/D5,0)</f>
        <v>0.2306772945489852</v>
      </c>
      <c r="I5" s="290">
        <f>E5+G5</f>
        <v>29756977</v>
      </c>
      <c r="J5" s="239">
        <f>IFERROR(I5/D5,0)</f>
        <v>0.2306772945489852</v>
      </c>
      <c r="K5" s="240"/>
      <c r="L5" s="241"/>
      <c r="M5" s="242"/>
      <c r="N5" s="243"/>
      <c r="O5" s="94"/>
      <c r="P5" s="94"/>
    </row>
    <row r="6" spans="1:16" s="190" customFormat="1" ht="24.95" customHeight="1" x14ac:dyDescent="0.15">
      <c r="A6" s="244" t="s">
        <v>2866</v>
      </c>
      <c r="B6" s="323" t="s">
        <v>2867</v>
      </c>
      <c r="C6" s="245" t="s">
        <v>2868</v>
      </c>
      <c r="D6" s="246"/>
      <c r="E6" s="246"/>
      <c r="F6" s="283">
        <f t="shared" ref="F6:F36" si="0">IFERROR(E6/D6,0)</f>
        <v>0</v>
      </c>
      <c r="G6" s="301"/>
      <c r="H6" s="302">
        <f t="shared" ref="H6:H32" si="1">IFERROR(G6/D6,0)</f>
        <v>0</v>
      </c>
      <c r="I6" s="291">
        <f t="shared" ref="I6:I32" si="2">E6+G6</f>
        <v>0</v>
      </c>
      <c r="J6" s="247">
        <f t="shared" ref="J6:J32" si="3">IFERROR(I6/D6,0)</f>
        <v>0</v>
      </c>
      <c r="K6" s="248"/>
      <c r="L6" s="249"/>
      <c r="M6" s="242"/>
      <c r="N6" s="243"/>
      <c r="O6" s="94"/>
      <c r="P6" s="94"/>
    </row>
    <row r="7" spans="1:16" s="190" customFormat="1" ht="24.95" customHeight="1" x14ac:dyDescent="0.15">
      <c r="A7" s="244"/>
      <c r="B7" s="323" t="s">
        <v>2869</v>
      </c>
      <c r="C7" s="250" t="s">
        <v>2870</v>
      </c>
      <c r="D7" s="251"/>
      <c r="E7" s="251"/>
      <c r="F7" s="284">
        <f t="shared" si="0"/>
        <v>0</v>
      </c>
      <c r="G7" s="303"/>
      <c r="H7" s="304">
        <f t="shared" si="1"/>
        <v>0</v>
      </c>
      <c r="I7" s="292">
        <f t="shared" si="2"/>
        <v>0</v>
      </c>
      <c r="J7" s="252">
        <f t="shared" si="3"/>
        <v>0</v>
      </c>
      <c r="K7" s="253"/>
      <c r="L7" s="254"/>
      <c r="M7" s="242"/>
      <c r="N7" s="243"/>
      <c r="O7" s="94"/>
      <c r="P7" s="94"/>
    </row>
    <row r="8" spans="1:16" s="190" customFormat="1" ht="24.95" customHeight="1" x14ac:dyDescent="0.15">
      <c r="A8" s="244"/>
      <c r="B8" s="323"/>
      <c r="C8" s="255" t="s">
        <v>2871</v>
      </c>
      <c r="D8" s="256">
        <f>SUM(D5:D7)</f>
        <v>128998292</v>
      </c>
      <c r="E8" s="256"/>
      <c r="F8" s="285">
        <f t="shared" si="0"/>
        <v>0</v>
      </c>
      <c r="G8" s="305">
        <f>G5+G6+G7</f>
        <v>29756977</v>
      </c>
      <c r="H8" s="306">
        <f t="shared" si="1"/>
        <v>0.2306772945489852</v>
      </c>
      <c r="I8" s="293">
        <f t="shared" si="2"/>
        <v>29756977</v>
      </c>
      <c r="J8" s="257">
        <f t="shared" si="3"/>
        <v>0.2306772945489852</v>
      </c>
      <c r="K8" s="258"/>
      <c r="L8" s="259"/>
      <c r="M8" s="242"/>
      <c r="N8" s="243"/>
      <c r="O8" s="94"/>
      <c r="P8" s="94"/>
    </row>
    <row r="9" spans="1:16" s="190" customFormat="1" ht="24.95" customHeight="1" x14ac:dyDescent="0.15">
      <c r="A9" s="244" t="s">
        <v>2872</v>
      </c>
      <c r="B9" s="260" t="s">
        <v>2873</v>
      </c>
      <c r="C9" s="261" t="s">
        <v>2874</v>
      </c>
      <c r="D9" s="262">
        <v>290768141</v>
      </c>
      <c r="E9" s="262"/>
      <c r="F9" s="286">
        <f t="shared" si="0"/>
        <v>0</v>
      </c>
      <c r="G9" s="307">
        <f>내역서!T9</f>
        <v>77572233</v>
      </c>
      <c r="H9" s="308">
        <f t="shared" si="1"/>
        <v>0.26678381177943428</v>
      </c>
      <c r="I9" s="294">
        <f t="shared" si="2"/>
        <v>77572233</v>
      </c>
      <c r="J9" s="263">
        <f t="shared" si="3"/>
        <v>0.26678381177943428</v>
      </c>
      <c r="K9" s="264"/>
      <c r="L9" s="265"/>
      <c r="M9" s="266"/>
      <c r="N9" s="243" t="s">
        <v>2875</v>
      </c>
      <c r="O9" s="94"/>
      <c r="P9" s="94"/>
    </row>
    <row r="10" spans="1:16" s="190" customFormat="1" ht="24.95" customHeight="1" x14ac:dyDescent="0.15">
      <c r="A10" s="244"/>
      <c r="B10" s="267" t="s">
        <v>2876</v>
      </c>
      <c r="C10" s="250" t="s">
        <v>2877</v>
      </c>
      <c r="D10" s="251">
        <v>41579844</v>
      </c>
      <c r="E10" s="251"/>
      <c r="F10" s="284">
        <f t="shared" si="0"/>
        <v>0</v>
      </c>
      <c r="G10" s="303">
        <f>INT(G9*N10)</f>
        <v>11092829</v>
      </c>
      <c r="H10" s="304">
        <f t="shared" si="1"/>
        <v>0.26678380515328531</v>
      </c>
      <c r="I10" s="292">
        <f t="shared" si="2"/>
        <v>11092829</v>
      </c>
      <c r="J10" s="252">
        <f t="shared" si="3"/>
        <v>0.26678380515328531</v>
      </c>
      <c r="K10" s="253" t="s">
        <v>2878</v>
      </c>
      <c r="L10" s="254"/>
      <c r="M10" s="242"/>
      <c r="N10" s="268">
        <v>0.14299999999999999</v>
      </c>
      <c r="O10" s="104"/>
      <c r="P10" s="94"/>
    </row>
    <row r="11" spans="1:16" s="190" customFormat="1" ht="24.95" customHeight="1" x14ac:dyDescent="0.15">
      <c r="A11" s="244"/>
      <c r="B11" s="267" t="s">
        <v>2879</v>
      </c>
      <c r="C11" s="255" t="s">
        <v>2871</v>
      </c>
      <c r="D11" s="256">
        <f>SUM(D9:D10)</f>
        <v>332347985</v>
      </c>
      <c r="E11" s="256"/>
      <c r="F11" s="285">
        <f t="shared" si="0"/>
        <v>0</v>
      </c>
      <c r="G11" s="305">
        <f>G9+G10</f>
        <v>88665062</v>
      </c>
      <c r="H11" s="306">
        <f t="shared" si="1"/>
        <v>0.26678381095044101</v>
      </c>
      <c r="I11" s="293">
        <f t="shared" si="2"/>
        <v>88665062</v>
      </c>
      <c r="J11" s="257">
        <f t="shared" si="3"/>
        <v>0.26678381095044101</v>
      </c>
      <c r="K11" s="258"/>
      <c r="L11" s="259"/>
      <c r="M11" s="269"/>
      <c r="N11" s="243"/>
      <c r="O11" s="94"/>
      <c r="P11" s="94"/>
    </row>
    <row r="12" spans="1:16" s="190" customFormat="1" ht="24.95" customHeight="1" x14ac:dyDescent="0.15">
      <c r="A12" s="270"/>
      <c r="B12" s="260"/>
      <c r="C12" s="261" t="s">
        <v>2880</v>
      </c>
      <c r="D12" s="271"/>
      <c r="E12" s="271"/>
      <c r="F12" s="287">
        <f t="shared" si="0"/>
        <v>0</v>
      </c>
      <c r="G12" s="309"/>
      <c r="H12" s="310">
        <f t="shared" si="1"/>
        <v>0</v>
      </c>
      <c r="I12" s="295">
        <f t="shared" si="2"/>
        <v>0</v>
      </c>
      <c r="J12" s="272">
        <f t="shared" si="3"/>
        <v>0</v>
      </c>
      <c r="K12" s="264"/>
      <c r="L12" s="265"/>
      <c r="M12" s="242"/>
      <c r="N12" s="243"/>
      <c r="O12" s="94"/>
      <c r="P12" s="94"/>
    </row>
    <row r="13" spans="1:16" s="190" customFormat="1" ht="24.95" customHeight="1" x14ac:dyDescent="0.15">
      <c r="A13" s="270" t="s">
        <v>2881</v>
      </c>
      <c r="B13" s="267"/>
      <c r="C13" s="245" t="s">
        <v>2882</v>
      </c>
      <c r="D13" s="273">
        <v>79339367</v>
      </c>
      <c r="E13" s="273"/>
      <c r="F13" s="288">
        <f t="shared" si="0"/>
        <v>0</v>
      </c>
      <c r="G13" s="311">
        <f>내역서!U9</f>
        <v>32559060</v>
      </c>
      <c r="H13" s="312">
        <f t="shared" si="1"/>
        <v>0.41037710825194762</v>
      </c>
      <c r="I13" s="296">
        <f t="shared" si="2"/>
        <v>32559060</v>
      </c>
      <c r="J13" s="274">
        <f t="shared" si="3"/>
        <v>0.41037710825194762</v>
      </c>
      <c r="K13" s="248"/>
      <c r="L13" s="249"/>
      <c r="M13" s="242"/>
      <c r="N13" s="243"/>
      <c r="O13" s="94"/>
      <c r="P13" s="94"/>
    </row>
    <row r="14" spans="1:16" s="190" customFormat="1" ht="24.95" customHeight="1" x14ac:dyDescent="0.15">
      <c r="A14" s="270"/>
      <c r="B14" s="267"/>
      <c r="C14" s="245" t="s">
        <v>2883</v>
      </c>
      <c r="D14" s="246">
        <v>11831588</v>
      </c>
      <c r="E14" s="246"/>
      <c r="F14" s="283">
        <f t="shared" si="0"/>
        <v>0</v>
      </c>
      <c r="G14" s="301">
        <f>INT(G11*N14)</f>
        <v>3156476</v>
      </c>
      <c r="H14" s="302">
        <f t="shared" si="1"/>
        <v>0.26678379943588298</v>
      </c>
      <c r="I14" s="291">
        <f t="shared" si="2"/>
        <v>3156476</v>
      </c>
      <c r="J14" s="247">
        <f t="shared" si="3"/>
        <v>0.26678379943588298</v>
      </c>
      <c r="K14" s="248" t="s">
        <v>2884</v>
      </c>
      <c r="L14" s="249"/>
      <c r="M14" s="242"/>
      <c r="N14" s="268">
        <v>3.56E-2</v>
      </c>
      <c r="O14" s="94"/>
      <c r="P14" s="94"/>
    </row>
    <row r="15" spans="1:16" s="190" customFormat="1" ht="24.95" customHeight="1" x14ac:dyDescent="0.15">
      <c r="A15" s="270"/>
      <c r="B15" s="267" t="s">
        <v>2885</v>
      </c>
      <c r="C15" s="245" t="s">
        <v>2886</v>
      </c>
      <c r="D15" s="246">
        <v>3356714</v>
      </c>
      <c r="E15" s="246"/>
      <c r="F15" s="283">
        <f t="shared" si="0"/>
        <v>0</v>
      </c>
      <c r="G15" s="301">
        <f>INT(G11*N15)</f>
        <v>895517</v>
      </c>
      <c r="H15" s="302">
        <f t="shared" si="1"/>
        <v>0.26678382489541858</v>
      </c>
      <c r="I15" s="291">
        <f t="shared" si="2"/>
        <v>895517</v>
      </c>
      <c r="J15" s="247">
        <f t="shared" si="3"/>
        <v>0.26678382489541858</v>
      </c>
      <c r="K15" s="248" t="s">
        <v>2887</v>
      </c>
      <c r="L15" s="249"/>
      <c r="M15" s="242"/>
      <c r="N15" s="268">
        <v>1.01E-2</v>
      </c>
      <c r="O15" s="94"/>
      <c r="P15" s="94"/>
    </row>
    <row r="16" spans="1:16" s="190" customFormat="1" ht="24.95" customHeight="1" x14ac:dyDescent="0.15">
      <c r="A16" s="270"/>
      <c r="B16" s="267"/>
      <c r="C16" s="245" t="s">
        <v>2888</v>
      </c>
      <c r="D16" s="246">
        <v>11730751</v>
      </c>
      <c r="E16" s="246"/>
      <c r="F16" s="283">
        <f t="shared" si="0"/>
        <v>0</v>
      </c>
      <c r="G16" s="301"/>
      <c r="H16" s="302">
        <f t="shared" si="1"/>
        <v>0</v>
      </c>
      <c r="I16" s="291">
        <f t="shared" si="2"/>
        <v>0</v>
      </c>
      <c r="J16" s="247">
        <f t="shared" si="3"/>
        <v>0</v>
      </c>
      <c r="K16" s="248" t="s">
        <v>2889</v>
      </c>
      <c r="L16" s="249"/>
      <c r="M16" s="242" t="e">
        <f>ROUND(#REF!*0.03545,0)</f>
        <v>#REF!</v>
      </c>
      <c r="N16" s="268">
        <v>3.5450000000000002E-2</v>
      </c>
      <c r="O16" s="94"/>
      <c r="P16" s="94"/>
    </row>
    <row r="17" spans="1:16" s="190" customFormat="1" ht="24.95" customHeight="1" x14ac:dyDescent="0.15">
      <c r="A17" s="270" t="s">
        <v>2890</v>
      </c>
      <c r="B17" s="267"/>
      <c r="C17" s="245" t="s">
        <v>2891</v>
      </c>
      <c r="D17" s="246">
        <v>14890940</v>
      </c>
      <c r="E17" s="246"/>
      <c r="F17" s="283">
        <f t="shared" si="0"/>
        <v>0</v>
      </c>
      <c r="G17" s="301"/>
      <c r="H17" s="302">
        <f t="shared" si="1"/>
        <v>0</v>
      </c>
      <c r="I17" s="291">
        <f t="shared" si="2"/>
        <v>0</v>
      </c>
      <c r="J17" s="247">
        <f t="shared" si="3"/>
        <v>0</v>
      </c>
      <c r="K17" s="248" t="s">
        <v>2892</v>
      </c>
      <c r="L17" s="249"/>
      <c r="M17" s="242" t="e">
        <f>ROUND(#REF!*0.045,0)</f>
        <v>#REF!</v>
      </c>
      <c r="N17" s="268">
        <v>4.4999999999999998E-2</v>
      </c>
      <c r="O17" s="94"/>
      <c r="P17" s="94"/>
    </row>
    <row r="18" spans="1:16" s="190" customFormat="1" ht="24.95" customHeight="1" x14ac:dyDescent="0.15">
      <c r="A18" s="270"/>
      <c r="B18" s="267"/>
      <c r="C18" s="245" t="s">
        <v>2893</v>
      </c>
      <c r="D18" s="246">
        <v>1519131</v>
      </c>
      <c r="E18" s="246"/>
      <c r="F18" s="283">
        <f t="shared" si="0"/>
        <v>0</v>
      </c>
      <c r="G18" s="301"/>
      <c r="H18" s="302">
        <f t="shared" si="1"/>
        <v>0</v>
      </c>
      <c r="I18" s="291">
        <f t="shared" si="2"/>
        <v>0</v>
      </c>
      <c r="J18" s="247">
        <f t="shared" si="3"/>
        <v>0</v>
      </c>
      <c r="K18" s="248" t="s">
        <v>2894</v>
      </c>
      <c r="L18" s="249" t="s">
        <v>2895</v>
      </c>
      <c r="M18" s="242" t="e">
        <f>ROUND(#REF!*0.1295,0)</f>
        <v>#REF!</v>
      </c>
      <c r="N18" s="268">
        <v>0.1295</v>
      </c>
      <c r="O18" s="94"/>
      <c r="P18" s="94"/>
    </row>
    <row r="19" spans="1:16" s="190" customFormat="1" ht="24.95" customHeight="1" x14ac:dyDescent="0.15">
      <c r="A19" s="270"/>
      <c r="B19" s="267"/>
      <c r="C19" s="245" t="s">
        <v>2896</v>
      </c>
      <c r="D19" s="246">
        <v>7610925</v>
      </c>
      <c r="E19" s="246"/>
      <c r="F19" s="283">
        <f t="shared" si="0"/>
        <v>0</v>
      </c>
      <c r="G19" s="301"/>
      <c r="H19" s="302">
        <f t="shared" si="1"/>
        <v>0</v>
      </c>
      <c r="I19" s="291">
        <f t="shared" si="2"/>
        <v>0</v>
      </c>
      <c r="J19" s="247">
        <f t="shared" si="3"/>
        <v>0</v>
      </c>
      <c r="K19" s="248" t="s">
        <v>2897</v>
      </c>
      <c r="L19" s="249"/>
      <c r="M19" s="242" t="e">
        <f>ROUND(#REF!*0.023,0)</f>
        <v>#REF!</v>
      </c>
      <c r="N19" s="268">
        <v>2.3E-2</v>
      </c>
      <c r="O19" s="94" t="s">
        <v>2924</v>
      </c>
      <c r="P19" s="94">
        <f>내역서!H11</f>
        <v>86781280</v>
      </c>
    </row>
    <row r="20" spans="1:16" s="190" customFormat="1" ht="24.95" customHeight="1" x14ac:dyDescent="0.15">
      <c r="A20" s="270" t="s">
        <v>2895</v>
      </c>
      <c r="B20" s="267"/>
      <c r="C20" s="245" t="s">
        <v>2898</v>
      </c>
      <c r="D20" s="246">
        <v>898390</v>
      </c>
      <c r="E20" s="246"/>
      <c r="F20" s="283">
        <f t="shared" si="0"/>
        <v>0</v>
      </c>
      <c r="G20" s="301"/>
      <c r="H20" s="302">
        <f t="shared" si="1"/>
        <v>0</v>
      </c>
      <c r="I20" s="291">
        <f t="shared" si="2"/>
        <v>0</v>
      </c>
      <c r="J20" s="247">
        <f t="shared" si="3"/>
        <v>0</v>
      </c>
      <c r="K20" s="248" t="s">
        <v>2899</v>
      </c>
      <c r="L20" s="249"/>
      <c r="M20" s="242"/>
      <c r="N20" s="268">
        <v>1.8E-3</v>
      </c>
      <c r="O20" s="94" t="s">
        <v>2925</v>
      </c>
      <c r="P20" s="105">
        <f>(D8+D9+P19/1.1)*N21</f>
        <v>5983902.0687272735</v>
      </c>
    </row>
    <row r="21" spans="1:16" s="190" customFormat="1" ht="24.95" customHeight="1" x14ac:dyDescent="0.15">
      <c r="A21" s="270" t="s">
        <v>2900</v>
      </c>
      <c r="B21" s="267" t="s">
        <v>2901</v>
      </c>
      <c r="C21" s="245" t="s">
        <v>2902</v>
      </c>
      <c r="D21" s="246">
        <v>6531859</v>
      </c>
      <c r="E21" s="246"/>
      <c r="F21" s="283">
        <f t="shared" si="0"/>
        <v>0</v>
      </c>
      <c r="G21" s="301">
        <v>3000000</v>
      </c>
      <c r="H21" s="302">
        <f t="shared" si="1"/>
        <v>0.45928731774522386</v>
      </c>
      <c r="I21" s="291">
        <f t="shared" si="2"/>
        <v>3000000</v>
      </c>
      <c r="J21" s="247">
        <f t="shared" si="3"/>
        <v>0.45928731774522386</v>
      </c>
      <c r="K21" s="248" t="s">
        <v>2903</v>
      </c>
      <c r="L21" s="249"/>
      <c r="M21" s="242" t="e">
        <f>ROUND((#REF!+#REF!+#REF!)*0.012,0)</f>
        <v>#REF!</v>
      </c>
      <c r="N21" s="268">
        <v>1.2E-2</v>
      </c>
      <c r="O21" s="94" t="s">
        <v>2926</v>
      </c>
      <c r="P21" s="105">
        <f>(((D8+D9)*N21)*1.2)</f>
        <v>6044636.6352000004</v>
      </c>
    </row>
    <row r="22" spans="1:16" s="190" customFormat="1" ht="24.95" customHeight="1" x14ac:dyDescent="0.15">
      <c r="A22" s="270"/>
      <c r="B22" s="267"/>
      <c r="C22" s="245" t="s">
        <v>2904</v>
      </c>
      <c r="D22" s="246">
        <v>1497317</v>
      </c>
      <c r="E22" s="246"/>
      <c r="F22" s="283">
        <f t="shared" si="0"/>
        <v>0</v>
      </c>
      <c r="G22" s="301">
        <v>1400000</v>
      </c>
      <c r="H22" s="302">
        <f t="shared" si="1"/>
        <v>0.93500574694603744</v>
      </c>
      <c r="I22" s="291">
        <f t="shared" si="2"/>
        <v>1400000</v>
      </c>
      <c r="J22" s="247">
        <f t="shared" si="3"/>
        <v>0.93500574694603744</v>
      </c>
      <c r="K22" s="248" t="s">
        <v>2905</v>
      </c>
      <c r="L22" s="249"/>
      <c r="M22" s="242"/>
      <c r="N22" s="268">
        <v>3.0000000000000001E-3</v>
      </c>
      <c r="O22" s="94"/>
      <c r="P22" s="94"/>
    </row>
    <row r="23" spans="1:16" s="190" customFormat="1" ht="24.95" customHeight="1" x14ac:dyDescent="0.15">
      <c r="A23" s="270"/>
      <c r="B23" s="267"/>
      <c r="C23" s="245" t="s">
        <v>2906</v>
      </c>
      <c r="D23" s="246">
        <v>25374045</v>
      </c>
      <c r="E23" s="246"/>
      <c r="F23" s="283">
        <f t="shared" si="0"/>
        <v>0</v>
      </c>
      <c r="G23" s="301">
        <f>INT((G8+G11)*N23)</f>
        <v>6513212</v>
      </c>
      <c r="H23" s="302">
        <f t="shared" si="1"/>
        <v>0.25668796599044419</v>
      </c>
      <c r="I23" s="291">
        <f t="shared" si="2"/>
        <v>6513212</v>
      </c>
      <c r="J23" s="247">
        <f t="shared" si="3"/>
        <v>0.25668796599044419</v>
      </c>
      <c r="K23" s="248" t="s">
        <v>2907</v>
      </c>
      <c r="L23" s="249"/>
      <c r="M23" s="242"/>
      <c r="N23" s="268">
        <v>5.5E-2</v>
      </c>
      <c r="O23" s="94"/>
      <c r="P23" s="94"/>
    </row>
    <row r="24" spans="1:16" s="190" customFormat="1" ht="24.95" customHeight="1" x14ac:dyDescent="0.15">
      <c r="A24" s="270"/>
      <c r="B24" s="267"/>
      <c r="C24" s="250" t="s">
        <v>2908</v>
      </c>
      <c r="D24" s="251">
        <v>404275</v>
      </c>
      <c r="E24" s="251"/>
      <c r="F24" s="284">
        <f t="shared" si="0"/>
        <v>0</v>
      </c>
      <c r="G24" s="303"/>
      <c r="H24" s="304">
        <f t="shared" si="1"/>
        <v>0</v>
      </c>
      <c r="I24" s="292">
        <f t="shared" si="2"/>
        <v>0</v>
      </c>
      <c r="J24" s="252">
        <f t="shared" si="3"/>
        <v>0</v>
      </c>
      <c r="K24" s="253" t="s">
        <v>2909</v>
      </c>
      <c r="L24" s="254"/>
      <c r="M24" s="242"/>
      <c r="N24" s="268">
        <v>8.0999999999999996E-4</v>
      </c>
      <c r="O24" s="94"/>
      <c r="P24" s="94"/>
    </row>
    <row r="25" spans="1:16" s="190" customFormat="1" ht="24.95" customHeight="1" x14ac:dyDescent="0.15">
      <c r="A25" s="275"/>
      <c r="B25" s="276"/>
      <c r="C25" s="255" t="s">
        <v>2871</v>
      </c>
      <c r="D25" s="256">
        <f>SUM(D12:D24)</f>
        <v>164985302</v>
      </c>
      <c r="E25" s="256"/>
      <c r="F25" s="285">
        <f t="shared" si="0"/>
        <v>0</v>
      </c>
      <c r="G25" s="305">
        <f>SUM(G12:G24)</f>
        <v>47524265</v>
      </c>
      <c r="H25" s="306">
        <f t="shared" si="1"/>
        <v>0.28805150776400679</v>
      </c>
      <c r="I25" s="293">
        <f t="shared" si="2"/>
        <v>47524265</v>
      </c>
      <c r="J25" s="257">
        <f t="shared" si="3"/>
        <v>0.28805150776400679</v>
      </c>
      <c r="K25" s="258"/>
      <c r="L25" s="259"/>
      <c r="M25" s="97"/>
      <c r="N25" s="243"/>
      <c r="O25" s="94"/>
      <c r="P25" s="94"/>
    </row>
    <row r="26" spans="1:16" s="190" customFormat="1" ht="24.95" customHeight="1" x14ac:dyDescent="0.15">
      <c r="A26" s="277" t="s">
        <v>1544</v>
      </c>
      <c r="B26" s="278"/>
      <c r="C26" s="279"/>
      <c r="D26" s="256">
        <f>D8+D11+D25</f>
        <v>626331579</v>
      </c>
      <c r="E26" s="256"/>
      <c r="F26" s="285">
        <f t="shared" si="0"/>
        <v>0</v>
      </c>
      <c r="G26" s="305">
        <f>INT(G8+G11+G25)</f>
        <v>165946304</v>
      </c>
      <c r="H26" s="306">
        <f t="shared" si="1"/>
        <v>0.2649496042734259</v>
      </c>
      <c r="I26" s="293">
        <f t="shared" si="2"/>
        <v>165946304</v>
      </c>
      <c r="J26" s="257">
        <f t="shared" si="3"/>
        <v>0.2649496042734259</v>
      </c>
      <c r="K26" s="258"/>
      <c r="L26" s="259"/>
      <c r="M26" s="97"/>
      <c r="N26" s="268"/>
      <c r="O26" s="94"/>
      <c r="P26" s="94"/>
    </row>
    <row r="27" spans="1:16" s="190" customFormat="1" ht="24.95" customHeight="1" x14ac:dyDescent="0.15">
      <c r="A27" s="277" t="s">
        <v>2910</v>
      </c>
      <c r="B27" s="278"/>
      <c r="C27" s="279"/>
      <c r="D27" s="280">
        <v>37579894</v>
      </c>
      <c r="E27" s="280"/>
      <c r="F27" s="289">
        <f t="shared" si="0"/>
        <v>0</v>
      </c>
      <c r="G27" s="313">
        <f>INT(G26*N27)</f>
        <v>9956778</v>
      </c>
      <c r="H27" s="314">
        <f t="shared" si="1"/>
        <v>0.26494960310425569</v>
      </c>
      <c r="I27" s="297">
        <f t="shared" si="2"/>
        <v>9956778</v>
      </c>
      <c r="J27" s="281">
        <f t="shared" si="3"/>
        <v>0.26494960310425569</v>
      </c>
      <c r="K27" s="258" t="s">
        <v>2911</v>
      </c>
      <c r="L27" s="259"/>
      <c r="M27" s="97"/>
      <c r="N27" s="268">
        <v>0.06</v>
      </c>
      <c r="O27" s="94"/>
      <c r="P27" s="94"/>
    </row>
    <row r="28" spans="1:16" s="190" customFormat="1" ht="24.95" customHeight="1" x14ac:dyDescent="0.15">
      <c r="A28" s="277" t="s">
        <v>2912</v>
      </c>
      <c r="B28" s="278"/>
      <c r="C28" s="279"/>
      <c r="D28" s="256">
        <f>D26+D27</f>
        <v>663911473</v>
      </c>
      <c r="E28" s="256"/>
      <c r="F28" s="285">
        <f t="shared" si="0"/>
        <v>0</v>
      </c>
      <c r="G28" s="305">
        <f>INT(G26+G27)</f>
        <v>175903082</v>
      </c>
      <c r="H28" s="306">
        <f t="shared" si="1"/>
        <v>0.26494960420724645</v>
      </c>
      <c r="I28" s="293">
        <f t="shared" si="2"/>
        <v>175903082</v>
      </c>
      <c r="J28" s="257">
        <f t="shared" si="3"/>
        <v>0.26494960420724645</v>
      </c>
      <c r="K28" s="258"/>
      <c r="L28" s="259"/>
      <c r="M28" s="97"/>
      <c r="N28" s="268"/>
      <c r="O28" s="94"/>
      <c r="P28" s="94"/>
    </row>
    <row r="29" spans="1:16" s="190" customFormat="1" ht="24.95" customHeight="1" x14ac:dyDescent="0.15">
      <c r="A29" s="277" t="s">
        <v>2913</v>
      </c>
      <c r="B29" s="278"/>
      <c r="C29" s="279"/>
      <c r="D29" s="280">
        <v>80233981.545454547</v>
      </c>
      <c r="E29" s="280"/>
      <c r="F29" s="289">
        <f t="shared" si="0"/>
        <v>0</v>
      </c>
      <c r="G29" s="313">
        <f>INT(((G11+G25+G27)*N29))-24997</f>
        <v>21896918</v>
      </c>
      <c r="H29" s="314">
        <f t="shared" si="1"/>
        <v>0.27291326665117388</v>
      </c>
      <c r="I29" s="297">
        <f t="shared" si="2"/>
        <v>21896918</v>
      </c>
      <c r="J29" s="281">
        <f t="shared" si="3"/>
        <v>0.27291326665117388</v>
      </c>
      <c r="K29" s="258" t="s">
        <v>2914</v>
      </c>
      <c r="L29" s="259" t="s">
        <v>2915</v>
      </c>
      <c r="M29" s="97"/>
      <c r="N29" s="268">
        <v>0.15</v>
      </c>
      <c r="O29" s="94"/>
      <c r="P29" s="94"/>
    </row>
    <row r="30" spans="1:16" s="190" customFormat="1" ht="24.95" customHeight="1" x14ac:dyDescent="0.15">
      <c r="A30" s="277" t="s">
        <v>2916</v>
      </c>
      <c r="B30" s="278"/>
      <c r="C30" s="279"/>
      <c r="D30" s="256">
        <f>D28+D29</f>
        <v>744145454.5454545</v>
      </c>
      <c r="E30" s="256"/>
      <c r="F30" s="285">
        <f t="shared" si="0"/>
        <v>0</v>
      </c>
      <c r="G30" s="305">
        <f>SUM(G28:G29)</f>
        <v>197800000</v>
      </c>
      <c r="H30" s="306">
        <f t="shared" si="1"/>
        <v>0.26580824863174357</v>
      </c>
      <c r="I30" s="293">
        <f t="shared" si="2"/>
        <v>197800000</v>
      </c>
      <c r="J30" s="257">
        <f t="shared" si="3"/>
        <v>0.26580824863174357</v>
      </c>
      <c r="K30" s="258"/>
      <c r="L30" s="259"/>
      <c r="M30" s="97"/>
      <c r="N30" s="243" t="s">
        <v>2895</v>
      </c>
      <c r="O30" s="94"/>
      <c r="P30" s="94"/>
    </row>
    <row r="31" spans="1:16" s="190" customFormat="1" ht="24.95" customHeight="1" x14ac:dyDescent="0.15">
      <c r="A31" s="277" t="s">
        <v>2917</v>
      </c>
      <c r="B31" s="278"/>
      <c r="C31" s="279"/>
      <c r="D31" s="280">
        <v>74414545</v>
      </c>
      <c r="E31" s="280"/>
      <c r="F31" s="289">
        <f t="shared" si="0"/>
        <v>0</v>
      </c>
      <c r="G31" s="313">
        <f>INT(G30*N31)</f>
        <v>19780000</v>
      </c>
      <c r="H31" s="314">
        <f t="shared" si="1"/>
        <v>0.2658082502553768</v>
      </c>
      <c r="I31" s="297">
        <f t="shared" si="2"/>
        <v>19780000</v>
      </c>
      <c r="J31" s="281">
        <f t="shared" si="3"/>
        <v>0.2658082502553768</v>
      </c>
      <c r="K31" s="258" t="s">
        <v>2918</v>
      </c>
      <c r="L31" s="259"/>
      <c r="M31" s="97"/>
      <c r="N31" s="268">
        <v>0.1</v>
      </c>
      <c r="O31" s="94"/>
      <c r="P31" s="94"/>
    </row>
    <row r="32" spans="1:16" s="190" customFormat="1" ht="24.95" customHeight="1" thickBot="1" x14ac:dyDescent="0.2">
      <c r="A32" s="324" t="s">
        <v>2919</v>
      </c>
      <c r="B32" s="325"/>
      <c r="C32" s="326"/>
      <c r="D32" s="327">
        <f>D30+D31</f>
        <v>818559999.5454545</v>
      </c>
      <c r="E32" s="327"/>
      <c r="F32" s="328">
        <f t="shared" si="0"/>
        <v>0</v>
      </c>
      <c r="G32" s="315">
        <f>SUM(G30:G31)</f>
        <v>217580000</v>
      </c>
      <c r="H32" s="316">
        <f t="shared" si="1"/>
        <v>0.26580824877934661</v>
      </c>
      <c r="I32" s="329">
        <f t="shared" si="2"/>
        <v>217580000</v>
      </c>
      <c r="J32" s="330">
        <f t="shared" si="3"/>
        <v>0.26580824877934661</v>
      </c>
      <c r="K32" s="331"/>
      <c r="L32" s="332"/>
      <c r="M32" s="227"/>
      <c r="N32" s="268"/>
      <c r="O32" s="94"/>
      <c r="P32" s="94"/>
    </row>
    <row r="33" spans="1:16" ht="24.95" customHeight="1" x14ac:dyDescent="0.15">
      <c r="A33" s="317" t="s">
        <v>2920</v>
      </c>
      <c r="B33" s="318"/>
      <c r="C33" s="319"/>
      <c r="D33" s="298">
        <v>87240000</v>
      </c>
      <c r="E33" s="298"/>
      <c r="F33" s="320">
        <f t="shared" si="0"/>
        <v>0</v>
      </c>
      <c r="G33" s="298">
        <f>G34+G35</f>
        <v>87240000</v>
      </c>
      <c r="H33" s="298"/>
      <c r="I33" s="298">
        <f>I34+I35</f>
        <v>86781280</v>
      </c>
      <c r="J33" s="298"/>
      <c r="K33" s="321"/>
      <c r="L33" s="322"/>
      <c r="M33" s="114"/>
      <c r="N33" s="103"/>
      <c r="O33" s="94"/>
      <c r="P33" s="94"/>
    </row>
    <row r="34" spans="1:16" ht="24.95" customHeight="1" x14ac:dyDescent="0.15">
      <c r="A34" s="377" t="s">
        <v>2921</v>
      </c>
      <c r="B34" s="378"/>
      <c r="C34" s="378"/>
      <c r="D34" s="107">
        <v>87240000</v>
      </c>
      <c r="E34" s="107"/>
      <c r="F34" s="233">
        <f t="shared" si="0"/>
        <v>0</v>
      </c>
      <c r="G34" s="107">
        <f>내역서!F107</f>
        <v>87240000</v>
      </c>
      <c r="H34" s="107"/>
      <c r="I34" s="107">
        <f>내역서!H107</f>
        <v>86781280</v>
      </c>
      <c r="J34" s="107"/>
      <c r="K34" s="101"/>
      <c r="L34" s="102"/>
      <c r="M34" s="114"/>
      <c r="N34" s="103"/>
      <c r="O34" s="94"/>
      <c r="P34" s="94"/>
    </row>
    <row r="35" spans="1:16" ht="24.95" customHeight="1" x14ac:dyDescent="0.15">
      <c r="A35" s="377" t="s">
        <v>2922</v>
      </c>
      <c r="B35" s="378"/>
      <c r="C35" s="378"/>
      <c r="D35" s="106"/>
      <c r="E35" s="106"/>
      <c r="F35" s="232">
        <f t="shared" si="0"/>
        <v>0</v>
      </c>
      <c r="G35" s="106"/>
      <c r="H35" s="106"/>
      <c r="I35" s="106"/>
      <c r="J35" s="106"/>
      <c r="K35" s="101"/>
      <c r="L35" s="102"/>
      <c r="M35" s="114"/>
      <c r="N35" s="103"/>
      <c r="O35" s="94"/>
      <c r="P35" s="94"/>
    </row>
    <row r="36" spans="1:16" ht="24.95" customHeight="1" thickBot="1" x14ac:dyDescent="0.2">
      <c r="A36" s="108" t="s">
        <v>2923</v>
      </c>
      <c r="B36" s="109"/>
      <c r="C36" s="110"/>
      <c r="D36" s="111">
        <v>905799999.5454545</v>
      </c>
      <c r="E36" s="111"/>
      <c r="F36" s="234">
        <f t="shared" si="0"/>
        <v>0</v>
      </c>
      <c r="G36" s="111">
        <f>SUM(G32:G33)</f>
        <v>304820000</v>
      </c>
      <c r="H36" s="111"/>
      <c r="I36" s="111">
        <f>SUM(I32:I33)</f>
        <v>304361280</v>
      </c>
      <c r="J36" s="111"/>
      <c r="K36" s="112"/>
      <c r="L36" s="113"/>
      <c r="M36" s="115"/>
      <c r="N36" s="100"/>
      <c r="O36" s="94"/>
      <c r="P36" s="94"/>
    </row>
  </sheetData>
  <mergeCells count="13">
    <mergeCell ref="A34:C34"/>
    <mergeCell ref="A35:C35"/>
    <mergeCell ref="A3:C4"/>
    <mergeCell ref="A1:L1"/>
    <mergeCell ref="D3:D4"/>
    <mergeCell ref="G3:G4"/>
    <mergeCell ref="K3:K4"/>
    <mergeCell ref="L3:L4"/>
    <mergeCell ref="E3:E4"/>
    <mergeCell ref="F3:F4"/>
    <mergeCell ref="H3:H4"/>
    <mergeCell ref="I3:I4"/>
    <mergeCell ref="J3:J4"/>
  </mergeCells>
  <phoneticPr fontId="5" type="noConversion"/>
  <printOptions horizontalCentered="1"/>
  <pageMargins left="0.39370078740157483" right="0.19685039370078741" top="0.78740157480314965" bottom="0.39370078740157483" header="0.39370078740157483" footer="0.39370078740157483"/>
  <pageSetup paperSize="9" scale="5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I130"/>
  <sheetViews>
    <sheetView showZeros="0" view="pageBreakPreview" zoomScaleNormal="100" zoomScaleSheetLayoutView="100" workbookViewId="0">
      <pane xSplit="1" ySplit="4" topLeftCell="B5" activePane="bottomRight" state="frozen"/>
      <selection activeCell="M13" sqref="M13"/>
      <selection pane="topRight" activeCell="M13" sqref="M13"/>
      <selection pane="bottomLeft" activeCell="M13" sqref="M13"/>
      <selection pane="bottomRight" activeCell="P22" sqref="P22"/>
    </sheetView>
  </sheetViews>
  <sheetFormatPr defaultRowHeight="14.1" customHeight="1" outlineLevelCol="1" x14ac:dyDescent="0.15"/>
  <cols>
    <col min="1" max="1" width="33.83203125" style="117" customWidth="1"/>
    <col min="2" max="2" width="26.1640625" style="117" customWidth="1"/>
    <col min="3" max="3" width="8.33203125" style="116" customWidth="1"/>
    <col min="4" max="4" width="10" style="119" customWidth="1"/>
    <col min="5" max="5" width="16.83203125" style="118" customWidth="1"/>
    <col min="6" max="6" width="18.83203125" style="118" customWidth="1"/>
    <col min="7" max="7" width="16.83203125" style="118" hidden="1" customWidth="1" outlineLevel="1"/>
    <col min="8" max="8" width="18.83203125" style="118" hidden="1" customWidth="1" outlineLevel="1"/>
    <col min="9" max="9" width="16.83203125" style="118" hidden="1" customWidth="1" outlineLevel="1"/>
    <col min="10" max="10" width="18.83203125" style="118" hidden="1" customWidth="1" outlineLevel="1"/>
    <col min="11" max="11" width="16.83203125" style="118" hidden="1" customWidth="1" outlineLevel="1"/>
    <col min="12" max="12" width="18.83203125" style="118" hidden="1" customWidth="1" outlineLevel="1"/>
    <col min="13" max="13" width="13.83203125" style="118" customWidth="1" collapsed="1"/>
    <col min="14" max="14" width="18.83203125" style="118" customWidth="1"/>
    <col min="15" max="15" width="11.83203125" style="118" customWidth="1"/>
    <col min="16" max="16" width="13.83203125" style="118" customWidth="1"/>
    <col min="17" max="17" width="18.83203125" style="118" customWidth="1"/>
    <col min="18" max="18" width="11.83203125" style="118" customWidth="1"/>
    <col min="19" max="21" width="18.83203125" style="118" hidden="1" customWidth="1" outlineLevel="1"/>
    <col min="22" max="22" width="13.83203125" style="118" customWidth="1" collapsed="1"/>
    <col min="23" max="23" width="18.83203125" style="118" customWidth="1"/>
    <col min="24" max="24" width="11.83203125" style="118" customWidth="1"/>
    <col min="25" max="25" width="18.83203125" customWidth="1"/>
    <col min="26" max="37" width="9.33203125" hidden="1" customWidth="1" outlineLevel="1"/>
    <col min="38" max="38" width="11" hidden="1" customWidth="1" outlineLevel="1"/>
    <col min="39" max="39" width="12.1640625" hidden="1" customWidth="1" outlineLevel="1"/>
    <col min="40" max="40" width="11" hidden="1" customWidth="1" outlineLevel="1"/>
    <col min="41" max="71" width="9.33203125" hidden="1" customWidth="1" outlineLevel="1"/>
    <col min="72" max="72" width="12.1640625" bestFit="1" customWidth="1" collapsed="1"/>
    <col min="73" max="73" width="16.6640625" bestFit="1" customWidth="1"/>
    <col min="79" max="84" width="14.5" bestFit="1" customWidth="1"/>
    <col min="85" max="85" width="13" bestFit="1" customWidth="1"/>
    <col min="86" max="86" width="14.5" bestFit="1" customWidth="1"/>
    <col min="87" max="87" width="6.5" bestFit="1" customWidth="1"/>
  </cols>
  <sheetData>
    <row r="1" spans="1:87" ht="49.5" customHeight="1" x14ac:dyDescent="0.15">
      <c r="A1" s="401" t="s">
        <v>3232</v>
      </c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BT1" s="62" t="s">
        <v>2988</v>
      </c>
      <c r="BU1" s="63">
        <f>+[1]원가계산서!$M$1</f>
        <v>0.85935600000000001</v>
      </c>
    </row>
    <row r="2" spans="1:87" s="190" customFormat="1" ht="16.5" customHeight="1" x14ac:dyDescent="0.15">
      <c r="A2" s="415" t="s">
        <v>445</v>
      </c>
      <c r="B2" s="415" t="s">
        <v>1293</v>
      </c>
      <c r="C2" s="417" t="s">
        <v>3193</v>
      </c>
      <c r="D2" s="404" t="s">
        <v>1664</v>
      </c>
      <c r="E2" s="405" t="s">
        <v>3231</v>
      </c>
      <c r="F2" s="405" t="s">
        <v>2859</v>
      </c>
      <c r="G2" s="419" t="s">
        <v>3233</v>
      </c>
      <c r="H2" s="420"/>
      <c r="I2" s="420"/>
      <c r="J2" s="420"/>
      <c r="K2" s="420"/>
      <c r="L2" s="421"/>
      <c r="M2" s="412" t="s">
        <v>3243</v>
      </c>
      <c r="N2" s="413"/>
      <c r="O2" s="414"/>
      <c r="P2" s="406" t="s">
        <v>3244</v>
      </c>
      <c r="Q2" s="407"/>
      <c r="R2" s="408"/>
      <c r="S2" s="409" t="s">
        <v>3194</v>
      </c>
      <c r="T2" s="410"/>
      <c r="U2" s="411"/>
      <c r="V2" s="412" t="s">
        <v>3246</v>
      </c>
      <c r="W2" s="413"/>
      <c r="X2" s="414"/>
      <c r="Y2" s="403" t="s">
        <v>3245</v>
      </c>
      <c r="CA2" s="190" t="s">
        <v>2786</v>
      </c>
      <c r="CB2" s="190" t="s">
        <v>2859</v>
      </c>
      <c r="CC2" s="190" t="s">
        <v>1942</v>
      </c>
      <c r="CD2" s="190" t="s">
        <v>2859</v>
      </c>
      <c r="CE2" s="190" t="s">
        <v>1175</v>
      </c>
      <c r="CF2" s="190" t="s">
        <v>2859</v>
      </c>
      <c r="CG2" s="190" t="s">
        <v>171</v>
      </c>
      <c r="CH2" s="190" t="s">
        <v>2859</v>
      </c>
      <c r="CI2" s="190" t="s">
        <v>716</v>
      </c>
    </row>
    <row r="3" spans="1:87" s="190" customFormat="1" ht="16.5" customHeight="1" x14ac:dyDescent="0.15">
      <c r="A3" s="416"/>
      <c r="B3" s="416"/>
      <c r="C3" s="418"/>
      <c r="D3" s="404" t="s">
        <v>2859</v>
      </c>
      <c r="E3" s="211" t="s">
        <v>623</v>
      </c>
      <c r="F3" s="211" t="s">
        <v>352</v>
      </c>
      <c r="G3" s="213" t="s">
        <v>3234</v>
      </c>
      <c r="H3" s="213" t="s">
        <v>3237</v>
      </c>
      <c r="I3" s="213" t="s">
        <v>3235</v>
      </c>
      <c r="J3" s="213" t="s">
        <v>3238</v>
      </c>
      <c r="K3" s="213" t="s">
        <v>3236</v>
      </c>
      <c r="L3" s="213" t="s">
        <v>3239</v>
      </c>
      <c r="M3" s="211" t="s">
        <v>3241</v>
      </c>
      <c r="N3" s="211" t="s">
        <v>3194</v>
      </c>
      <c r="O3" s="211" t="s">
        <v>3242</v>
      </c>
      <c r="P3" s="224" t="s">
        <v>3241</v>
      </c>
      <c r="Q3" s="224" t="s">
        <v>3194</v>
      </c>
      <c r="R3" s="224" t="s">
        <v>3242</v>
      </c>
      <c r="S3" s="225" t="s">
        <v>3234</v>
      </c>
      <c r="T3" s="225" t="s">
        <v>3235</v>
      </c>
      <c r="U3" s="225" t="s">
        <v>3236</v>
      </c>
      <c r="V3" s="211" t="s">
        <v>3241</v>
      </c>
      <c r="W3" s="211" t="s">
        <v>3194</v>
      </c>
      <c r="X3" s="211" t="s">
        <v>3242</v>
      </c>
      <c r="Y3" s="403"/>
      <c r="AE3" s="212" t="s">
        <v>923</v>
      </c>
      <c r="AF3" s="212" t="s">
        <v>2089</v>
      </c>
      <c r="AG3" s="212" t="s">
        <v>980</v>
      </c>
      <c r="AH3" s="212" t="s">
        <v>364</v>
      </c>
      <c r="AI3" s="212" t="s">
        <v>153</v>
      </c>
      <c r="AJ3" s="212" t="s">
        <v>874</v>
      </c>
      <c r="AK3" s="212" t="s">
        <v>1934</v>
      </c>
      <c r="CA3" s="190" t="s">
        <v>623</v>
      </c>
      <c r="CB3" s="190" t="s">
        <v>352</v>
      </c>
      <c r="CC3" s="190" t="s">
        <v>623</v>
      </c>
      <c r="CD3" s="190" t="s">
        <v>352</v>
      </c>
      <c r="CE3" s="190" t="s">
        <v>623</v>
      </c>
      <c r="CF3" s="190" t="s">
        <v>352</v>
      </c>
      <c r="CG3" s="190" t="s">
        <v>623</v>
      </c>
      <c r="CH3" s="190" t="s">
        <v>352</v>
      </c>
      <c r="CI3" s="190" t="s">
        <v>2859</v>
      </c>
    </row>
    <row r="4" spans="1:87" s="190" customFormat="1" ht="20.100000000000001" customHeight="1" x14ac:dyDescent="0.15">
      <c r="A4" s="402" t="s">
        <v>3195</v>
      </c>
      <c r="B4" s="402"/>
      <c r="C4" s="184" t="s">
        <v>2293</v>
      </c>
      <c r="D4" s="187">
        <v>1</v>
      </c>
      <c r="E4" s="185"/>
      <c r="F4" s="186">
        <f t="shared" ref="F4:F72" si="0">H4+J4+L4</f>
        <v>499105800</v>
      </c>
      <c r="G4" s="185"/>
      <c r="H4" s="186">
        <f>TRUNC(H5+H6+H7+H8,0)</f>
        <v>128998292</v>
      </c>
      <c r="I4" s="185"/>
      <c r="J4" s="186">
        <f>TRUNC(J5+J6+J7+J8,0)</f>
        <v>290768141</v>
      </c>
      <c r="K4" s="185"/>
      <c r="L4" s="186">
        <f>TRUNC(L5+L6+L7+L8,0)</f>
        <v>79339367</v>
      </c>
      <c r="M4" s="186"/>
      <c r="N4" s="186"/>
      <c r="O4" s="220">
        <f>IFERROR(N4/F4,0)</f>
        <v>0</v>
      </c>
      <c r="P4" s="186"/>
      <c r="Q4" s="186">
        <f>SUM(S4:U4)</f>
        <v>0</v>
      </c>
      <c r="R4" s="220">
        <f>IFERROR(Q4/F4,0)</f>
        <v>0</v>
      </c>
      <c r="S4" s="186"/>
      <c r="T4" s="186"/>
      <c r="U4" s="186"/>
      <c r="V4" s="186">
        <f>M4+P4</f>
        <v>0</v>
      </c>
      <c r="W4" s="186">
        <f>N4+Q4</f>
        <v>0</v>
      </c>
      <c r="X4" s="220">
        <f>IFERROR(W4/F4,0)</f>
        <v>0</v>
      </c>
      <c r="Y4" s="189"/>
      <c r="Z4" s="190" t="s">
        <v>2710</v>
      </c>
      <c r="AA4" s="190" t="s">
        <v>1314</v>
      </c>
      <c r="CB4" s="190">
        <v>534111775</v>
      </c>
      <c r="CD4" s="190">
        <v>131808974</v>
      </c>
      <c r="CF4" s="190">
        <v>285215447</v>
      </c>
      <c r="CH4" s="190">
        <v>117087354</v>
      </c>
      <c r="CI4" s="190" t="s">
        <v>2859</v>
      </c>
    </row>
    <row r="5" spans="1:87" s="190" customFormat="1" ht="20.100000000000001" customHeight="1" x14ac:dyDescent="0.15">
      <c r="A5" s="191" t="s">
        <v>1154</v>
      </c>
      <c r="B5" s="191" t="s">
        <v>2859</v>
      </c>
      <c r="C5" s="192" t="s">
        <v>2293</v>
      </c>
      <c r="D5" s="193">
        <v>1</v>
      </c>
      <c r="E5" s="193">
        <f t="shared" ref="E5:E12" si="1">G5+I5+K5</f>
        <v>147855095</v>
      </c>
      <c r="F5" s="193">
        <f t="shared" si="0"/>
        <v>147855095</v>
      </c>
      <c r="G5" s="193">
        <f>H13</f>
        <v>25872443</v>
      </c>
      <c r="H5" s="193">
        <f>TRUNC(G5*D5,0)</f>
        <v>25872443</v>
      </c>
      <c r="I5" s="193">
        <f>J13</f>
        <v>87253547</v>
      </c>
      <c r="J5" s="193">
        <f>TRUNC(I5*D5,0)</f>
        <v>87253547</v>
      </c>
      <c r="K5" s="193">
        <f>L13</f>
        <v>34729105</v>
      </c>
      <c r="L5" s="193">
        <f>TRUNC(K5*D5,0)</f>
        <v>34729105</v>
      </c>
      <c r="M5" s="193"/>
      <c r="N5" s="193"/>
      <c r="O5" s="221">
        <f t="shared" ref="O5:O68" si="2">IFERROR(N5/F5,0)</f>
        <v>0</v>
      </c>
      <c r="P5" s="193"/>
      <c r="Q5" s="193">
        <f t="shared" ref="Q5:Q68" si="3">SUM(S5:U5)</f>
        <v>43234623</v>
      </c>
      <c r="R5" s="221">
        <f t="shared" ref="R5:R68" si="4">IFERROR(Q5/F5,0)</f>
        <v>0.29241212823947665</v>
      </c>
      <c r="S5" s="193">
        <f>S13</f>
        <v>6945193</v>
      </c>
      <c r="T5" s="193">
        <f>T13</f>
        <v>26468927</v>
      </c>
      <c r="U5" s="193">
        <f>U13</f>
        <v>9820503</v>
      </c>
      <c r="V5" s="193"/>
      <c r="W5" s="193"/>
      <c r="X5" s="221">
        <f t="shared" ref="X5:X68" si="5">IFERROR(W5/F5,0)</f>
        <v>0</v>
      </c>
      <c r="Y5" s="194"/>
      <c r="Z5" s="190" t="s">
        <v>2859</v>
      </c>
      <c r="AB5" s="190" t="s">
        <v>322</v>
      </c>
      <c r="AC5" s="190" t="s">
        <v>2859</v>
      </c>
      <c r="AD5" s="190" t="s">
        <v>2366</v>
      </c>
      <c r="BU5" s="195" t="str">
        <f>HYPERLINK("#내역서!A12","A01 →")</f>
        <v>A01 →</v>
      </c>
      <c r="CA5" s="190">
        <v>135927963</v>
      </c>
      <c r="CB5" s="190">
        <v>135927963</v>
      </c>
      <c r="CC5" s="190">
        <v>25228975</v>
      </c>
      <c r="CD5" s="190">
        <v>25228975</v>
      </c>
      <c r="CE5" s="190">
        <v>78917934</v>
      </c>
      <c r="CF5" s="190">
        <v>78917934</v>
      </c>
      <c r="CG5" s="190">
        <v>31781054</v>
      </c>
      <c r="CH5" s="190">
        <v>31781054</v>
      </c>
      <c r="CI5" s="190" t="s">
        <v>2859</v>
      </c>
    </row>
    <row r="6" spans="1:87" s="190" customFormat="1" ht="20.100000000000001" customHeight="1" x14ac:dyDescent="0.15">
      <c r="A6" s="191" t="s">
        <v>705</v>
      </c>
      <c r="B6" s="191" t="s">
        <v>2859</v>
      </c>
      <c r="C6" s="192" t="s">
        <v>2293</v>
      </c>
      <c r="D6" s="193">
        <v>1</v>
      </c>
      <c r="E6" s="193">
        <f t="shared" si="1"/>
        <v>249127758</v>
      </c>
      <c r="F6" s="193">
        <f t="shared" si="0"/>
        <v>249127758</v>
      </c>
      <c r="G6" s="193">
        <f>H30</f>
        <v>69934323</v>
      </c>
      <c r="H6" s="193">
        <f>TRUNC(G6*D6,0)</f>
        <v>69934323</v>
      </c>
      <c r="I6" s="193">
        <f>J30</f>
        <v>169464217</v>
      </c>
      <c r="J6" s="193">
        <f>TRUNC(I6*D6,0)</f>
        <v>169464217</v>
      </c>
      <c r="K6" s="193">
        <f>L30</f>
        <v>9729218</v>
      </c>
      <c r="L6" s="193">
        <f>TRUNC(K6*D6,0)</f>
        <v>9729218</v>
      </c>
      <c r="M6" s="193"/>
      <c r="N6" s="193"/>
      <c r="O6" s="221">
        <f t="shared" si="2"/>
        <v>0</v>
      </c>
      <c r="P6" s="193"/>
      <c r="Q6" s="193">
        <f t="shared" si="3"/>
        <v>63349207</v>
      </c>
      <c r="R6" s="221">
        <f t="shared" si="4"/>
        <v>0.254284016797518</v>
      </c>
      <c r="S6" s="193">
        <f>S30</f>
        <v>22679324</v>
      </c>
      <c r="T6" s="193">
        <f>T30</f>
        <v>38487046</v>
      </c>
      <c r="U6" s="193">
        <f>U30</f>
        <v>2182837</v>
      </c>
      <c r="V6" s="193"/>
      <c r="W6" s="193"/>
      <c r="X6" s="221">
        <f t="shared" si="5"/>
        <v>0</v>
      </c>
      <c r="Y6" s="194"/>
      <c r="Z6" s="190" t="s">
        <v>2859</v>
      </c>
      <c r="AB6" s="190" t="s">
        <v>2491</v>
      </c>
      <c r="AC6" s="190" t="s">
        <v>2859</v>
      </c>
      <c r="AD6" s="190" t="s">
        <v>1204</v>
      </c>
      <c r="BU6" s="195" t="str">
        <f>HYPERLINK("#내역서!A28","A02 →")</f>
        <v>A02 →</v>
      </c>
      <c r="CA6" s="190">
        <v>223387024</v>
      </c>
      <c r="CB6" s="190">
        <v>223387024</v>
      </c>
      <c r="CC6" s="190">
        <v>42285506</v>
      </c>
      <c r="CD6" s="190">
        <v>42285506</v>
      </c>
      <c r="CE6" s="190">
        <v>170530411</v>
      </c>
      <c r="CF6" s="190">
        <v>170530411</v>
      </c>
      <c r="CG6" s="190">
        <v>10571107</v>
      </c>
      <c r="CH6" s="190">
        <v>10571107</v>
      </c>
      <c r="CI6" s="190" t="s">
        <v>2859</v>
      </c>
    </row>
    <row r="7" spans="1:87" s="190" customFormat="1" ht="20.100000000000001" customHeight="1" x14ac:dyDescent="0.15">
      <c r="A7" s="191" t="s">
        <v>1096</v>
      </c>
      <c r="B7" s="191" t="s">
        <v>2859</v>
      </c>
      <c r="C7" s="192" t="s">
        <v>2293</v>
      </c>
      <c r="D7" s="193">
        <v>1</v>
      </c>
      <c r="E7" s="193">
        <f t="shared" si="1"/>
        <v>52288564</v>
      </c>
      <c r="F7" s="193">
        <f t="shared" si="0"/>
        <v>52288564</v>
      </c>
      <c r="G7" s="193">
        <f>H75</f>
        <v>33012526</v>
      </c>
      <c r="H7" s="193">
        <f>TRUNC(G7*D7,0)</f>
        <v>33012526</v>
      </c>
      <c r="I7" s="193">
        <f>J75</f>
        <v>17001377</v>
      </c>
      <c r="J7" s="193">
        <f>TRUNC(I7*D7,0)</f>
        <v>17001377</v>
      </c>
      <c r="K7" s="193">
        <f>L75</f>
        <v>2274661</v>
      </c>
      <c r="L7" s="193">
        <f>TRUNC(K7*D7,0)</f>
        <v>2274661</v>
      </c>
      <c r="M7" s="193"/>
      <c r="N7" s="193"/>
      <c r="O7" s="221">
        <f t="shared" si="2"/>
        <v>0</v>
      </c>
      <c r="P7" s="193"/>
      <c r="Q7" s="193">
        <f t="shared" si="3"/>
        <v>0</v>
      </c>
      <c r="R7" s="221">
        <f t="shared" si="4"/>
        <v>0</v>
      </c>
      <c r="S7" s="193">
        <f>S75</f>
        <v>0</v>
      </c>
      <c r="T7" s="193">
        <f>T75</f>
        <v>0</v>
      </c>
      <c r="U7" s="193">
        <f>U75</f>
        <v>0</v>
      </c>
      <c r="V7" s="193"/>
      <c r="W7" s="193"/>
      <c r="X7" s="221">
        <f t="shared" si="5"/>
        <v>0</v>
      </c>
      <c r="Y7" s="194"/>
      <c r="Z7" s="190" t="s">
        <v>2859</v>
      </c>
      <c r="AB7" s="190" t="s">
        <v>1745</v>
      </c>
      <c r="AC7" s="190" t="s">
        <v>2859</v>
      </c>
      <c r="AD7" s="190" t="s">
        <v>2852</v>
      </c>
      <c r="BU7" s="195" t="str">
        <f>HYPERLINK("#내역서!A70","A03 →")</f>
        <v>A03 →</v>
      </c>
      <c r="CA7" s="190">
        <v>103918045</v>
      </c>
      <c r="CB7" s="190">
        <v>103918045</v>
      </c>
      <c r="CC7" s="190">
        <v>64294493</v>
      </c>
      <c r="CD7" s="190">
        <v>64294493</v>
      </c>
      <c r="CE7" s="190">
        <v>35767102</v>
      </c>
      <c r="CF7" s="190">
        <v>35767102</v>
      </c>
      <c r="CG7" s="190">
        <v>3856450</v>
      </c>
      <c r="CH7" s="190">
        <v>3856450</v>
      </c>
      <c r="CI7" s="190" t="s">
        <v>2859</v>
      </c>
    </row>
    <row r="8" spans="1:87" s="190" customFormat="1" ht="20.100000000000001" customHeight="1" x14ac:dyDescent="0.15">
      <c r="A8" s="191" t="s">
        <v>1165</v>
      </c>
      <c r="B8" s="191" t="s">
        <v>2859</v>
      </c>
      <c r="C8" s="192" t="s">
        <v>2293</v>
      </c>
      <c r="D8" s="193">
        <v>1</v>
      </c>
      <c r="E8" s="193">
        <f t="shared" si="1"/>
        <v>49834383</v>
      </c>
      <c r="F8" s="193">
        <f t="shared" si="0"/>
        <v>49834383</v>
      </c>
      <c r="G8" s="193">
        <f>H96</f>
        <v>179000</v>
      </c>
      <c r="H8" s="193">
        <f>TRUNC(G8*D8,0)</f>
        <v>179000</v>
      </c>
      <c r="I8" s="193">
        <f>J96</f>
        <v>17049000</v>
      </c>
      <c r="J8" s="193">
        <f>TRUNC(I8*D8,0)</f>
        <v>17049000</v>
      </c>
      <c r="K8" s="193">
        <f>L96</f>
        <v>32606383</v>
      </c>
      <c r="L8" s="193">
        <f>TRUNC(K8*D8,0)</f>
        <v>32606383</v>
      </c>
      <c r="M8" s="193"/>
      <c r="N8" s="193"/>
      <c r="O8" s="221">
        <f t="shared" si="2"/>
        <v>0</v>
      </c>
      <c r="P8" s="193"/>
      <c r="Q8" s="193">
        <f t="shared" si="3"/>
        <v>33304440</v>
      </c>
      <c r="R8" s="221">
        <f t="shared" si="4"/>
        <v>0.66830244492040769</v>
      </c>
      <c r="S8" s="193">
        <f>S96</f>
        <v>132460</v>
      </c>
      <c r="T8" s="193">
        <f>T96</f>
        <v>12616260</v>
      </c>
      <c r="U8" s="193">
        <f>U96</f>
        <v>20555720</v>
      </c>
      <c r="V8" s="193"/>
      <c r="W8" s="193"/>
      <c r="X8" s="221">
        <f t="shared" si="5"/>
        <v>0</v>
      </c>
      <c r="Y8" s="194"/>
      <c r="Z8" s="190" t="s">
        <v>2859</v>
      </c>
      <c r="AB8" s="190" t="s">
        <v>1030</v>
      </c>
      <c r="AC8" s="190" t="s">
        <v>2859</v>
      </c>
      <c r="AD8" s="190" t="s">
        <v>1041</v>
      </c>
      <c r="BU8" s="195" t="str">
        <f>HYPERLINK("#내역서!A91","A04 →")</f>
        <v>A04 →</v>
      </c>
      <c r="CA8" s="190">
        <v>70878743</v>
      </c>
      <c r="CB8" s="190">
        <v>70878743</v>
      </c>
      <c r="CC8" s="190">
        <v>0</v>
      </c>
      <c r="CD8" s="190">
        <v>0</v>
      </c>
      <c r="CE8" s="190">
        <v>0</v>
      </c>
      <c r="CF8" s="190">
        <v>0</v>
      </c>
      <c r="CG8" s="190">
        <v>70878743</v>
      </c>
      <c r="CH8" s="190">
        <v>70878743</v>
      </c>
      <c r="CI8" s="190" t="s">
        <v>2859</v>
      </c>
    </row>
    <row r="9" spans="1:87" s="218" customFormat="1" ht="20.100000000000001" customHeight="1" x14ac:dyDescent="0.15">
      <c r="A9" s="214" t="s">
        <v>3240</v>
      </c>
      <c r="B9" s="214"/>
      <c r="C9" s="215"/>
      <c r="D9" s="216"/>
      <c r="E9" s="216"/>
      <c r="F9" s="216">
        <f>SUM(F5:F8)</f>
        <v>499105800</v>
      </c>
      <c r="G9" s="216"/>
      <c r="H9" s="216">
        <f>SUM(H5:H8)</f>
        <v>128998292</v>
      </c>
      <c r="I9" s="216"/>
      <c r="J9" s="216">
        <f>SUM(J5:J8)</f>
        <v>290768141</v>
      </c>
      <c r="K9" s="216"/>
      <c r="L9" s="216">
        <f>SUM(L5:L8)</f>
        <v>79339367</v>
      </c>
      <c r="M9" s="216"/>
      <c r="N9" s="216"/>
      <c r="O9" s="222">
        <f t="shared" si="2"/>
        <v>0</v>
      </c>
      <c r="P9" s="216"/>
      <c r="Q9" s="216">
        <f t="shared" si="3"/>
        <v>139888270</v>
      </c>
      <c r="R9" s="222">
        <f t="shared" si="4"/>
        <v>0.28027778879748544</v>
      </c>
      <c r="S9" s="216">
        <f t="shared" ref="S9:U9" si="6">SUM(S5:S8)</f>
        <v>29756977</v>
      </c>
      <c r="T9" s="216">
        <f t="shared" si="6"/>
        <v>77572233</v>
      </c>
      <c r="U9" s="216">
        <f t="shared" si="6"/>
        <v>32559060</v>
      </c>
      <c r="V9" s="216"/>
      <c r="W9" s="216"/>
      <c r="X9" s="222">
        <f t="shared" si="5"/>
        <v>0</v>
      </c>
      <c r="Y9" s="217"/>
      <c r="BU9" s="219"/>
    </row>
    <row r="10" spans="1:87" s="190" customFormat="1" ht="20.100000000000001" customHeight="1" x14ac:dyDescent="0.15">
      <c r="A10" s="191" t="s">
        <v>1180</v>
      </c>
      <c r="B10" s="191" t="s">
        <v>2859</v>
      </c>
      <c r="C10" s="192" t="s">
        <v>2859</v>
      </c>
      <c r="D10" s="193"/>
      <c r="E10" s="193">
        <f t="shared" si="1"/>
        <v>0</v>
      </c>
      <c r="F10" s="193">
        <f t="shared" si="0"/>
        <v>0</v>
      </c>
      <c r="G10" s="196"/>
      <c r="H10" s="193">
        <v>0</v>
      </c>
      <c r="I10" s="196"/>
      <c r="J10" s="193">
        <v>0</v>
      </c>
      <c r="K10" s="196"/>
      <c r="L10" s="193">
        <v>0</v>
      </c>
      <c r="M10" s="193"/>
      <c r="N10" s="193"/>
      <c r="O10" s="221">
        <f t="shared" si="2"/>
        <v>0</v>
      </c>
      <c r="P10" s="193"/>
      <c r="Q10" s="193">
        <f t="shared" si="3"/>
        <v>0</v>
      </c>
      <c r="R10" s="221">
        <f t="shared" si="4"/>
        <v>0</v>
      </c>
      <c r="S10" s="193"/>
      <c r="T10" s="193"/>
      <c r="U10" s="193"/>
      <c r="V10" s="193"/>
      <c r="W10" s="193"/>
      <c r="X10" s="221">
        <f t="shared" si="5"/>
        <v>0</v>
      </c>
      <c r="Y10" s="194"/>
      <c r="Z10" s="190" t="s">
        <v>2859</v>
      </c>
      <c r="AB10" s="190" t="s">
        <v>267</v>
      </c>
      <c r="AC10" s="190" t="s">
        <v>2859</v>
      </c>
      <c r="AD10" s="190" t="s">
        <v>2859</v>
      </c>
      <c r="CA10" s="190">
        <v>0</v>
      </c>
      <c r="CB10" s="190">
        <v>0</v>
      </c>
      <c r="CD10" s="190">
        <v>0</v>
      </c>
      <c r="CF10" s="190">
        <v>0</v>
      </c>
      <c r="CH10" s="190">
        <v>0</v>
      </c>
      <c r="CI10" s="190" t="s">
        <v>2859</v>
      </c>
    </row>
    <row r="11" spans="1:87" s="190" customFormat="1" ht="20.100000000000001" customHeight="1" x14ac:dyDescent="0.15">
      <c r="A11" s="191" t="s">
        <v>1734</v>
      </c>
      <c r="B11" s="191" t="s">
        <v>2859</v>
      </c>
      <c r="C11" s="192" t="s">
        <v>2293</v>
      </c>
      <c r="D11" s="193">
        <v>1</v>
      </c>
      <c r="E11" s="193">
        <f t="shared" si="1"/>
        <v>87240000</v>
      </c>
      <c r="F11" s="193">
        <f t="shared" si="0"/>
        <v>87240000</v>
      </c>
      <c r="G11" s="193">
        <f>H107</f>
        <v>86781280</v>
      </c>
      <c r="H11" s="193">
        <f>TRUNC(G11*D11,0)</f>
        <v>86781280</v>
      </c>
      <c r="I11" s="193">
        <f>J107</f>
        <v>0</v>
      </c>
      <c r="J11" s="193">
        <f>TRUNC(I11*D11,0)</f>
        <v>0</v>
      </c>
      <c r="K11" s="193">
        <f>L107</f>
        <v>458720</v>
      </c>
      <c r="L11" s="193">
        <f>TRUNC(K11*D11,0)</f>
        <v>458720</v>
      </c>
      <c r="M11" s="193"/>
      <c r="N11" s="193"/>
      <c r="O11" s="221">
        <f t="shared" si="2"/>
        <v>0</v>
      </c>
      <c r="P11" s="193"/>
      <c r="Q11" s="193">
        <f t="shared" si="3"/>
        <v>0</v>
      </c>
      <c r="R11" s="221">
        <f t="shared" si="4"/>
        <v>0</v>
      </c>
      <c r="S11" s="193"/>
      <c r="T11" s="193"/>
      <c r="U11" s="193"/>
      <c r="V11" s="193"/>
      <c r="W11" s="193"/>
      <c r="X11" s="221">
        <f t="shared" si="5"/>
        <v>0</v>
      </c>
      <c r="Y11" s="194"/>
      <c r="Z11" s="190" t="s">
        <v>2859</v>
      </c>
      <c r="AB11" s="190" t="s">
        <v>2435</v>
      </c>
      <c r="AC11" s="190" t="s">
        <v>1832</v>
      </c>
      <c r="AD11" s="190" t="s">
        <v>2232</v>
      </c>
      <c r="BU11" s="195" t="str">
        <f>HYPERLINK("#내역서!A101","A05 →")</f>
        <v>A05 →</v>
      </c>
      <c r="CA11" s="190">
        <v>104870000</v>
      </c>
      <c r="CB11" s="190">
        <v>104870000</v>
      </c>
      <c r="CC11" s="190">
        <v>104311617</v>
      </c>
      <c r="CD11" s="190">
        <v>104311617</v>
      </c>
      <c r="CE11" s="190">
        <v>0</v>
      </c>
      <c r="CF11" s="190">
        <v>0</v>
      </c>
      <c r="CG11" s="190">
        <v>558383</v>
      </c>
      <c r="CH11" s="190">
        <v>558383</v>
      </c>
      <c r="CI11" s="190" t="s">
        <v>2859</v>
      </c>
    </row>
    <row r="12" spans="1:87" s="190" customFormat="1" ht="20.100000000000001" customHeight="1" x14ac:dyDescent="0.15">
      <c r="A12" s="191" t="s">
        <v>1180</v>
      </c>
      <c r="B12" s="191" t="s">
        <v>2859</v>
      </c>
      <c r="C12" s="192" t="s">
        <v>2859</v>
      </c>
      <c r="D12" s="193"/>
      <c r="E12" s="193">
        <f t="shared" si="1"/>
        <v>0</v>
      </c>
      <c r="F12" s="193">
        <f t="shared" si="0"/>
        <v>0</v>
      </c>
      <c r="G12" s="196"/>
      <c r="H12" s="193">
        <v>0</v>
      </c>
      <c r="I12" s="196"/>
      <c r="J12" s="193">
        <v>0</v>
      </c>
      <c r="K12" s="196"/>
      <c r="L12" s="193">
        <v>0</v>
      </c>
      <c r="M12" s="193"/>
      <c r="N12" s="193"/>
      <c r="O12" s="221">
        <f t="shared" si="2"/>
        <v>0</v>
      </c>
      <c r="P12" s="193"/>
      <c r="Q12" s="193">
        <f t="shared" si="3"/>
        <v>0</v>
      </c>
      <c r="R12" s="221">
        <f t="shared" si="4"/>
        <v>0</v>
      </c>
      <c r="S12" s="193"/>
      <c r="T12" s="193"/>
      <c r="U12" s="193"/>
      <c r="V12" s="193"/>
      <c r="W12" s="193"/>
      <c r="X12" s="221">
        <f t="shared" si="5"/>
        <v>0</v>
      </c>
      <c r="Y12" s="194"/>
      <c r="Z12" s="190" t="s">
        <v>2859</v>
      </c>
      <c r="AB12" s="190" t="s">
        <v>1695</v>
      </c>
      <c r="AC12" s="190" t="s">
        <v>643</v>
      </c>
      <c r="AD12" s="190" t="s">
        <v>2859</v>
      </c>
      <c r="CA12" s="190">
        <v>0</v>
      </c>
      <c r="CB12" s="190">
        <v>0</v>
      </c>
      <c r="CD12" s="190">
        <v>0</v>
      </c>
      <c r="CF12" s="190">
        <v>0</v>
      </c>
      <c r="CH12" s="190">
        <v>0</v>
      </c>
      <c r="CI12" s="190" t="s">
        <v>2859</v>
      </c>
    </row>
    <row r="13" spans="1:87" s="190" customFormat="1" ht="20.100000000000001" customHeight="1" x14ac:dyDescent="0.15">
      <c r="A13" s="197" t="s">
        <v>2989</v>
      </c>
      <c r="B13" s="198" t="s">
        <v>2859</v>
      </c>
      <c r="C13" s="199" t="s">
        <v>2293</v>
      </c>
      <c r="D13" s="188">
        <v>1</v>
      </c>
      <c r="E13" s="200"/>
      <c r="F13" s="188">
        <f t="shared" si="0"/>
        <v>147855095</v>
      </c>
      <c r="G13" s="200"/>
      <c r="H13" s="188">
        <f>TRUNC(H14+H15+H16+H17+H18+H19+H20+H21+H22+H23+H24+H25+H26+H27+H28,0)</f>
        <v>25872443</v>
      </c>
      <c r="I13" s="200"/>
      <c r="J13" s="188">
        <f>TRUNC(J14+J15+J16+J17+J18+J19+J20+J21+J22+J23+J24+J25+J26+J27+J28,0)</f>
        <v>87253547</v>
      </c>
      <c r="K13" s="200"/>
      <c r="L13" s="188">
        <f>TRUNC(L14+L15+L16+L17+L18+L19+L20+L21+L22+L23+L24+L25+L26+L27+L28,0)</f>
        <v>34729105</v>
      </c>
      <c r="M13" s="188"/>
      <c r="N13" s="188"/>
      <c r="O13" s="223">
        <f t="shared" si="2"/>
        <v>0</v>
      </c>
      <c r="P13" s="188"/>
      <c r="Q13" s="188">
        <f t="shared" si="3"/>
        <v>43234623</v>
      </c>
      <c r="R13" s="223">
        <f t="shared" si="4"/>
        <v>0.29241212823947665</v>
      </c>
      <c r="S13" s="188">
        <f t="shared" ref="S13:U13" si="7">TRUNC(S14+S15+S16+S17+S18+S19+S20+S21+S22+S23+S24+S25+S26+S27+S28,0)</f>
        <v>6945193</v>
      </c>
      <c r="T13" s="188">
        <f t="shared" si="7"/>
        <v>26468927</v>
      </c>
      <c r="U13" s="188">
        <f t="shared" si="7"/>
        <v>9820503</v>
      </c>
      <c r="V13" s="188"/>
      <c r="W13" s="188"/>
      <c r="X13" s="223">
        <f t="shared" si="5"/>
        <v>0</v>
      </c>
      <c r="Y13" s="189"/>
      <c r="Z13" s="190" t="s">
        <v>2859</v>
      </c>
      <c r="AA13" s="190" t="s">
        <v>2366</v>
      </c>
      <c r="CB13" s="190">
        <v>135927963</v>
      </c>
      <c r="CD13" s="190">
        <v>25228975</v>
      </c>
      <c r="CF13" s="190">
        <v>78917934</v>
      </c>
      <c r="CH13" s="190">
        <v>31781054</v>
      </c>
      <c r="CI13" s="190" t="s">
        <v>2859</v>
      </c>
    </row>
    <row r="14" spans="1:87" s="190" customFormat="1" ht="20.100000000000001" customHeight="1" x14ac:dyDescent="0.15">
      <c r="A14" s="191" t="s">
        <v>145</v>
      </c>
      <c r="B14" s="191" t="s">
        <v>1995</v>
      </c>
      <c r="C14" s="192" t="s">
        <v>1085</v>
      </c>
      <c r="D14" s="193">
        <v>4942</v>
      </c>
      <c r="E14" s="193">
        <f t="shared" ref="E14:E29" si="8">G14+I14+K14</f>
        <v>1792</v>
      </c>
      <c r="F14" s="193">
        <f t="shared" si="0"/>
        <v>8856064</v>
      </c>
      <c r="G14" s="193">
        <v>553</v>
      </c>
      <c r="H14" s="193">
        <f t="shared" ref="H14:H28" si="9">TRUNC(G14*D14,0)</f>
        <v>2732926</v>
      </c>
      <c r="I14" s="193">
        <v>781</v>
      </c>
      <c r="J14" s="193">
        <f t="shared" ref="J14:J28" si="10">TRUNC(I14*D14,0)</f>
        <v>3859702</v>
      </c>
      <c r="K14" s="193">
        <v>458</v>
      </c>
      <c r="L14" s="193">
        <f t="shared" ref="L14:L28" si="11">TRUNC(K14*D14,0)</f>
        <v>2263436</v>
      </c>
      <c r="M14" s="193"/>
      <c r="N14" s="193"/>
      <c r="O14" s="221">
        <f t="shared" si="2"/>
        <v>0</v>
      </c>
      <c r="P14" s="193">
        <f>'[2]토공 집계표'!$C$11</f>
        <v>1410.1371000000004</v>
      </c>
      <c r="Q14" s="193">
        <f t="shared" si="3"/>
        <v>2526964</v>
      </c>
      <c r="R14" s="221">
        <f t="shared" si="4"/>
        <v>0.28533714300167662</v>
      </c>
      <c r="S14" s="193">
        <f>TRUNC(G14*P14,0)</f>
        <v>779805</v>
      </c>
      <c r="T14" s="193">
        <f>TRUNC(I14*P14,0)</f>
        <v>1101317</v>
      </c>
      <c r="U14" s="193">
        <f>TRUNC(K14*P14,0)</f>
        <v>645842</v>
      </c>
      <c r="V14" s="193"/>
      <c r="W14" s="193"/>
      <c r="X14" s="221">
        <f t="shared" si="5"/>
        <v>0</v>
      </c>
      <c r="Y14" s="194"/>
      <c r="Z14" s="190" t="s">
        <v>2859</v>
      </c>
      <c r="AB14" s="190" t="s">
        <v>322</v>
      </c>
      <c r="AC14" s="190" t="s">
        <v>2859</v>
      </c>
      <c r="AD14" s="190" t="s">
        <v>2693</v>
      </c>
      <c r="AF14" s="190" t="s">
        <v>1314</v>
      </c>
      <c r="BU14" s="195" t="str">
        <f>HYPERLINK("#일위대가목록!A3","H00100200 →")</f>
        <v>H00100200 →</v>
      </c>
      <c r="CA14" s="190">
        <v>2087</v>
      </c>
      <c r="CB14" s="190">
        <v>10313954</v>
      </c>
      <c r="CC14" s="190">
        <v>644</v>
      </c>
      <c r="CD14" s="190">
        <v>3182648</v>
      </c>
      <c r="CE14" s="190">
        <v>909</v>
      </c>
      <c r="CF14" s="190">
        <v>4492278</v>
      </c>
      <c r="CG14" s="190">
        <v>534</v>
      </c>
      <c r="CH14" s="190">
        <v>2639028</v>
      </c>
      <c r="CI14" s="190" t="s">
        <v>2585</v>
      </c>
    </row>
    <row r="15" spans="1:87" s="190" customFormat="1" ht="20.100000000000001" customHeight="1" x14ac:dyDescent="0.15">
      <c r="A15" s="191" t="s">
        <v>2644</v>
      </c>
      <c r="B15" s="191" t="s">
        <v>692</v>
      </c>
      <c r="C15" s="192" t="s">
        <v>1085</v>
      </c>
      <c r="D15" s="193">
        <v>2846</v>
      </c>
      <c r="E15" s="193">
        <f t="shared" si="8"/>
        <v>1493</v>
      </c>
      <c r="F15" s="193">
        <f t="shared" si="0"/>
        <v>4249078</v>
      </c>
      <c r="G15" s="193">
        <v>372</v>
      </c>
      <c r="H15" s="193">
        <f t="shared" si="9"/>
        <v>1058712</v>
      </c>
      <c r="I15" s="193">
        <v>807</v>
      </c>
      <c r="J15" s="193">
        <f t="shared" si="10"/>
        <v>2296722</v>
      </c>
      <c r="K15" s="193">
        <v>314</v>
      </c>
      <c r="L15" s="193">
        <f t="shared" si="11"/>
        <v>893644</v>
      </c>
      <c r="M15" s="193"/>
      <c r="N15" s="193"/>
      <c r="O15" s="221">
        <f t="shared" si="2"/>
        <v>0</v>
      </c>
      <c r="P15" s="193">
        <f>'[2]토공 집계표'!$D$11</f>
        <v>1120.0033000000003</v>
      </c>
      <c r="Q15" s="193">
        <f t="shared" si="3"/>
        <v>1672164</v>
      </c>
      <c r="R15" s="221">
        <f t="shared" si="4"/>
        <v>0.39353572704478479</v>
      </c>
      <c r="S15" s="193">
        <f t="shared" ref="S15:S29" si="12">TRUNC(G15*P15,0)</f>
        <v>416641</v>
      </c>
      <c r="T15" s="193">
        <f t="shared" ref="T15:T29" si="13">TRUNC(I15*P15,0)</f>
        <v>903842</v>
      </c>
      <c r="U15" s="193">
        <f t="shared" ref="U15:U29" si="14">TRUNC(K15*P15,0)</f>
        <v>351681</v>
      </c>
      <c r="V15" s="193"/>
      <c r="W15" s="193"/>
      <c r="X15" s="221">
        <f t="shared" si="5"/>
        <v>0</v>
      </c>
      <c r="Y15" s="194"/>
      <c r="Z15" s="190" t="s">
        <v>2859</v>
      </c>
      <c r="AB15" s="190" t="s">
        <v>2491</v>
      </c>
      <c r="AC15" s="190" t="s">
        <v>2859</v>
      </c>
      <c r="AD15" s="190" t="s">
        <v>948</v>
      </c>
      <c r="AF15" s="190" t="s">
        <v>1314</v>
      </c>
      <c r="BU15" s="195" t="str">
        <f>HYPERLINK("#일위대가목록!A4","K1010240 →")</f>
        <v>K1010240 →</v>
      </c>
      <c r="CA15" s="190">
        <v>1740</v>
      </c>
      <c r="CB15" s="190">
        <v>4952040</v>
      </c>
      <c r="CC15" s="190">
        <v>434</v>
      </c>
      <c r="CD15" s="190">
        <v>1235164</v>
      </c>
      <c r="CE15" s="190">
        <v>940</v>
      </c>
      <c r="CF15" s="190">
        <v>2675240</v>
      </c>
      <c r="CG15" s="190">
        <v>366</v>
      </c>
      <c r="CH15" s="190">
        <v>1041636</v>
      </c>
      <c r="CI15" s="190" t="s">
        <v>1054</v>
      </c>
    </row>
    <row r="16" spans="1:87" s="190" customFormat="1" ht="20.100000000000001" customHeight="1" x14ac:dyDescent="0.15">
      <c r="A16" s="191" t="s">
        <v>2644</v>
      </c>
      <c r="B16" s="191" t="s">
        <v>878</v>
      </c>
      <c r="C16" s="192" t="s">
        <v>1085</v>
      </c>
      <c r="D16" s="193">
        <v>3653</v>
      </c>
      <c r="E16" s="193">
        <f t="shared" si="8"/>
        <v>447</v>
      </c>
      <c r="F16" s="193">
        <f t="shared" si="0"/>
        <v>1632891</v>
      </c>
      <c r="G16" s="193">
        <v>138</v>
      </c>
      <c r="H16" s="193">
        <f t="shared" si="9"/>
        <v>504114</v>
      </c>
      <c r="I16" s="193">
        <v>195</v>
      </c>
      <c r="J16" s="193">
        <f t="shared" si="10"/>
        <v>712335</v>
      </c>
      <c r="K16" s="193">
        <v>114</v>
      </c>
      <c r="L16" s="193">
        <f t="shared" si="11"/>
        <v>416442</v>
      </c>
      <c r="M16" s="193"/>
      <c r="N16" s="193"/>
      <c r="O16" s="221">
        <f t="shared" si="2"/>
        <v>0</v>
      </c>
      <c r="P16" s="193">
        <f>'[2]토공 집계표'!$E$11</f>
        <v>127.53475714285716</v>
      </c>
      <c r="Q16" s="193">
        <f t="shared" si="3"/>
        <v>57006</v>
      </c>
      <c r="R16" s="221">
        <f t="shared" si="4"/>
        <v>3.4911087145437142E-2</v>
      </c>
      <c r="S16" s="193">
        <f t="shared" si="12"/>
        <v>17599</v>
      </c>
      <c r="T16" s="193">
        <f t="shared" si="13"/>
        <v>24869</v>
      </c>
      <c r="U16" s="193">
        <f t="shared" si="14"/>
        <v>14538</v>
      </c>
      <c r="V16" s="193"/>
      <c r="W16" s="193"/>
      <c r="X16" s="221">
        <f t="shared" si="5"/>
        <v>0</v>
      </c>
      <c r="Y16" s="194"/>
      <c r="Z16" s="190" t="s">
        <v>2859</v>
      </c>
      <c r="AB16" s="190" t="s">
        <v>1745</v>
      </c>
      <c r="AC16" s="190" t="s">
        <v>2859</v>
      </c>
      <c r="AD16" s="190" t="s">
        <v>2148</v>
      </c>
      <c r="AF16" s="190" t="s">
        <v>1314</v>
      </c>
      <c r="BU16" s="195" t="str">
        <f>HYPERLINK("#일위대가목록!A5","K1010241 →")</f>
        <v>K1010241 →</v>
      </c>
      <c r="CA16" s="190">
        <v>521</v>
      </c>
      <c r="CB16" s="190">
        <v>1903213</v>
      </c>
      <c r="CC16" s="190">
        <v>161</v>
      </c>
      <c r="CD16" s="190">
        <v>588133</v>
      </c>
      <c r="CE16" s="190">
        <v>227</v>
      </c>
      <c r="CF16" s="190">
        <v>829231</v>
      </c>
      <c r="CG16" s="190">
        <v>133</v>
      </c>
      <c r="CH16" s="190">
        <v>485849</v>
      </c>
      <c r="CI16" s="190" t="s">
        <v>2248</v>
      </c>
    </row>
    <row r="17" spans="1:87" s="190" customFormat="1" ht="20.100000000000001" customHeight="1" x14ac:dyDescent="0.15">
      <c r="A17" s="191" t="s">
        <v>1336</v>
      </c>
      <c r="B17" s="191" t="s">
        <v>692</v>
      </c>
      <c r="C17" s="192" t="s">
        <v>1085</v>
      </c>
      <c r="D17" s="193">
        <v>3653</v>
      </c>
      <c r="E17" s="193">
        <f t="shared" si="8"/>
        <v>1276</v>
      </c>
      <c r="F17" s="193">
        <f t="shared" si="0"/>
        <v>4661228</v>
      </c>
      <c r="G17" s="193">
        <v>394</v>
      </c>
      <c r="H17" s="193">
        <f t="shared" si="9"/>
        <v>1439282</v>
      </c>
      <c r="I17" s="193">
        <v>556</v>
      </c>
      <c r="J17" s="193">
        <f t="shared" si="10"/>
        <v>2031068</v>
      </c>
      <c r="K17" s="193">
        <v>326</v>
      </c>
      <c r="L17" s="193">
        <f t="shared" si="11"/>
        <v>1190878</v>
      </c>
      <c r="M17" s="193"/>
      <c r="N17" s="193"/>
      <c r="O17" s="221">
        <f t="shared" si="2"/>
        <v>0</v>
      </c>
      <c r="P17" s="193">
        <f>'[2]토공 집계표'!$E$11</f>
        <v>127.53475714285716</v>
      </c>
      <c r="Q17" s="193">
        <f t="shared" si="3"/>
        <v>162733</v>
      </c>
      <c r="R17" s="221">
        <f t="shared" si="4"/>
        <v>3.4912044637164283E-2</v>
      </c>
      <c r="S17" s="193">
        <f t="shared" si="12"/>
        <v>50248</v>
      </c>
      <c r="T17" s="193">
        <f t="shared" si="13"/>
        <v>70909</v>
      </c>
      <c r="U17" s="193">
        <f t="shared" si="14"/>
        <v>41576</v>
      </c>
      <c r="V17" s="193"/>
      <c r="W17" s="193"/>
      <c r="X17" s="221">
        <f t="shared" si="5"/>
        <v>0</v>
      </c>
      <c r="Y17" s="194"/>
      <c r="Z17" s="190" t="s">
        <v>2859</v>
      </c>
      <c r="AB17" s="190" t="s">
        <v>1030</v>
      </c>
      <c r="AC17" s="190" t="s">
        <v>2859</v>
      </c>
      <c r="AD17" s="190" t="s">
        <v>218</v>
      </c>
      <c r="AF17" s="190" t="s">
        <v>1314</v>
      </c>
      <c r="BU17" s="195" t="str">
        <f>HYPERLINK("#일위대가목록!A6","K1010250 →")</f>
        <v>K1010250 →</v>
      </c>
      <c r="CA17" s="190">
        <v>1487</v>
      </c>
      <c r="CB17" s="190">
        <v>5432011</v>
      </c>
      <c r="CC17" s="190">
        <v>459</v>
      </c>
      <c r="CD17" s="190">
        <v>1676727</v>
      </c>
      <c r="CE17" s="190">
        <v>648</v>
      </c>
      <c r="CF17" s="190">
        <v>2367144</v>
      </c>
      <c r="CG17" s="190">
        <v>380</v>
      </c>
      <c r="CH17" s="190">
        <v>1388140</v>
      </c>
      <c r="CI17" s="190" t="s">
        <v>1197</v>
      </c>
    </row>
    <row r="18" spans="1:87" s="190" customFormat="1" ht="20.100000000000001" customHeight="1" x14ac:dyDescent="0.15">
      <c r="A18" s="191" t="s">
        <v>2805</v>
      </c>
      <c r="B18" s="191" t="s">
        <v>1385</v>
      </c>
      <c r="C18" s="192" t="s">
        <v>2212</v>
      </c>
      <c r="D18" s="193">
        <v>53183</v>
      </c>
      <c r="E18" s="193">
        <f t="shared" si="8"/>
        <v>215</v>
      </c>
      <c r="F18" s="193">
        <f t="shared" si="0"/>
        <v>11434345</v>
      </c>
      <c r="G18" s="193">
        <v>85</v>
      </c>
      <c r="H18" s="193">
        <f t="shared" si="9"/>
        <v>4520555</v>
      </c>
      <c r="I18" s="193">
        <v>73</v>
      </c>
      <c r="J18" s="193">
        <f t="shared" si="10"/>
        <v>3882359</v>
      </c>
      <c r="K18" s="193">
        <v>57</v>
      </c>
      <c r="L18" s="193">
        <f t="shared" si="11"/>
        <v>3031431</v>
      </c>
      <c r="M18" s="193"/>
      <c r="N18" s="193"/>
      <c r="O18" s="221">
        <f t="shared" si="2"/>
        <v>0</v>
      </c>
      <c r="P18" s="193">
        <f>'[2]토공 집계표'!$F$11</f>
        <v>14395.460050000002</v>
      </c>
      <c r="Q18" s="193">
        <f t="shared" si="3"/>
        <v>3095023</v>
      </c>
      <c r="R18" s="221">
        <f t="shared" si="4"/>
        <v>0.2706777694743337</v>
      </c>
      <c r="S18" s="193">
        <f t="shared" si="12"/>
        <v>1223614</v>
      </c>
      <c r="T18" s="193">
        <f t="shared" si="13"/>
        <v>1050868</v>
      </c>
      <c r="U18" s="193">
        <f t="shared" si="14"/>
        <v>820541</v>
      </c>
      <c r="V18" s="193"/>
      <c r="W18" s="193"/>
      <c r="X18" s="221">
        <f t="shared" si="5"/>
        <v>0</v>
      </c>
      <c r="Y18" s="194"/>
      <c r="Z18" s="190" t="s">
        <v>2859</v>
      </c>
      <c r="AB18" s="190" t="s">
        <v>267</v>
      </c>
      <c r="AC18" s="190" t="s">
        <v>2859</v>
      </c>
      <c r="AD18" s="190" t="s">
        <v>1158</v>
      </c>
      <c r="AF18" s="190" t="s">
        <v>1314</v>
      </c>
      <c r="BU18" s="195" t="str">
        <f>HYPERLINK("#일위대가목록!A7","SA00220 →")</f>
        <v>SA00220 →</v>
      </c>
      <c r="CA18" s="190">
        <v>252</v>
      </c>
      <c r="CB18" s="190">
        <v>13402116</v>
      </c>
      <c r="CC18" s="190">
        <v>100</v>
      </c>
      <c r="CD18" s="190">
        <v>5318300</v>
      </c>
      <c r="CE18" s="190">
        <v>85</v>
      </c>
      <c r="CF18" s="190">
        <v>4520555</v>
      </c>
      <c r="CG18" s="190">
        <v>67</v>
      </c>
      <c r="CH18" s="190">
        <v>3563261</v>
      </c>
      <c r="CI18" s="190" t="s">
        <v>2851</v>
      </c>
    </row>
    <row r="19" spans="1:87" s="190" customFormat="1" ht="20.100000000000001" customHeight="1" x14ac:dyDescent="0.15">
      <c r="A19" s="191" t="s">
        <v>2177</v>
      </c>
      <c r="B19" s="191" t="s">
        <v>2859</v>
      </c>
      <c r="C19" s="192" t="s">
        <v>2212</v>
      </c>
      <c r="D19" s="193">
        <v>53183</v>
      </c>
      <c r="E19" s="193">
        <f t="shared" si="8"/>
        <v>414</v>
      </c>
      <c r="F19" s="193">
        <f t="shared" si="0"/>
        <v>22017762</v>
      </c>
      <c r="G19" s="193">
        <v>26</v>
      </c>
      <c r="H19" s="193">
        <f t="shared" si="9"/>
        <v>1382758</v>
      </c>
      <c r="I19" s="193">
        <v>335</v>
      </c>
      <c r="J19" s="193">
        <f t="shared" si="10"/>
        <v>17816305</v>
      </c>
      <c r="K19" s="193">
        <v>53</v>
      </c>
      <c r="L19" s="193">
        <f t="shared" si="11"/>
        <v>2818699</v>
      </c>
      <c r="M19" s="193"/>
      <c r="N19" s="193"/>
      <c r="O19" s="221">
        <f t="shared" si="2"/>
        <v>0</v>
      </c>
      <c r="P19" s="193">
        <f>'[2]토공 집계표'!$G$11</f>
        <v>14395.460050000002</v>
      </c>
      <c r="Q19" s="193">
        <f t="shared" si="3"/>
        <v>5959719</v>
      </c>
      <c r="R19" s="221">
        <f t="shared" si="4"/>
        <v>0.27067778278282778</v>
      </c>
      <c r="S19" s="193">
        <f t="shared" si="12"/>
        <v>374281</v>
      </c>
      <c r="T19" s="193">
        <f t="shared" si="13"/>
        <v>4822479</v>
      </c>
      <c r="U19" s="193">
        <f t="shared" si="14"/>
        <v>762959</v>
      </c>
      <c r="V19" s="193"/>
      <c r="W19" s="193"/>
      <c r="X19" s="221">
        <f t="shared" si="5"/>
        <v>0</v>
      </c>
      <c r="Y19" s="194"/>
      <c r="Z19" s="190" t="s">
        <v>2859</v>
      </c>
      <c r="AB19" s="190" t="s">
        <v>2435</v>
      </c>
      <c r="AC19" s="190" t="s">
        <v>2859</v>
      </c>
      <c r="AD19" s="190" t="s">
        <v>418</v>
      </c>
      <c r="AF19" s="190" t="s">
        <v>1773</v>
      </c>
      <c r="BU19" s="195" t="str">
        <f>HYPERLINK("#일위대가목록!A41","SA00230 →")</f>
        <v>SA00230 →</v>
      </c>
      <c r="CA19" s="190">
        <v>483</v>
      </c>
      <c r="CB19" s="190">
        <v>25687389</v>
      </c>
      <c r="CC19" s="190">
        <v>31</v>
      </c>
      <c r="CD19" s="190">
        <v>1648673</v>
      </c>
      <c r="CE19" s="190">
        <v>390</v>
      </c>
      <c r="CF19" s="190">
        <v>20741370</v>
      </c>
      <c r="CG19" s="190">
        <v>62</v>
      </c>
      <c r="CH19" s="190">
        <v>3297346</v>
      </c>
      <c r="CI19" s="190" t="s">
        <v>760</v>
      </c>
    </row>
    <row r="20" spans="1:87" s="190" customFormat="1" ht="20.100000000000001" customHeight="1" x14ac:dyDescent="0.15">
      <c r="A20" s="191" t="s">
        <v>256</v>
      </c>
      <c r="B20" s="191" t="s">
        <v>1995</v>
      </c>
      <c r="C20" s="192" t="s">
        <v>1085</v>
      </c>
      <c r="D20" s="193">
        <v>39</v>
      </c>
      <c r="E20" s="193">
        <f t="shared" si="8"/>
        <v>1374</v>
      </c>
      <c r="F20" s="193">
        <f t="shared" si="0"/>
        <v>53586</v>
      </c>
      <c r="G20" s="193">
        <v>329</v>
      </c>
      <c r="H20" s="193">
        <f t="shared" si="9"/>
        <v>12831</v>
      </c>
      <c r="I20" s="193">
        <v>722</v>
      </c>
      <c r="J20" s="193">
        <f t="shared" si="10"/>
        <v>28158</v>
      </c>
      <c r="K20" s="193">
        <v>323</v>
      </c>
      <c r="L20" s="193">
        <f t="shared" si="11"/>
        <v>12597</v>
      </c>
      <c r="M20" s="193"/>
      <c r="N20" s="193"/>
      <c r="O20" s="221">
        <f t="shared" si="2"/>
        <v>0</v>
      </c>
      <c r="P20" s="193">
        <f>'[2]토공 집계표'!$H$11</f>
        <v>6.51</v>
      </c>
      <c r="Q20" s="193">
        <f t="shared" si="3"/>
        <v>8943</v>
      </c>
      <c r="R20" s="221">
        <f t="shared" si="4"/>
        <v>0.16689060575523457</v>
      </c>
      <c r="S20" s="193">
        <f t="shared" si="12"/>
        <v>2141</v>
      </c>
      <c r="T20" s="193">
        <f t="shared" si="13"/>
        <v>4700</v>
      </c>
      <c r="U20" s="193">
        <f t="shared" si="14"/>
        <v>2102</v>
      </c>
      <c r="V20" s="193"/>
      <c r="W20" s="193"/>
      <c r="X20" s="221">
        <f t="shared" si="5"/>
        <v>0</v>
      </c>
      <c r="Y20" s="194"/>
      <c r="Z20" s="190" t="s">
        <v>2859</v>
      </c>
      <c r="AB20" s="190" t="s">
        <v>1695</v>
      </c>
      <c r="AC20" s="190" t="s">
        <v>2859</v>
      </c>
      <c r="AD20" s="190" t="s">
        <v>1890</v>
      </c>
      <c r="AF20" s="190" t="s">
        <v>1314</v>
      </c>
      <c r="BU20" s="195" t="str">
        <f>HYPERLINK("#일위대가목록!A8","K1020118 →")</f>
        <v>K1020118 →</v>
      </c>
      <c r="CA20" s="190">
        <v>1600</v>
      </c>
      <c r="CB20" s="190">
        <v>62400</v>
      </c>
      <c r="CC20" s="190">
        <v>383</v>
      </c>
      <c r="CD20" s="190">
        <v>14937</v>
      </c>
      <c r="CE20" s="190">
        <v>841</v>
      </c>
      <c r="CF20" s="190">
        <v>32799</v>
      </c>
      <c r="CG20" s="190">
        <v>376</v>
      </c>
      <c r="CH20" s="190">
        <v>14664</v>
      </c>
      <c r="CI20" s="190" t="s">
        <v>2353</v>
      </c>
    </row>
    <row r="21" spans="1:87" s="190" customFormat="1" ht="20.100000000000001" customHeight="1" x14ac:dyDescent="0.15">
      <c r="A21" s="191" t="s">
        <v>2743</v>
      </c>
      <c r="B21" s="191" t="s">
        <v>1995</v>
      </c>
      <c r="C21" s="192" t="s">
        <v>1085</v>
      </c>
      <c r="D21" s="193">
        <v>48</v>
      </c>
      <c r="E21" s="193">
        <f t="shared" si="8"/>
        <v>11478</v>
      </c>
      <c r="F21" s="193">
        <f t="shared" si="0"/>
        <v>550944</v>
      </c>
      <c r="G21" s="193">
        <v>908</v>
      </c>
      <c r="H21" s="193">
        <f t="shared" si="9"/>
        <v>43584</v>
      </c>
      <c r="I21" s="193">
        <v>9446</v>
      </c>
      <c r="J21" s="193">
        <f t="shared" si="10"/>
        <v>453408</v>
      </c>
      <c r="K21" s="193">
        <v>1124</v>
      </c>
      <c r="L21" s="193">
        <f t="shared" si="11"/>
        <v>53952</v>
      </c>
      <c r="M21" s="193"/>
      <c r="N21" s="193"/>
      <c r="O21" s="221">
        <f t="shared" si="2"/>
        <v>0</v>
      </c>
      <c r="P21" s="193">
        <f>'[2]토공 집계표'!$I$11</f>
        <v>7.97</v>
      </c>
      <c r="Q21" s="193">
        <f t="shared" si="3"/>
        <v>91478</v>
      </c>
      <c r="R21" s="221">
        <f t="shared" si="4"/>
        <v>0.16603865365626996</v>
      </c>
      <c r="S21" s="193">
        <f t="shared" si="12"/>
        <v>7236</v>
      </c>
      <c r="T21" s="193">
        <f t="shared" si="13"/>
        <v>75284</v>
      </c>
      <c r="U21" s="193">
        <f t="shared" si="14"/>
        <v>8958</v>
      </c>
      <c r="V21" s="193"/>
      <c r="W21" s="193"/>
      <c r="X21" s="221">
        <f t="shared" si="5"/>
        <v>0</v>
      </c>
      <c r="Y21" s="194"/>
      <c r="Z21" s="190" t="s">
        <v>2859</v>
      </c>
      <c r="AB21" s="190" t="s">
        <v>979</v>
      </c>
      <c r="AC21" s="190" t="s">
        <v>2859</v>
      </c>
      <c r="AD21" s="190" t="s">
        <v>2459</v>
      </c>
      <c r="AF21" s="190" t="s">
        <v>1314</v>
      </c>
      <c r="BU21" s="195" t="str">
        <f>HYPERLINK("#일위대가목록!A9","K1040213 →")</f>
        <v>K1040213 →</v>
      </c>
      <c r="CA21" s="190">
        <v>13359</v>
      </c>
      <c r="CB21" s="190">
        <v>641232</v>
      </c>
      <c r="CC21" s="190">
        <v>1057</v>
      </c>
      <c r="CD21" s="190">
        <v>50736</v>
      </c>
      <c r="CE21" s="190">
        <v>10993</v>
      </c>
      <c r="CF21" s="190">
        <v>527664</v>
      </c>
      <c r="CG21" s="190">
        <v>1309</v>
      </c>
      <c r="CH21" s="190">
        <v>62832</v>
      </c>
      <c r="CI21" s="190" t="s">
        <v>721</v>
      </c>
    </row>
    <row r="22" spans="1:87" s="190" customFormat="1" ht="20.100000000000001" customHeight="1" x14ac:dyDescent="0.15">
      <c r="A22" s="191" t="s">
        <v>1762</v>
      </c>
      <c r="B22" s="191" t="s">
        <v>2152</v>
      </c>
      <c r="C22" s="192" t="s">
        <v>1091</v>
      </c>
      <c r="D22" s="193">
        <v>548</v>
      </c>
      <c r="E22" s="193">
        <f t="shared" si="8"/>
        <v>1804</v>
      </c>
      <c r="F22" s="193">
        <f t="shared" si="0"/>
        <v>988592</v>
      </c>
      <c r="G22" s="193">
        <v>538</v>
      </c>
      <c r="H22" s="193">
        <f t="shared" si="9"/>
        <v>294824</v>
      </c>
      <c r="I22" s="193">
        <v>1224</v>
      </c>
      <c r="J22" s="193">
        <f t="shared" si="10"/>
        <v>670752</v>
      </c>
      <c r="K22" s="193">
        <v>42</v>
      </c>
      <c r="L22" s="193">
        <f t="shared" si="11"/>
        <v>23016</v>
      </c>
      <c r="M22" s="193"/>
      <c r="N22" s="193"/>
      <c r="O22" s="221">
        <f t="shared" si="2"/>
        <v>0</v>
      </c>
      <c r="P22" s="193">
        <f>'[2]토공 집계표'!$J$11</f>
        <v>30</v>
      </c>
      <c r="Q22" s="193">
        <f t="shared" si="3"/>
        <v>54120</v>
      </c>
      <c r="R22" s="221">
        <f t="shared" si="4"/>
        <v>5.4744525547445258E-2</v>
      </c>
      <c r="S22" s="193">
        <f t="shared" si="12"/>
        <v>16140</v>
      </c>
      <c r="T22" s="193">
        <f t="shared" si="13"/>
        <v>36720</v>
      </c>
      <c r="U22" s="193">
        <f t="shared" si="14"/>
        <v>1260</v>
      </c>
      <c r="V22" s="193"/>
      <c r="W22" s="193"/>
      <c r="X22" s="221">
        <f t="shared" si="5"/>
        <v>0</v>
      </c>
      <c r="Y22" s="194"/>
      <c r="Z22" s="190" t="s">
        <v>2859</v>
      </c>
      <c r="AB22" s="190" t="s">
        <v>223</v>
      </c>
      <c r="AC22" s="190" t="s">
        <v>2859</v>
      </c>
      <c r="AD22" s="190" t="s">
        <v>2383</v>
      </c>
      <c r="AF22" s="190" t="s">
        <v>1314</v>
      </c>
      <c r="BU22" s="195" t="str">
        <f>HYPERLINK("#일위대가목록!A10","K2010110 →")</f>
        <v>K2010110 →</v>
      </c>
      <c r="CA22" s="190">
        <v>2101</v>
      </c>
      <c r="CB22" s="190">
        <v>1151348</v>
      </c>
      <c r="CC22" s="190">
        <v>627</v>
      </c>
      <c r="CD22" s="190">
        <v>343596</v>
      </c>
      <c r="CE22" s="190">
        <v>1425</v>
      </c>
      <c r="CF22" s="190">
        <v>780900</v>
      </c>
      <c r="CG22" s="190">
        <v>49</v>
      </c>
      <c r="CH22" s="190">
        <v>26852</v>
      </c>
      <c r="CI22" s="190" t="s">
        <v>2367</v>
      </c>
    </row>
    <row r="23" spans="1:87" s="190" customFormat="1" ht="20.100000000000001" customHeight="1" x14ac:dyDescent="0.15">
      <c r="A23" s="191" t="s">
        <v>283</v>
      </c>
      <c r="B23" s="191" t="s">
        <v>2152</v>
      </c>
      <c r="C23" s="192" t="s">
        <v>1085</v>
      </c>
      <c r="D23" s="193">
        <v>127</v>
      </c>
      <c r="E23" s="193">
        <f t="shared" si="8"/>
        <v>7163</v>
      </c>
      <c r="F23" s="193">
        <f t="shared" si="0"/>
        <v>909701</v>
      </c>
      <c r="G23" s="193">
        <v>1056</v>
      </c>
      <c r="H23" s="193">
        <f t="shared" si="9"/>
        <v>134112</v>
      </c>
      <c r="I23" s="193">
        <v>4173</v>
      </c>
      <c r="J23" s="193">
        <f t="shared" si="10"/>
        <v>529971</v>
      </c>
      <c r="K23" s="193">
        <v>1934</v>
      </c>
      <c r="L23" s="193">
        <f t="shared" si="11"/>
        <v>245618</v>
      </c>
      <c r="M23" s="193"/>
      <c r="N23" s="193"/>
      <c r="O23" s="221">
        <f t="shared" si="2"/>
        <v>0</v>
      </c>
      <c r="P23" s="193">
        <f>'[2]토공 집계표'!$K$11</f>
        <v>78.150000000000006</v>
      </c>
      <c r="Q23" s="193">
        <f t="shared" si="3"/>
        <v>559787</v>
      </c>
      <c r="R23" s="221">
        <f t="shared" si="4"/>
        <v>0.61535273677834801</v>
      </c>
      <c r="S23" s="193">
        <f t="shared" si="12"/>
        <v>82526</v>
      </c>
      <c r="T23" s="193">
        <f t="shared" si="13"/>
        <v>326119</v>
      </c>
      <c r="U23" s="193">
        <f t="shared" si="14"/>
        <v>151142</v>
      </c>
      <c r="V23" s="193"/>
      <c r="W23" s="193"/>
      <c r="X23" s="221">
        <f t="shared" si="5"/>
        <v>0</v>
      </c>
      <c r="Y23" s="194"/>
      <c r="Z23" s="190" t="s">
        <v>2859</v>
      </c>
      <c r="AB23" s="190" t="s">
        <v>214</v>
      </c>
      <c r="AC23" s="190" t="s">
        <v>2859</v>
      </c>
      <c r="AD23" s="190" t="s">
        <v>1576</v>
      </c>
      <c r="AF23" s="190" t="s">
        <v>1314</v>
      </c>
      <c r="BU23" s="195" t="str">
        <f>HYPERLINK("#일위대가목록!A11","K2010210 →")</f>
        <v>K2010210 →</v>
      </c>
      <c r="CA23" s="190">
        <v>8337</v>
      </c>
      <c r="CB23" s="190">
        <v>1058799</v>
      </c>
      <c r="CC23" s="190">
        <v>1229</v>
      </c>
      <c r="CD23" s="190">
        <v>156083</v>
      </c>
      <c r="CE23" s="190">
        <v>4857</v>
      </c>
      <c r="CF23" s="190">
        <v>616839</v>
      </c>
      <c r="CG23" s="190">
        <v>2251</v>
      </c>
      <c r="CH23" s="190">
        <v>285877</v>
      </c>
      <c r="CI23" s="190" t="s">
        <v>1217</v>
      </c>
    </row>
    <row r="24" spans="1:87" s="190" customFormat="1" ht="20.100000000000001" customHeight="1" x14ac:dyDescent="0.15">
      <c r="A24" s="191" t="s">
        <v>921</v>
      </c>
      <c r="B24" s="191" t="s">
        <v>2152</v>
      </c>
      <c r="C24" s="192" t="s">
        <v>1091</v>
      </c>
      <c r="D24" s="193">
        <v>10</v>
      </c>
      <c r="E24" s="193">
        <f t="shared" si="8"/>
        <v>1945</v>
      </c>
      <c r="F24" s="193">
        <f t="shared" si="0"/>
        <v>19450</v>
      </c>
      <c r="G24" s="193">
        <v>556</v>
      </c>
      <c r="H24" s="193">
        <f t="shared" si="9"/>
        <v>5560</v>
      </c>
      <c r="I24" s="193">
        <v>1344</v>
      </c>
      <c r="J24" s="193">
        <f t="shared" si="10"/>
        <v>13440</v>
      </c>
      <c r="K24" s="193">
        <v>45</v>
      </c>
      <c r="L24" s="193">
        <f t="shared" si="11"/>
        <v>450</v>
      </c>
      <c r="M24" s="193"/>
      <c r="N24" s="193"/>
      <c r="O24" s="221">
        <f t="shared" si="2"/>
        <v>0</v>
      </c>
      <c r="P24" s="193">
        <f>'[2]토공 집계표'!$L$11</f>
        <v>10</v>
      </c>
      <c r="Q24" s="193">
        <f t="shared" si="3"/>
        <v>19450</v>
      </c>
      <c r="R24" s="221">
        <f t="shared" si="4"/>
        <v>1</v>
      </c>
      <c r="S24" s="193">
        <f t="shared" si="12"/>
        <v>5560</v>
      </c>
      <c r="T24" s="193">
        <f t="shared" si="13"/>
        <v>13440</v>
      </c>
      <c r="U24" s="193">
        <f t="shared" si="14"/>
        <v>450</v>
      </c>
      <c r="V24" s="193"/>
      <c r="W24" s="193"/>
      <c r="X24" s="221">
        <f t="shared" si="5"/>
        <v>0</v>
      </c>
      <c r="Y24" s="194"/>
      <c r="Z24" s="190" t="s">
        <v>2859</v>
      </c>
      <c r="AB24" s="190" t="s">
        <v>945</v>
      </c>
      <c r="AC24" s="190" t="s">
        <v>2859</v>
      </c>
      <c r="AD24" s="190" t="s">
        <v>233</v>
      </c>
      <c r="AF24" s="190" t="s">
        <v>1314</v>
      </c>
      <c r="BU24" s="195" t="str">
        <f>HYPERLINK("#일위대가목록!A12","K2010120 →")</f>
        <v>K2010120 →</v>
      </c>
      <c r="CA24" s="190">
        <v>2265</v>
      </c>
      <c r="CB24" s="190">
        <v>22650</v>
      </c>
      <c r="CC24" s="190">
        <v>647</v>
      </c>
      <c r="CD24" s="190">
        <v>6470</v>
      </c>
      <c r="CE24" s="190">
        <v>1565</v>
      </c>
      <c r="CF24" s="190">
        <v>15650</v>
      </c>
      <c r="CG24" s="190">
        <v>53</v>
      </c>
      <c r="CH24" s="190">
        <v>530</v>
      </c>
      <c r="CI24" s="190" t="s">
        <v>2828</v>
      </c>
    </row>
    <row r="25" spans="1:87" s="190" customFormat="1" ht="20.100000000000001" customHeight="1" x14ac:dyDescent="0.15">
      <c r="A25" s="191" t="s">
        <v>2198</v>
      </c>
      <c r="B25" s="191" t="s">
        <v>938</v>
      </c>
      <c r="C25" s="192" t="s">
        <v>1085</v>
      </c>
      <c r="D25" s="193">
        <v>1049</v>
      </c>
      <c r="E25" s="193">
        <f t="shared" si="8"/>
        <v>46845</v>
      </c>
      <c r="F25" s="193">
        <f t="shared" si="0"/>
        <v>49140405</v>
      </c>
      <c r="G25" s="193">
        <v>6899</v>
      </c>
      <c r="H25" s="193">
        <f t="shared" si="9"/>
        <v>7237051</v>
      </c>
      <c r="I25" s="193">
        <v>27272</v>
      </c>
      <c r="J25" s="193">
        <f t="shared" si="10"/>
        <v>28608328</v>
      </c>
      <c r="K25" s="193">
        <v>12674</v>
      </c>
      <c r="L25" s="193">
        <f t="shared" si="11"/>
        <v>13295026</v>
      </c>
      <c r="M25" s="193"/>
      <c r="N25" s="193"/>
      <c r="O25" s="221">
        <f t="shared" si="2"/>
        <v>0</v>
      </c>
      <c r="P25" s="193">
        <f>'[2]토공 집계표'!$M$11</f>
        <v>52.056328571428573</v>
      </c>
      <c r="Q25" s="193">
        <f t="shared" si="3"/>
        <v>2438577</v>
      </c>
      <c r="R25" s="221">
        <f t="shared" si="4"/>
        <v>4.9624682580454924E-2</v>
      </c>
      <c r="S25" s="193">
        <f t="shared" si="12"/>
        <v>359136</v>
      </c>
      <c r="T25" s="193">
        <f t="shared" si="13"/>
        <v>1419680</v>
      </c>
      <c r="U25" s="193">
        <f t="shared" si="14"/>
        <v>659761</v>
      </c>
      <c r="V25" s="193"/>
      <c r="W25" s="193"/>
      <c r="X25" s="221">
        <f t="shared" si="5"/>
        <v>0</v>
      </c>
      <c r="Y25" s="194"/>
      <c r="Z25" s="190" t="s">
        <v>2859</v>
      </c>
      <c r="AB25" s="190" t="s">
        <v>1683</v>
      </c>
      <c r="AC25" s="190" t="s">
        <v>2859</v>
      </c>
      <c r="AD25" s="190" t="s">
        <v>608</v>
      </c>
      <c r="AF25" s="190" t="s">
        <v>1314</v>
      </c>
      <c r="BU25" s="195" t="str">
        <f>HYPERLINK("#일위대가목록!A13","K2010330 →")</f>
        <v>K2010330 →</v>
      </c>
      <c r="CA25" s="190">
        <v>54514</v>
      </c>
      <c r="CB25" s="190">
        <v>57185186</v>
      </c>
      <c r="CC25" s="190">
        <v>8029</v>
      </c>
      <c r="CD25" s="190">
        <v>8422421</v>
      </c>
      <c r="CE25" s="190">
        <v>31736</v>
      </c>
      <c r="CF25" s="190">
        <v>33291064</v>
      </c>
      <c r="CG25" s="190">
        <v>14749</v>
      </c>
      <c r="CH25" s="190">
        <v>15471701</v>
      </c>
      <c r="CI25" s="190" t="s">
        <v>785</v>
      </c>
    </row>
    <row r="26" spans="1:87" s="190" customFormat="1" ht="20.100000000000001" customHeight="1" x14ac:dyDescent="0.15">
      <c r="A26" s="191" t="s">
        <v>1109</v>
      </c>
      <c r="B26" s="191" t="s">
        <v>938</v>
      </c>
      <c r="C26" s="192" t="s">
        <v>1085</v>
      </c>
      <c r="D26" s="193">
        <v>720.72</v>
      </c>
      <c r="E26" s="193">
        <f t="shared" si="8"/>
        <v>28374</v>
      </c>
      <c r="F26" s="193">
        <f t="shared" si="0"/>
        <v>20449708</v>
      </c>
      <c r="G26" s="193">
        <v>3674</v>
      </c>
      <c r="H26" s="193">
        <f t="shared" si="9"/>
        <v>2647925</v>
      </c>
      <c r="I26" s="193">
        <v>17947</v>
      </c>
      <c r="J26" s="193">
        <f t="shared" si="10"/>
        <v>12934761</v>
      </c>
      <c r="K26" s="193">
        <v>6753</v>
      </c>
      <c r="L26" s="193">
        <f t="shared" si="11"/>
        <v>4867022</v>
      </c>
      <c r="M26" s="193"/>
      <c r="N26" s="193"/>
      <c r="O26" s="221">
        <f t="shared" si="2"/>
        <v>0</v>
      </c>
      <c r="P26" s="193">
        <f>'[2]토공 집계표'!$N$11</f>
        <v>538</v>
      </c>
      <c r="Q26" s="193">
        <f t="shared" si="3"/>
        <v>15265212</v>
      </c>
      <c r="R26" s="221">
        <f t="shared" si="4"/>
        <v>0.7464757931995899</v>
      </c>
      <c r="S26" s="193">
        <f t="shared" si="12"/>
        <v>1976612</v>
      </c>
      <c r="T26" s="193">
        <f t="shared" si="13"/>
        <v>9655486</v>
      </c>
      <c r="U26" s="193">
        <f t="shared" si="14"/>
        <v>3633114</v>
      </c>
      <c r="V26" s="193"/>
      <c r="W26" s="193"/>
      <c r="X26" s="221">
        <f t="shared" si="5"/>
        <v>0</v>
      </c>
      <c r="Y26" s="194"/>
      <c r="Z26" s="190" t="s">
        <v>2859</v>
      </c>
      <c r="AB26" s="190" t="s">
        <v>2400</v>
      </c>
      <c r="AC26" s="190" t="s">
        <v>2859</v>
      </c>
      <c r="AD26" s="190" t="s">
        <v>2077</v>
      </c>
      <c r="AF26" s="190" t="s">
        <v>1314</v>
      </c>
      <c r="BU26" s="195" t="str">
        <f>HYPERLINK("#일위대가목록!A14","K2010310 →")</f>
        <v>K2010310 →</v>
      </c>
      <c r="CA26" s="190">
        <v>33020</v>
      </c>
      <c r="CB26" s="190">
        <v>2542540</v>
      </c>
      <c r="CC26" s="190">
        <v>4276</v>
      </c>
      <c r="CD26" s="190">
        <v>329252</v>
      </c>
      <c r="CE26" s="190">
        <v>20885</v>
      </c>
      <c r="CF26" s="190">
        <v>1608145</v>
      </c>
      <c r="CG26" s="190">
        <v>7859</v>
      </c>
      <c r="CH26" s="190">
        <v>605143</v>
      </c>
      <c r="CI26" s="190" t="s">
        <v>2317</v>
      </c>
    </row>
    <row r="27" spans="1:87" s="190" customFormat="1" ht="20.100000000000001" customHeight="1" x14ac:dyDescent="0.15">
      <c r="A27" s="201" t="s">
        <v>3196</v>
      </c>
      <c r="B27" s="191" t="s">
        <v>3187</v>
      </c>
      <c r="C27" s="192"/>
      <c r="D27" s="202">
        <v>324.89999999999998</v>
      </c>
      <c r="E27" s="193">
        <f t="shared" ref="E27" si="15">G27+I27+K27</f>
        <v>28374</v>
      </c>
      <c r="F27" s="193">
        <f t="shared" ref="F27" si="16">H27+J27+L27</f>
        <v>9218711</v>
      </c>
      <c r="G27" s="193">
        <v>3674</v>
      </c>
      <c r="H27" s="193">
        <f t="shared" si="9"/>
        <v>1193682</v>
      </c>
      <c r="I27" s="193">
        <v>17947</v>
      </c>
      <c r="J27" s="193">
        <f t="shared" si="10"/>
        <v>5830980</v>
      </c>
      <c r="K27" s="193">
        <v>6753</v>
      </c>
      <c r="L27" s="193">
        <f t="shared" si="11"/>
        <v>2194049</v>
      </c>
      <c r="M27" s="193"/>
      <c r="N27" s="193"/>
      <c r="O27" s="221">
        <f t="shared" si="2"/>
        <v>0</v>
      </c>
      <c r="P27" s="193">
        <f>'[2]철거공 집계표'!$J$16</f>
        <v>308.83999999999997</v>
      </c>
      <c r="Q27" s="193">
        <f t="shared" si="3"/>
        <v>8763025</v>
      </c>
      <c r="R27" s="221">
        <f t="shared" si="4"/>
        <v>0.9505694451209068</v>
      </c>
      <c r="S27" s="193">
        <f t="shared" si="12"/>
        <v>1134678</v>
      </c>
      <c r="T27" s="193">
        <f t="shared" si="13"/>
        <v>5542751</v>
      </c>
      <c r="U27" s="193">
        <f t="shared" si="14"/>
        <v>2085596</v>
      </c>
      <c r="V27" s="193"/>
      <c r="W27" s="193"/>
      <c r="X27" s="221">
        <f t="shared" si="5"/>
        <v>0</v>
      </c>
      <c r="Y27" s="194"/>
      <c r="BU27" s="195"/>
    </row>
    <row r="28" spans="1:87" s="190" customFormat="1" ht="20.100000000000001" customHeight="1" x14ac:dyDescent="0.15">
      <c r="A28" s="191" t="s">
        <v>2000</v>
      </c>
      <c r="B28" s="191" t="s">
        <v>2152</v>
      </c>
      <c r="C28" s="192" t="s">
        <v>1085</v>
      </c>
      <c r="D28" s="193">
        <v>2083.2898571428573</v>
      </c>
      <c r="E28" s="193">
        <f t="shared" si="8"/>
        <v>6563</v>
      </c>
      <c r="F28" s="193">
        <f t="shared" si="0"/>
        <v>13672630</v>
      </c>
      <c r="G28" s="193">
        <v>1279</v>
      </c>
      <c r="H28" s="193">
        <f t="shared" si="9"/>
        <v>2664527</v>
      </c>
      <c r="I28" s="193">
        <v>3641</v>
      </c>
      <c r="J28" s="193">
        <f t="shared" si="10"/>
        <v>7585258</v>
      </c>
      <c r="K28" s="193">
        <v>1643</v>
      </c>
      <c r="L28" s="193">
        <f t="shared" si="11"/>
        <v>3422845</v>
      </c>
      <c r="M28" s="193"/>
      <c r="N28" s="193"/>
      <c r="O28" s="221">
        <f t="shared" si="2"/>
        <v>0</v>
      </c>
      <c r="P28" s="193">
        <f>'[2]토공 집계표'!$R$11</f>
        <v>390.1300835714286</v>
      </c>
      <c r="Q28" s="193">
        <f t="shared" si="3"/>
        <v>2560422</v>
      </c>
      <c r="R28" s="221">
        <f t="shared" si="4"/>
        <v>0.18726623919465385</v>
      </c>
      <c r="S28" s="193">
        <f t="shared" si="12"/>
        <v>498976</v>
      </c>
      <c r="T28" s="193">
        <f t="shared" si="13"/>
        <v>1420463</v>
      </c>
      <c r="U28" s="193">
        <f t="shared" si="14"/>
        <v>640983</v>
      </c>
      <c r="V28" s="193"/>
      <c r="W28" s="193"/>
      <c r="X28" s="221">
        <f t="shared" si="5"/>
        <v>0</v>
      </c>
      <c r="Y28" s="194"/>
      <c r="Z28" s="190" t="s">
        <v>2859</v>
      </c>
      <c r="AB28" s="190" t="s">
        <v>176</v>
      </c>
      <c r="AC28" s="190" t="s">
        <v>2859</v>
      </c>
      <c r="AD28" s="190" t="s">
        <v>791</v>
      </c>
      <c r="AF28" s="190" t="s">
        <v>1314</v>
      </c>
      <c r="BU28" s="195" t="str">
        <f>HYPERLINK("#일위대가목록!A15","K2010500 →")</f>
        <v>K2010500 →</v>
      </c>
      <c r="CA28" s="190">
        <v>7639</v>
      </c>
      <c r="CB28" s="190">
        <v>11573085</v>
      </c>
      <c r="CC28" s="190">
        <v>1489</v>
      </c>
      <c r="CD28" s="190">
        <v>2255835</v>
      </c>
      <c r="CE28" s="190">
        <v>4237</v>
      </c>
      <c r="CF28" s="190">
        <v>6419055</v>
      </c>
      <c r="CG28" s="190">
        <v>1913</v>
      </c>
      <c r="CH28" s="190">
        <v>2898195</v>
      </c>
      <c r="CI28" s="190" t="s">
        <v>1292</v>
      </c>
    </row>
    <row r="29" spans="1:87" s="190" customFormat="1" ht="20.100000000000001" customHeight="1" x14ac:dyDescent="0.15">
      <c r="A29" s="191" t="s">
        <v>1180</v>
      </c>
      <c r="B29" s="191" t="s">
        <v>2859</v>
      </c>
      <c r="C29" s="192" t="s">
        <v>2859</v>
      </c>
      <c r="D29" s="193"/>
      <c r="E29" s="193">
        <f t="shared" si="8"/>
        <v>0</v>
      </c>
      <c r="F29" s="193">
        <f t="shared" si="0"/>
        <v>0</v>
      </c>
      <c r="G29" s="196"/>
      <c r="H29" s="193">
        <v>0</v>
      </c>
      <c r="I29" s="196"/>
      <c r="J29" s="193">
        <v>0</v>
      </c>
      <c r="K29" s="196"/>
      <c r="L29" s="193">
        <v>0</v>
      </c>
      <c r="M29" s="193"/>
      <c r="N29" s="193"/>
      <c r="O29" s="221">
        <f t="shared" si="2"/>
        <v>0</v>
      </c>
      <c r="P29" s="193"/>
      <c r="Q29" s="193">
        <f t="shared" si="3"/>
        <v>0</v>
      </c>
      <c r="R29" s="221">
        <f t="shared" si="4"/>
        <v>0</v>
      </c>
      <c r="S29" s="193">
        <f t="shared" si="12"/>
        <v>0</v>
      </c>
      <c r="T29" s="193">
        <f t="shared" si="13"/>
        <v>0</v>
      </c>
      <c r="U29" s="193">
        <f t="shared" si="14"/>
        <v>0</v>
      </c>
      <c r="V29" s="193"/>
      <c r="W29" s="193"/>
      <c r="X29" s="221">
        <f t="shared" si="5"/>
        <v>0</v>
      </c>
      <c r="Y29" s="194"/>
      <c r="Z29" s="190" t="s">
        <v>2859</v>
      </c>
      <c r="AB29" s="190" t="s">
        <v>1646</v>
      </c>
      <c r="AC29" s="190" t="s">
        <v>2859</v>
      </c>
      <c r="AD29" s="190" t="s">
        <v>2859</v>
      </c>
      <c r="CA29" s="190">
        <v>0</v>
      </c>
      <c r="CB29" s="190">
        <v>0</v>
      </c>
      <c r="CD29" s="190">
        <v>0</v>
      </c>
      <c r="CF29" s="190">
        <v>0</v>
      </c>
      <c r="CH29" s="190">
        <v>0</v>
      </c>
      <c r="CI29" s="190" t="s">
        <v>2859</v>
      </c>
    </row>
    <row r="30" spans="1:87" s="190" customFormat="1" ht="20.100000000000001" customHeight="1" x14ac:dyDescent="0.15">
      <c r="A30" s="198" t="s">
        <v>2143</v>
      </c>
      <c r="B30" s="198" t="s">
        <v>2859</v>
      </c>
      <c r="C30" s="199" t="s">
        <v>2293</v>
      </c>
      <c r="D30" s="188">
        <v>1</v>
      </c>
      <c r="E30" s="200"/>
      <c r="F30" s="188">
        <f t="shared" si="0"/>
        <v>249127758</v>
      </c>
      <c r="G30" s="200"/>
      <c r="H30" s="188">
        <f>SUM(H31:H72)</f>
        <v>69934323</v>
      </c>
      <c r="I30" s="200"/>
      <c r="J30" s="188">
        <f>SUM(J31:J72)</f>
        <v>169464217</v>
      </c>
      <c r="K30" s="200"/>
      <c r="L30" s="188">
        <f>SUM(L31:L72)</f>
        <v>9729218</v>
      </c>
      <c r="M30" s="188"/>
      <c r="N30" s="188"/>
      <c r="O30" s="223">
        <f t="shared" si="2"/>
        <v>0</v>
      </c>
      <c r="P30" s="188"/>
      <c r="Q30" s="188">
        <f t="shared" si="3"/>
        <v>63349207</v>
      </c>
      <c r="R30" s="223">
        <f t="shared" si="4"/>
        <v>0.254284016797518</v>
      </c>
      <c r="S30" s="188">
        <f t="shared" ref="S30:U30" si="17">SUM(S31:S72)</f>
        <v>22679324</v>
      </c>
      <c r="T30" s="188">
        <f t="shared" si="17"/>
        <v>38487046</v>
      </c>
      <c r="U30" s="188">
        <f t="shared" si="17"/>
        <v>2182837</v>
      </c>
      <c r="V30" s="188"/>
      <c r="W30" s="188"/>
      <c r="X30" s="223">
        <f t="shared" si="5"/>
        <v>0</v>
      </c>
      <c r="Y30" s="189"/>
      <c r="Z30" s="190" t="s">
        <v>2859</v>
      </c>
      <c r="AA30" s="190" t="s">
        <v>1204</v>
      </c>
      <c r="AL30" s="203">
        <f>H31+H32+H33+H34+H35+H36+H37+H38+H39+H40+H41+H42+H43+H44+H45+H46+H47+H48+H49+H51+H52+H54+H55+H56+H57+H58+H59+H60+H62+H63+H64+H65+H66+H67+H68+H69+H70</f>
        <v>62431907</v>
      </c>
      <c r="AM30" s="203">
        <f>J31+J32+J33+J34+J35+J36+J37+J38+J39+J40+J41+J42+J43+J44+J45+J46+J47+J48+J49+J51+J52+J54+J55+J56+J57+J58+J59+J60+J62+J63+J64+J65+J66+J67+J68+J69+J70</f>
        <v>167075637</v>
      </c>
      <c r="AN30" s="203">
        <f>L31+L32+L33+L34+L35+L36+L37+L38+L39+L40+L41+L42+L43+L44+L45+L46+L47+L48+L49+L51+L52+L54+L55+L56+L57+L58+L59+L60+L62+L63+L64+L65+L66+L67+L68+L69+L70</f>
        <v>9669334</v>
      </c>
      <c r="CB30" s="190">
        <v>223387024</v>
      </c>
      <c r="CD30" s="190">
        <v>42285506</v>
      </c>
      <c r="CF30" s="190">
        <v>170530411</v>
      </c>
      <c r="CH30" s="190">
        <v>10571107</v>
      </c>
      <c r="CI30" s="190" t="s">
        <v>2859</v>
      </c>
    </row>
    <row r="31" spans="1:87" s="190" customFormat="1" ht="20.100000000000001" customHeight="1" x14ac:dyDescent="0.15">
      <c r="A31" s="191" t="s">
        <v>256</v>
      </c>
      <c r="B31" s="191" t="s">
        <v>1995</v>
      </c>
      <c r="C31" s="192" t="s">
        <v>1085</v>
      </c>
      <c r="D31" s="193">
        <v>3318.57</v>
      </c>
      <c r="E31" s="193">
        <f t="shared" ref="E31:F74" si="18">G31+I31+K31</f>
        <v>1374</v>
      </c>
      <c r="F31" s="193">
        <f t="shared" si="0"/>
        <v>4559714</v>
      </c>
      <c r="G31" s="193">
        <v>329</v>
      </c>
      <c r="H31" s="193">
        <f t="shared" ref="H31:H72" si="19">TRUNC(G31*D31,0)</f>
        <v>1091809</v>
      </c>
      <c r="I31" s="193">
        <v>722</v>
      </c>
      <c r="J31" s="193">
        <f t="shared" ref="J31:J53" si="20">TRUNC(I31*D31,0)</f>
        <v>2396007</v>
      </c>
      <c r="K31" s="193">
        <v>323</v>
      </c>
      <c r="L31" s="193">
        <f t="shared" ref="L31:L53" si="21">TRUNC(K31*D31,0)</f>
        <v>1071898</v>
      </c>
      <c r="M31" s="193"/>
      <c r="N31" s="193"/>
      <c r="O31" s="221">
        <f t="shared" si="2"/>
        <v>0</v>
      </c>
      <c r="P31" s="193">
        <f>[3]배수공집계표!$C$45</f>
        <v>948.46</v>
      </c>
      <c r="Q31" s="193">
        <f t="shared" si="3"/>
        <v>1303183</v>
      </c>
      <c r="R31" s="221">
        <f t="shared" si="4"/>
        <v>0.28580367101971749</v>
      </c>
      <c r="S31" s="193">
        <f t="shared" ref="S31:S74" si="22">TRUNC(G31*P31,0)</f>
        <v>312043</v>
      </c>
      <c r="T31" s="193">
        <f t="shared" ref="T31:T74" si="23">TRUNC(I31*P31,0)</f>
        <v>684788</v>
      </c>
      <c r="U31" s="193">
        <f t="shared" ref="U31:U74" si="24">TRUNC(K31*P31,0)</f>
        <v>306352</v>
      </c>
      <c r="V31" s="193"/>
      <c r="W31" s="193"/>
      <c r="X31" s="221">
        <f t="shared" si="5"/>
        <v>0</v>
      </c>
      <c r="Y31" s="194"/>
      <c r="Z31" s="190" t="s">
        <v>2859</v>
      </c>
      <c r="AB31" s="190" t="s">
        <v>322</v>
      </c>
      <c r="AC31" s="190" t="s">
        <v>2859</v>
      </c>
      <c r="AD31" s="190" t="s">
        <v>1890</v>
      </c>
      <c r="AF31" s="190" t="s">
        <v>1314</v>
      </c>
      <c r="AL31" s="203">
        <f>H71+H72</f>
        <v>14976</v>
      </c>
      <c r="AM31" s="203">
        <f>J71+J72</f>
        <v>164058</v>
      </c>
      <c r="AN31" s="203">
        <f>L71+L72</f>
        <v>0</v>
      </c>
      <c r="BU31" s="195" t="str">
        <f>HYPERLINK("#일위대가목록!A8","K1020118 →")</f>
        <v>K1020118 →</v>
      </c>
      <c r="CA31" s="190">
        <v>1600</v>
      </c>
      <c r="CB31" s="190">
        <v>4000000</v>
      </c>
      <c r="CC31" s="190">
        <v>383</v>
      </c>
      <c r="CD31" s="190">
        <v>957500</v>
      </c>
      <c r="CE31" s="190">
        <v>841</v>
      </c>
      <c r="CF31" s="190">
        <v>2102500</v>
      </c>
      <c r="CG31" s="190">
        <v>376</v>
      </c>
      <c r="CH31" s="190">
        <v>940000</v>
      </c>
      <c r="CI31" s="190" t="s">
        <v>2353</v>
      </c>
    </row>
    <row r="32" spans="1:87" s="190" customFormat="1" ht="20.100000000000001" customHeight="1" x14ac:dyDescent="0.15">
      <c r="A32" s="191" t="s">
        <v>2387</v>
      </c>
      <c r="B32" s="191" t="s">
        <v>1995</v>
      </c>
      <c r="C32" s="192" t="s">
        <v>1091</v>
      </c>
      <c r="D32" s="193">
        <v>680.23</v>
      </c>
      <c r="E32" s="193">
        <f t="shared" si="18"/>
        <v>37331</v>
      </c>
      <c r="F32" s="193">
        <f t="shared" si="0"/>
        <v>25393666</v>
      </c>
      <c r="G32" s="193">
        <v>0</v>
      </c>
      <c r="H32" s="193">
        <f t="shared" si="19"/>
        <v>0</v>
      </c>
      <c r="I32" s="193">
        <v>37331</v>
      </c>
      <c r="J32" s="193">
        <f t="shared" si="20"/>
        <v>25393666</v>
      </c>
      <c r="K32" s="193">
        <v>0</v>
      </c>
      <c r="L32" s="193">
        <f t="shared" si="21"/>
        <v>0</v>
      </c>
      <c r="M32" s="193"/>
      <c r="N32" s="193"/>
      <c r="O32" s="221">
        <f t="shared" si="2"/>
        <v>0</v>
      </c>
      <c r="P32" s="193">
        <f>[3]배수공집계표!$D$45</f>
        <v>246.26</v>
      </c>
      <c r="Q32" s="193">
        <f t="shared" si="3"/>
        <v>9193132</v>
      </c>
      <c r="R32" s="221">
        <f t="shared" si="4"/>
        <v>0.36202460881386722</v>
      </c>
      <c r="S32" s="193">
        <f t="shared" si="22"/>
        <v>0</v>
      </c>
      <c r="T32" s="193">
        <f t="shared" si="23"/>
        <v>9193132</v>
      </c>
      <c r="U32" s="193">
        <f t="shared" si="24"/>
        <v>0</v>
      </c>
      <c r="V32" s="193"/>
      <c r="W32" s="193"/>
      <c r="X32" s="221">
        <f t="shared" si="5"/>
        <v>0</v>
      </c>
      <c r="Y32" s="194"/>
      <c r="Z32" s="190" t="s">
        <v>2859</v>
      </c>
      <c r="AB32" s="190" t="s">
        <v>2491</v>
      </c>
      <c r="AC32" s="190" t="s">
        <v>2859</v>
      </c>
      <c r="AD32" s="190" t="s">
        <v>2175</v>
      </c>
      <c r="AF32" s="190" t="s">
        <v>1773</v>
      </c>
      <c r="BU32" s="195" t="str">
        <f>HYPERLINK("#일위대가목록!A42","H1021200000 →")</f>
        <v>H1021200000 →</v>
      </c>
      <c r="CA32" s="190">
        <v>43441</v>
      </c>
      <c r="CB32" s="190">
        <v>19027158</v>
      </c>
      <c r="CC32" s="190">
        <v>0</v>
      </c>
      <c r="CD32" s="190">
        <v>0</v>
      </c>
      <c r="CE32" s="190">
        <v>43441</v>
      </c>
      <c r="CF32" s="190">
        <v>19027158</v>
      </c>
      <c r="CG32" s="190">
        <v>0</v>
      </c>
      <c r="CH32" s="190">
        <v>0</v>
      </c>
      <c r="CI32" s="190" t="s">
        <v>2566</v>
      </c>
    </row>
    <row r="33" spans="1:87" s="190" customFormat="1" ht="20.100000000000001" customHeight="1" x14ac:dyDescent="0.15">
      <c r="A33" s="191" t="s">
        <v>2644</v>
      </c>
      <c r="B33" s="191" t="s">
        <v>878</v>
      </c>
      <c r="C33" s="192" t="s">
        <v>1085</v>
      </c>
      <c r="D33" s="193">
        <v>706.68</v>
      </c>
      <c r="E33" s="193">
        <f t="shared" si="18"/>
        <v>447</v>
      </c>
      <c r="F33" s="193">
        <f t="shared" si="0"/>
        <v>315884</v>
      </c>
      <c r="G33" s="193">
        <v>138</v>
      </c>
      <c r="H33" s="193">
        <f t="shared" si="19"/>
        <v>97521</v>
      </c>
      <c r="I33" s="193">
        <v>195</v>
      </c>
      <c r="J33" s="193">
        <f t="shared" si="20"/>
        <v>137802</v>
      </c>
      <c r="K33" s="193">
        <v>114</v>
      </c>
      <c r="L33" s="193">
        <f t="shared" si="21"/>
        <v>80561</v>
      </c>
      <c r="M33" s="193"/>
      <c r="N33" s="193"/>
      <c r="O33" s="221">
        <f t="shared" si="2"/>
        <v>0</v>
      </c>
      <c r="P33" s="193">
        <f>[3]배수공집계표!$E$45</f>
        <v>197.26</v>
      </c>
      <c r="Q33" s="193">
        <f t="shared" si="3"/>
        <v>88173</v>
      </c>
      <c r="R33" s="221">
        <f t="shared" si="4"/>
        <v>0.2791309468032569</v>
      </c>
      <c r="S33" s="193">
        <f t="shared" si="22"/>
        <v>27221</v>
      </c>
      <c r="T33" s="193">
        <f t="shared" si="23"/>
        <v>38465</v>
      </c>
      <c r="U33" s="193">
        <f t="shared" si="24"/>
        <v>22487</v>
      </c>
      <c r="V33" s="193"/>
      <c r="W33" s="193"/>
      <c r="X33" s="221">
        <f t="shared" si="5"/>
        <v>0</v>
      </c>
      <c r="Y33" s="194"/>
      <c r="Z33" s="190" t="s">
        <v>2859</v>
      </c>
      <c r="AB33" s="190" t="s">
        <v>1745</v>
      </c>
      <c r="AC33" s="190" t="s">
        <v>2859</v>
      </c>
      <c r="AD33" s="190" t="s">
        <v>2148</v>
      </c>
      <c r="AF33" s="190" t="s">
        <v>1314</v>
      </c>
      <c r="BU33" s="195" t="str">
        <f>HYPERLINK("#일위대가목록!A5","K1010241 →")</f>
        <v>K1010241 →</v>
      </c>
      <c r="CA33" s="190">
        <v>521</v>
      </c>
      <c r="CB33" s="190">
        <v>295928</v>
      </c>
      <c r="CC33" s="190">
        <v>161</v>
      </c>
      <c r="CD33" s="190">
        <v>91448</v>
      </c>
      <c r="CE33" s="190">
        <v>227</v>
      </c>
      <c r="CF33" s="190">
        <v>128936</v>
      </c>
      <c r="CG33" s="190">
        <v>133</v>
      </c>
      <c r="CH33" s="190">
        <v>75544</v>
      </c>
      <c r="CI33" s="190" t="s">
        <v>2248</v>
      </c>
    </row>
    <row r="34" spans="1:87" s="190" customFormat="1" ht="20.100000000000001" customHeight="1" x14ac:dyDescent="0.15">
      <c r="A34" s="191" t="s">
        <v>1336</v>
      </c>
      <c r="B34" s="191" t="s">
        <v>692</v>
      </c>
      <c r="C34" s="192" t="s">
        <v>1085</v>
      </c>
      <c r="D34" s="193">
        <v>706.68</v>
      </c>
      <c r="E34" s="193">
        <f t="shared" si="18"/>
        <v>1276</v>
      </c>
      <c r="F34" s="193">
        <f t="shared" si="0"/>
        <v>901722</v>
      </c>
      <c r="G34" s="193">
        <v>394</v>
      </c>
      <c r="H34" s="193">
        <f t="shared" si="19"/>
        <v>278431</v>
      </c>
      <c r="I34" s="193">
        <v>556</v>
      </c>
      <c r="J34" s="193">
        <f t="shared" si="20"/>
        <v>392914</v>
      </c>
      <c r="K34" s="193">
        <v>326</v>
      </c>
      <c r="L34" s="193">
        <f t="shared" si="21"/>
        <v>230377</v>
      </c>
      <c r="M34" s="193"/>
      <c r="N34" s="193"/>
      <c r="O34" s="221">
        <f t="shared" si="2"/>
        <v>0</v>
      </c>
      <c r="P34" s="193">
        <f>[3]배수공집계표!$E$45</f>
        <v>197.26</v>
      </c>
      <c r="Q34" s="193">
        <f t="shared" si="3"/>
        <v>251702</v>
      </c>
      <c r="R34" s="221">
        <f t="shared" si="4"/>
        <v>0.27913481095060338</v>
      </c>
      <c r="S34" s="193">
        <f t="shared" si="22"/>
        <v>77720</v>
      </c>
      <c r="T34" s="193">
        <f t="shared" si="23"/>
        <v>109676</v>
      </c>
      <c r="U34" s="193">
        <f t="shared" si="24"/>
        <v>64306</v>
      </c>
      <c r="V34" s="193"/>
      <c r="W34" s="193"/>
      <c r="X34" s="221">
        <f t="shared" si="5"/>
        <v>0</v>
      </c>
      <c r="Y34" s="194"/>
      <c r="Z34" s="190" t="s">
        <v>2859</v>
      </c>
      <c r="AB34" s="190" t="s">
        <v>1030</v>
      </c>
      <c r="AC34" s="190" t="s">
        <v>2859</v>
      </c>
      <c r="AD34" s="190" t="s">
        <v>218</v>
      </c>
      <c r="AF34" s="190" t="s">
        <v>1314</v>
      </c>
      <c r="BU34" s="195" t="str">
        <f>HYPERLINK("#일위대가목록!A6","K1010250 →")</f>
        <v>K1010250 →</v>
      </c>
      <c r="CA34" s="190">
        <v>1487</v>
      </c>
      <c r="CB34" s="190">
        <v>844616</v>
      </c>
      <c r="CC34" s="190">
        <v>459</v>
      </c>
      <c r="CD34" s="190">
        <v>260712</v>
      </c>
      <c r="CE34" s="190">
        <v>648</v>
      </c>
      <c r="CF34" s="190">
        <v>368064</v>
      </c>
      <c r="CG34" s="190">
        <v>380</v>
      </c>
      <c r="CH34" s="190">
        <v>215840</v>
      </c>
      <c r="CI34" s="190" t="s">
        <v>1197</v>
      </c>
    </row>
    <row r="35" spans="1:87" s="190" customFormat="1" ht="20.100000000000001" customHeight="1" x14ac:dyDescent="0.15">
      <c r="A35" s="191" t="s">
        <v>2743</v>
      </c>
      <c r="B35" s="191" t="s">
        <v>1995</v>
      </c>
      <c r="C35" s="192" t="s">
        <v>1085</v>
      </c>
      <c r="D35" s="193">
        <v>2723.82</v>
      </c>
      <c r="E35" s="193">
        <f t="shared" si="18"/>
        <v>11478</v>
      </c>
      <c r="F35" s="193">
        <f t="shared" si="0"/>
        <v>31264004</v>
      </c>
      <c r="G35" s="193">
        <v>908</v>
      </c>
      <c r="H35" s="193">
        <f t="shared" si="19"/>
        <v>2473228</v>
      </c>
      <c r="I35" s="193">
        <v>9446</v>
      </c>
      <c r="J35" s="193">
        <f t="shared" si="20"/>
        <v>25729203</v>
      </c>
      <c r="K35" s="193">
        <v>1124</v>
      </c>
      <c r="L35" s="193">
        <f t="shared" si="21"/>
        <v>3061573</v>
      </c>
      <c r="M35" s="193"/>
      <c r="N35" s="193"/>
      <c r="O35" s="221">
        <f t="shared" si="2"/>
        <v>0</v>
      </c>
      <c r="P35" s="193">
        <f>[3]배수공집계표!$F$45</f>
        <v>790.7</v>
      </c>
      <c r="Q35" s="193">
        <f t="shared" si="3"/>
        <v>9075653</v>
      </c>
      <c r="R35" s="221">
        <f t="shared" si="4"/>
        <v>0.2902908085605414</v>
      </c>
      <c r="S35" s="193">
        <f t="shared" si="22"/>
        <v>717955</v>
      </c>
      <c r="T35" s="193">
        <f t="shared" si="23"/>
        <v>7468952</v>
      </c>
      <c r="U35" s="193">
        <f t="shared" si="24"/>
        <v>888746</v>
      </c>
      <c r="V35" s="193"/>
      <c r="W35" s="193"/>
      <c r="X35" s="221">
        <f t="shared" si="5"/>
        <v>0</v>
      </c>
      <c r="Y35" s="194"/>
      <c r="Z35" s="190" t="s">
        <v>2859</v>
      </c>
      <c r="AB35" s="190" t="s">
        <v>267</v>
      </c>
      <c r="AC35" s="190" t="s">
        <v>2859</v>
      </c>
      <c r="AD35" s="190" t="s">
        <v>2459</v>
      </c>
      <c r="AF35" s="190" t="s">
        <v>1314</v>
      </c>
      <c r="BU35" s="195" t="str">
        <f>HYPERLINK("#일위대가목록!A9","K1040213 →")</f>
        <v>K1040213 →</v>
      </c>
      <c r="CA35" s="190">
        <v>13359</v>
      </c>
      <c r="CB35" s="190">
        <v>26731359</v>
      </c>
      <c r="CC35" s="190">
        <v>1057</v>
      </c>
      <c r="CD35" s="190">
        <v>2115057</v>
      </c>
      <c r="CE35" s="190">
        <v>10993</v>
      </c>
      <c r="CF35" s="190">
        <v>21996993</v>
      </c>
      <c r="CG35" s="190">
        <v>1309</v>
      </c>
      <c r="CH35" s="190">
        <v>2619309</v>
      </c>
      <c r="CI35" s="190" t="s">
        <v>721</v>
      </c>
    </row>
    <row r="36" spans="1:87" s="190" customFormat="1" ht="20.100000000000001" customHeight="1" x14ac:dyDescent="0.15">
      <c r="A36" s="191" t="s">
        <v>690</v>
      </c>
      <c r="B36" s="191" t="s">
        <v>1995</v>
      </c>
      <c r="C36" s="192" t="s">
        <v>1085</v>
      </c>
      <c r="D36" s="193">
        <v>568.29</v>
      </c>
      <c r="E36" s="193">
        <f t="shared" si="18"/>
        <v>22664</v>
      </c>
      <c r="F36" s="193">
        <f t="shared" si="0"/>
        <v>12879723</v>
      </c>
      <c r="G36" s="193">
        <v>554</v>
      </c>
      <c r="H36" s="193">
        <f t="shared" si="19"/>
        <v>314832</v>
      </c>
      <c r="I36" s="193">
        <v>21363</v>
      </c>
      <c r="J36" s="193">
        <f t="shared" si="20"/>
        <v>12140379</v>
      </c>
      <c r="K36" s="193">
        <v>747</v>
      </c>
      <c r="L36" s="193">
        <f t="shared" si="21"/>
        <v>424512</v>
      </c>
      <c r="M36" s="193"/>
      <c r="N36" s="193"/>
      <c r="O36" s="221">
        <f t="shared" si="2"/>
        <v>0</v>
      </c>
      <c r="P36" s="193">
        <f>[3]배수공집계표!$G$45</f>
        <v>206.76</v>
      </c>
      <c r="Q36" s="193">
        <f t="shared" si="3"/>
        <v>4686007</v>
      </c>
      <c r="R36" s="221">
        <f t="shared" si="4"/>
        <v>0.36382824382170331</v>
      </c>
      <c r="S36" s="193">
        <f t="shared" si="22"/>
        <v>114545</v>
      </c>
      <c r="T36" s="193">
        <f t="shared" si="23"/>
        <v>4417013</v>
      </c>
      <c r="U36" s="193">
        <f t="shared" si="24"/>
        <v>154449</v>
      </c>
      <c r="V36" s="193"/>
      <c r="W36" s="193"/>
      <c r="X36" s="221">
        <f t="shared" si="5"/>
        <v>0</v>
      </c>
      <c r="Y36" s="194"/>
      <c r="Z36" s="190" t="s">
        <v>2859</v>
      </c>
      <c r="AB36" s="190" t="s">
        <v>2435</v>
      </c>
      <c r="AC36" s="190" t="s">
        <v>2859</v>
      </c>
      <c r="AD36" s="190" t="s">
        <v>1367</v>
      </c>
      <c r="AF36" s="190" t="s">
        <v>1314</v>
      </c>
      <c r="BU36" s="195" t="str">
        <f>HYPERLINK("#일위대가목록!A16","K1040214 →")</f>
        <v>K1040214 →</v>
      </c>
      <c r="CA36" s="190">
        <v>26375</v>
      </c>
      <c r="CB36" s="190">
        <v>9732375</v>
      </c>
      <c r="CC36" s="190">
        <v>645</v>
      </c>
      <c r="CD36" s="190">
        <v>238005</v>
      </c>
      <c r="CE36" s="190">
        <v>24860</v>
      </c>
      <c r="CF36" s="190">
        <v>9173340</v>
      </c>
      <c r="CG36" s="190">
        <v>870</v>
      </c>
      <c r="CH36" s="190">
        <v>321030</v>
      </c>
      <c r="CI36" s="190" t="s">
        <v>1082</v>
      </c>
    </row>
    <row r="37" spans="1:87" s="190" customFormat="1" ht="20.100000000000001" customHeight="1" x14ac:dyDescent="0.15">
      <c r="A37" s="191" t="s">
        <v>2266</v>
      </c>
      <c r="B37" s="191" t="s">
        <v>2859</v>
      </c>
      <c r="C37" s="192" t="s">
        <v>1085</v>
      </c>
      <c r="D37" s="193">
        <v>101.72</v>
      </c>
      <c r="E37" s="193">
        <f t="shared" si="18"/>
        <v>34190</v>
      </c>
      <c r="F37" s="193">
        <f t="shared" si="0"/>
        <v>3477805</v>
      </c>
      <c r="G37" s="193">
        <v>23880</v>
      </c>
      <c r="H37" s="193">
        <f t="shared" si="19"/>
        <v>2429073</v>
      </c>
      <c r="I37" s="193">
        <v>9294</v>
      </c>
      <c r="J37" s="193">
        <f t="shared" si="20"/>
        <v>945385</v>
      </c>
      <c r="K37" s="193">
        <v>1016</v>
      </c>
      <c r="L37" s="193">
        <f t="shared" si="21"/>
        <v>103347</v>
      </c>
      <c r="M37" s="193"/>
      <c r="N37" s="193"/>
      <c r="O37" s="221">
        <f t="shared" si="2"/>
        <v>0</v>
      </c>
      <c r="P37" s="193">
        <f>[3]배수공집계표!$H$45</f>
        <v>15.28</v>
      </c>
      <c r="Q37" s="193">
        <f t="shared" si="3"/>
        <v>522422</v>
      </c>
      <c r="R37" s="221">
        <f t="shared" si="4"/>
        <v>0.15021601268616269</v>
      </c>
      <c r="S37" s="193">
        <f t="shared" si="22"/>
        <v>364886</v>
      </c>
      <c r="T37" s="193">
        <f t="shared" si="23"/>
        <v>142012</v>
      </c>
      <c r="U37" s="193">
        <f t="shared" si="24"/>
        <v>15524</v>
      </c>
      <c r="V37" s="193"/>
      <c r="W37" s="193"/>
      <c r="X37" s="221">
        <f t="shared" si="5"/>
        <v>0</v>
      </c>
      <c r="Y37" s="194"/>
      <c r="Z37" s="190" t="s">
        <v>2859</v>
      </c>
      <c r="AB37" s="190" t="s">
        <v>1695</v>
      </c>
      <c r="AC37" s="190" t="s">
        <v>2859</v>
      </c>
      <c r="AD37" s="190" t="s">
        <v>2655</v>
      </c>
      <c r="AF37" s="190" t="s">
        <v>1773</v>
      </c>
      <c r="BU37" s="195" t="str">
        <f>HYPERLINK("#일위대가목록!A43","K2030210 →")</f>
        <v>K2030210 →</v>
      </c>
      <c r="CA37" s="190">
        <v>39788</v>
      </c>
      <c r="CB37" s="190">
        <v>4893924</v>
      </c>
      <c r="CC37" s="190">
        <v>27789</v>
      </c>
      <c r="CD37" s="190">
        <v>3418047</v>
      </c>
      <c r="CE37" s="190">
        <v>10816</v>
      </c>
      <c r="CF37" s="190">
        <v>1330368</v>
      </c>
      <c r="CG37" s="190">
        <v>1183</v>
      </c>
      <c r="CH37" s="190">
        <v>145509</v>
      </c>
      <c r="CI37" s="190" t="s">
        <v>2208</v>
      </c>
    </row>
    <row r="38" spans="1:87" s="190" customFormat="1" ht="20.100000000000001" customHeight="1" x14ac:dyDescent="0.15">
      <c r="A38" s="191" t="s">
        <v>323</v>
      </c>
      <c r="B38" s="191" t="s">
        <v>2859</v>
      </c>
      <c r="C38" s="192" t="s">
        <v>1085</v>
      </c>
      <c r="D38" s="193">
        <v>186.53</v>
      </c>
      <c r="E38" s="193">
        <f t="shared" si="18"/>
        <v>47173</v>
      </c>
      <c r="F38" s="193">
        <f t="shared" si="0"/>
        <v>8799179</v>
      </c>
      <c r="G38" s="193">
        <v>42722</v>
      </c>
      <c r="H38" s="193">
        <f t="shared" si="19"/>
        <v>7968934</v>
      </c>
      <c r="I38" s="193">
        <v>4051</v>
      </c>
      <c r="J38" s="193">
        <f t="shared" si="20"/>
        <v>755633</v>
      </c>
      <c r="K38" s="193">
        <v>400</v>
      </c>
      <c r="L38" s="193">
        <f t="shared" si="21"/>
        <v>74612</v>
      </c>
      <c r="M38" s="193"/>
      <c r="N38" s="193"/>
      <c r="O38" s="221">
        <f t="shared" si="2"/>
        <v>0</v>
      </c>
      <c r="P38" s="193">
        <f>[3]배수공집계표!$I$45</f>
        <v>73.89</v>
      </c>
      <c r="Q38" s="193">
        <f t="shared" si="3"/>
        <v>3485612</v>
      </c>
      <c r="R38" s="221">
        <f t="shared" si="4"/>
        <v>0.39612922978382414</v>
      </c>
      <c r="S38" s="193">
        <f t="shared" si="22"/>
        <v>3156728</v>
      </c>
      <c r="T38" s="193">
        <f t="shared" si="23"/>
        <v>299328</v>
      </c>
      <c r="U38" s="193">
        <f t="shared" si="24"/>
        <v>29556</v>
      </c>
      <c r="V38" s="193"/>
      <c r="W38" s="193"/>
      <c r="X38" s="221">
        <f t="shared" si="5"/>
        <v>0</v>
      </c>
      <c r="Y38" s="194"/>
      <c r="Z38" s="190" t="s">
        <v>2859</v>
      </c>
      <c r="AB38" s="190" t="s">
        <v>979</v>
      </c>
      <c r="AC38" s="190" t="s">
        <v>2859</v>
      </c>
      <c r="AD38" s="190" t="s">
        <v>2316</v>
      </c>
      <c r="AF38" s="190" t="s">
        <v>1314</v>
      </c>
      <c r="BU38" s="195" t="str">
        <f>HYPERLINK("#일위대가목록!A17","K1050214-1 →")</f>
        <v>K1050214-1 →</v>
      </c>
      <c r="CA38" s="190">
        <v>54894</v>
      </c>
      <c r="CB38" s="190">
        <v>3403428</v>
      </c>
      <c r="CC38" s="190">
        <v>49714</v>
      </c>
      <c r="CD38" s="190">
        <v>3082268</v>
      </c>
      <c r="CE38" s="190">
        <v>4714</v>
      </c>
      <c r="CF38" s="190">
        <v>292268</v>
      </c>
      <c r="CG38" s="190">
        <v>466</v>
      </c>
      <c r="CH38" s="190">
        <v>28892</v>
      </c>
      <c r="CI38" s="190" t="s">
        <v>1011</v>
      </c>
    </row>
    <row r="39" spans="1:87" s="190" customFormat="1" ht="20.100000000000001" customHeight="1" x14ac:dyDescent="0.15">
      <c r="A39" s="191" t="s">
        <v>816</v>
      </c>
      <c r="B39" s="191" t="s">
        <v>3</v>
      </c>
      <c r="C39" s="192" t="s">
        <v>1085</v>
      </c>
      <c r="D39" s="193">
        <v>66.16</v>
      </c>
      <c r="E39" s="193">
        <f t="shared" si="18"/>
        <v>24221</v>
      </c>
      <c r="F39" s="193">
        <f t="shared" si="0"/>
        <v>1602460</v>
      </c>
      <c r="G39" s="193">
        <v>2146</v>
      </c>
      <c r="H39" s="193">
        <f t="shared" si="19"/>
        <v>141979</v>
      </c>
      <c r="I39" s="193">
        <v>19290</v>
      </c>
      <c r="J39" s="193">
        <f t="shared" si="20"/>
        <v>1276226</v>
      </c>
      <c r="K39" s="193">
        <v>2785</v>
      </c>
      <c r="L39" s="193">
        <f t="shared" si="21"/>
        <v>184255</v>
      </c>
      <c r="M39" s="193"/>
      <c r="N39" s="193"/>
      <c r="O39" s="221">
        <f t="shared" si="2"/>
        <v>0</v>
      </c>
      <c r="P39" s="193">
        <f>[3]배수공집계표!$J$45</f>
        <v>8.94</v>
      </c>
      <c r="Q39" s="193">
        <f t="shared" si="3"/>
        <v>216534</v>
      </c>
      <c r="R39" s="221">
        <f t="shared" si="4"/>
        <v>0.13512599378455625</v>
      </c>
      <c r="S39" s="193">
        <f t="shared" si="22"/>
        <v>19185</v>
      </c>
      <c r="T39" s="193">
        <f t="shared" si="23"/>
        <v>172452</v>
      </c>
      <c r="U39" s="193">
        <f t="shared" si="24"/>
        <v>24897</v>
      </c>
      <c r="V39" s="193"/>
      <c r="W39" s="193"/>
      <c r="X39" s="221">
        <f t="shared" si="5"/>
        <v>0</v>
      </c>
      <c r="Y39" s="194"/>
      <c r="Z39" s="190" t="s">
        <v>2859</v>
      </c>
      <c r="AB39" s="190" t="s">
        <v>223</v>
      </c>
      <c r="AC39" s="190" t="s">
        <v>2859</v>
      </c>
      <c r="AD39" s="190" t="s">
        <v>1363</v>
      </c>
      <c r="AF39" s="190" t="s">
        <v>1314</v>
      </c>
      <c r="BU39" s="195" t="str">
        <f>HYPERLINK("#일위대가목록!A18","K3021812 →")</f>
        <v>K3021812 →</v>
      </c>
      <c r="CA39" s="190">
        <v>28187</v>
      </c>
      <c r="CB39" s="190">
        <v>2226773</v>
      </c>
      <c r="CC39" s="190">
        <v>2498</v>
      </c>
      <c r="CD39" s="190">
        <v>197342</v>
      </c>
      <c r="CE39" s="190">
        <v>22448</v>
      </c>
      <c r="CF39" s="190">
        <v>1773392</v>
      </c>
      <c r="CG39" s="190">
        <v>3241</v>
      </c>
      <c r="CH39" s="190">
        <v>256039</v>
      </c>
      <c r="CI39" s="190" t="s">
        <v>2305</v>
      </c>
    </row>
    <row r="40" spans="1:87" s="190" customFormat="1" ht="20.100000000000001" customHeight="1" x14ac:dyDescent="0.15">
      <c r="A40" s="191" t="s">
        <v>440</v>
      </c>
      <c r="B40" s="191" t="s">
        <v>413</v>
      </c>
      <c r="C40" s="192" t="s">
        <v>1085</v>
      </c>
      <c r="D40" s="193">
        <v>128.33000000000001</v>
      </c>
      <c r="E40" s="193">
        <f t="shared" si="18"/>
        <v>29433</v>
      </c>
      <c r="F40" s="193">
        <f t="shared" si="0"/>
        <v>3777135</v>
      </c>
      <c r="G40" s="193">
        <v>2433</v>
      </c>
      <c r="H40" s="193">
        <f t="shared" si="19"/>
        <v>312226</v>
      </c>
      <c r="I40" s="193">
        <v>21892</v>
      </c>
      <c r="J40" s="193">
        <f t="shared" si="20"/>
        <v>2809400</v>
      </c>
      <c r="K40" s="193">
        <v>5108</v>
      </c>
      <c r="L40" s="193">
        <f t="shared" si="21"/>
        <v>655509</v>
      </c>
      <c r="M40" s="193"/>
      <c r="N40" s="193"/>
      <c r="O40" s="221">
        <f t="shared" si="2"/>
        <v>0</v>
      </c>
      <c r="P40" s="193">
        <f>[3]배수공집계표!$K$45</f>
        <v>25.66</v>
      </c>
      <c r="Q40" s="193">
        <f t="shared" si="3"/>
        <v>755249</v>
      </c>
      <c r="R40" s="221">
        <f t="shared" si="4"/>
        <v>0.19995287433464781</v>
      </c>
      <c r="S40" s="193">
        <f t="shared" si="22"/>
        <v>62430</v>
      </c>
      <c r="T40" s="193">
        <f t="shared" si="23"/>
        <v>561748</v>
      </c>
      <c r="U40" s="193">
        <f t="shared" si="24"/>
        <v>131071</v>
      </c>
      <c r="V40" s="193"/>
      <c r="W40" s="193"/>
      <c r="X40" s="221">
        <f t="shared" si="5"/>
        <v>0</v>
      </c>
      <c r="Y40" s="194"/>
      <c r="Z40" s="190" t="s">
        <v>2859</v>
      </c>
      <c r="AB40" s="190" t="s">
        <v>214</v>
      </c>
      <c r="AC40" s="190" t="s">
        <v>2859</v>
      </c>
      <c r="AD40" s="190" t="s">
        <v>859</v>
      </c>
      <c r="AF40" s="190" t="s">
        <v>1314</v>
      </c>
      <c r="BU40" s="195" t="str">
        <f>HYPERLINK("#일위대가목록!A19","K3032412 →")</f>
        <v>K3032412 →</v>
      </c>
      <c r="CA40" s="190">
        <v>34252</v>
      </c>
      <c r="CB40" s="190">
        <v>4692524</v>
      </c>
      <c r="CC40" s="190">
        <v>2832</v>
      </c>
      <c r="CD40" s="190">
        <v>387984</v>
      </c>
      <c r="CE40" s="190">
        <v>25476</v>
      </c>
      <c r="CF40" s="190">
        <v>3490212</v>
      </c>
      <c r="CG40" s="190">
        <v>5944</v>
      </c>
      <c r="CH40" s="190">
        <v>814328</v>
      </c>
      <c r="CI40" s="190" t="s">
        <v>1862</v>
      </c>
    </row>
    <row r="41" spans="1:87" s="190" customFormat="1" ht="20.100000000000001" customHeight="1" x14ac:dyDescent="0.15">
      <c r="A41" s="191" t="s">
        <v>798</v>
      </c>
      <c r="B41" s="191" t="s">
        <v>2420</v>
      </c>
      <c r="C41" s="192" t="s">
        <v>2212</v>
      </c>
      <c r="D41" s="193">
        <v>1002.56</v>
      </c>
      <c r="E41" s="193">
        <f t="shared" si="18"/>
        <v>35634</v>
      </c>
      <c r="F41" s="193">
        <f t="shared" si="0"/>
        <v>35725222</v>
      </c>
      <c r="G41" s="193">
        <v>3574</v>
      </c>
      <c r="H41" s="193">
        <f t="shared" si="19"/>
        <v>3583149</v>
      </c>
      <c r="I41" s="193">
        <v>31127</v>
      </c>
      <c r="J41" s="193">
        <f t="shared" si="20"/>
        <v>31206685</v>
      </c>
      <c r="K41" s="193">
        <v>933</v>
      </c>
      <c r="L41" s="193">
        <f t="shared" si="21"/>
        <v>935388</v>
      </c>
      <c r="M41" s="193"/>
      <c r="N41" s="193"/>
      <c r="O41" s="221">
        <f t="shared" si="2"/>
        <v>0</v>
      </c>
      <c r="P41" s="193">
        <f>[3]배수공집계표!$L$45</f>
        <v>226.86</v>
      </c>
      <c r="Q41" s="193">
        <f t="shared" si="3"/>
        <v>8083928</v>
      </c>
      <c r="R41" s="221">
        <f t="shared" si="4"/>
        <v>0.2262806932312415</v>
      </c>
      <c r="S41" s="193">
        <f t="shared" si="22"/>
        <v>810797</v>
      </c>
      <c r="T41" s="193">
        <f t="shared" si="23"/>
        <v>7061471</v>
      </c>
      <c r="U41" s="193">
        <f t="shared" si="24"/>
        <v>211660</v>
      </c>
      <c r="V41" s="193"/>
      <c r="W41" s="193"/>
      <c r="X41" s="221">
        <f t="shared" si="5"/>
        <v>0</v>
      </c>
      <c r="Y41" s="194"/>
      <c r="Z41" s="190" t="s">
        <v>2859</v>
      </c>
      <c r="AB41" s="190" t="s">
        <v>2400</v>
      </c>
      <c r="AC41" s="190" t="s">
        <v>2859</v>
      </c>
      <c r="AD41" s="190" t="s">
        <v>1328</v>
      </c>
      <c r="AF41" s="190" t="s">
        <v>1314</v>
      </c>
      <c r="BU41" s="195" t="str">
        <f>HYPERLINK("#일위대가목록!A20","K3060150 →")</f>
        <v>K3060150 →</v>
      </c>
      <c r="CA41" s="190">
        <v>41468</v>
      </c>
      <c r="CB41" s="190">
        <v>41011852</v>
      </c>
      <c r="CC41" s="190">
        <v>4160</v>
      </c>
      <c r="CD41" s="190">
        <v>4114240</v>
      </c>
      <c r="CE41" s="190">
        <v>36222</v>
      </c>
      <c r="CF41" s="190">
        <v>35823558</v>
      </c>
      <c r="CG41" s="190">
        <v>1086</v>
      </c>
      <c r="CH41" s="190">
        <v>1074054</v>
      </c>
      <c r="CI41" s="190" t="s">
        <v>667</v>
      </c>
    </row>
    <row r="42" spans="1:87" s="190" customFormat="1" ht="20.100000000000001" customHeight="1" x14ac:dyDescent="0.15">
      <c r="A42" s="191" t="s">
        <v>830</v>
      </c>
      <c r="B42" s="191" t="s">
        <v>1992</v>
      </c>
      <c r="C42" s="192" t="s">
        <v>2212</v>
      </c>
      <c r="D42" s="193">
        <v>176.42</v>
      </c>
      <c r="E42" s="193">
        <f t="shared" si="18"/>
        <v>44444</v>
      </c>
      <c r="F42" s="193">
        <f t="shared" si="0"/>
        <v>7840809</v>
      </c>
      <c r="G42" s="193">
        <v>11479</v>
      </c>
      <c r="H42" s="193">
        <f t="shared" si="19"/>
        <v>2025125</v>
      </c>
      <c r="I42" s="193">
        <v>32640</v>
      </c>
      <c r="J42" s="193">
        <f t="shared" si="20"/>
        <v>5758348</v>
      </c>
      <c r="K42" s="193">
        <v>325</v>
      </c>
      <c r="L42" s="193">
        <f t="shared" si="21"/>
        <v>57336</v>
      </c>
      <c r="M42" s="193"/>
      <c r="N42" s="193"/>
      <c r="O42" s="221">
        <f t="shared" si="2"/>
        <v>0</v>
      </c>
      <c r="P42" s="193">
        <f>[3]배수공집계표!$M$45</f>
        <v>40.729999999999997</v>
      </c>
      <c r="Q42" s="193">
        <f t="shared" si="3"/>
        <v>1810203</v>
      </c>
      <c r="R42" s="221">
        <f t="shared" si="4"/>
        <v>0.2308694166635101</v>
      </c>
      <c r="S42" s="193">
        <f t="shared" si="22"/>
        <v>467539</v>
      </c>
      <c r="T42" s="193">
        <f t="shared" si="23"/>
        <v>1329427</v>
      </c>
      <c r="U42" s="193">
        <f t="shared" si="24"/>
        <v>13237</v>
      </c>
      <c r="V42" s="193"/>
      <c r="W42" s="193"/>
      <c r="X42" s="221">
        <f t="shared" si="5"/>
        <v>0</v>
      </c>
      <c r="Y42" s="194"/>
      <c r="Z42" s="190" t="s">
        <v>2859</v>
      </c>
      <c r="AB42" s="190" t="s">
        <v>176</v>
      </c>
      <c r="AC42" s="190" t="s">
        <v>2859</v>
      </c>
      <c r="AD42" s="190" t="s">
        <v>1192</v>
      </c>
      <c r="AF42" s="190" t="s">
        <v>1773</v>
      </c>
      <c r="BU42" s="195" t="str">
        <f>HYPERLINK("#일위대가목록!A44","K3060114 →")</f>
        <v>K3060114 →</v>
      </c>
      <c r="CA42" s="190">
        <v>51719</v>
      </c>
      <c r="CB42" s="190">
        <v>9774891</v>
      </c>
      <c r="CC42" s="190">
        <v>13358</v>
      </c>
      <c r="CD42" s="190">
        <v>2524662</v>
      </c>
      <c r="CE42" s="190">
        <v>37982</v>
      </c>
      <c r="CF42" s="190">
        <v>7178598</v>
      </c>
      <c r="CG42" s="190">
        <v>379</v>
      </c>
      <c r="CH42" s="190">
        <v>71631</v>
      </c>
      <c r="CI42" s="190" t="s">
        <v>1478</v>
      </c>
    </row>
    <row r="43" spans="1:87" s="190" customFormat="1" ht="20.100000000000001" customHeight="1" x14ac:dyDescent="0.15">
      <c r="A43" s="191" t="s">
        <v>830</v>
      </c>
      <c r="B43" s="191" t="s">
        <v>590</v>
      </c>
      <c r="C43" s="192" t="s">
        <v>2212</v>
      </c>
      <c r="D43" s="193">
        <v>178.23</v>
      </c>
      <c r="E43" s="193">
        <f t="shared" si="18"/>
        <v>39832</v>
      </c>
      <c r="F43" s="193">
        <f t="shared" si="0"/>
        <v>7099256</v>
      </c>
      <c r="G43" s="193">
        <v>10156</v>
      </c>
      <c r="H43" s="193">
        <f t="shared" si="19"/>
        <v>1810103</v>
      </c>
      <c r="I43" s="193">
        <v>29383</v>
      </c>
      <c r="J43" s="193">
        <f t="shared" si="20"/>
        <v>5236932</v>
      </c>
      <c r="K43" s="193">
        <v>293</v>
      </c>
      <c r="L43" s="193">
        <f t="shared" si="21"/>
        <v>52221</v>
      </c>
      <c r="M43" s="193"/>
      <c r="N43" s="193"/>
      <c r="O43" s="221">
        <f t="shared" si="2"/>
        <v>0</v>
      </c>
      <c r="P43" s="193">
        <f>[3]배수공집계표!$N$45</f>
        <v>28.1</v>
      </c>
      <c r="Q43" s="193">
        <f t="shared" si="3"/>
        <v>1119278</v>
      </c>
      <c r="R43" s="221">
        <f t="shared" si="4"/>
        <v>0.15766130986120236</v>
      </c>
      <c r="S43" s="193">
        <f t="shared" si="22"/>
        <v>285383</v>
      </c>
      <c r="T43" s="193">
        <f t="shared" si="23"/>
        <v>825662</v>
      </c>
      <c r="U43" s="193">
        <f t="shared" si="24"/>
        <v>8233</v>
      </c>
      <c r="V43" s="193"/>
      <c r="W43" s="193"/>
      <c r="X43" s="221">
        <f t="shared" si="5"/>
        <v>0</v>
      </c>
      <c r="Y43" s="194"/>
      <c r="Z43" s="190" t="s">
        <v>2859</v>
      </c>
      <c r="AB43" s="190" t="s">
        <v>897</v>
      </c>
      <c r="AC43" s="190" t="s">
        <v>2859</v>
      </c>
      <c r="AD43" s="190" t="s">
        <v>754</v>
      </c>
      <c r="AF43" s="190" t="s">
        <v>1773</v>
      </c>
      <c r="BU43" s="195" t="str">
        <f>HYPERLINK("#일위대가목록!A45","K3060116 →")</f>
        <v>K3060116 →</v>
      </c>
      <c r="CA43" s="190">
        <v>46353</v>
      </c>
      <c r="CB43" s="190">
        <v>9919542</v>
      </c>
      <c r="CC43" s="190">
        <v>11819</v>
      </c>
      <c r="CD43" s="190">
        <v>2529266</v>
      </c>
      <c r="CE43" s="190">
        <v>34193</v>
      </c>
      <c r="CF43" s="190">
        <v>7317302</v>
      </c>
      <c r="CG43" s="190">
        <v>341</v>
      </c>
      <c r="CH43" s="190">
        <v>72974</v>
      </c>
      <c r="CI43" s="190" t="s">
        <v>183</v>
      </c>
    </row>
    <row r="44" spans="1:87" s="190" customFormat="1" ht="20.100000000000001" customHeight="1" x14ac:dyDescent="0.15">
      <c r="A44" s="191" t="s">
        <v>2494</v>
      </c>
      <c r="B44" s="191" t="s">
        <v>2347</v>
      </c>
      <c r="C44" s="192" t="s">
        <v>2471</v>
      </c>
      <c r="D44" s="193">
        <v>6.9080000000000004</v>
      </c>
      <c r="E44" s="193">
        <f t="shared" si="18"/>
        <v>826348</v>
      </c>
      <c r="F44" s="193">
        <f t="shared" si="0"/>
        <v>5708410</v>
      </c>
      <c r="G44" s="193">
        <v>11893</v>
      </c>
      <c r="H44" s="193">
        <f t="shared" si="19"/>
        <v>82156</v>
      </c>
      <c r="I44" s="193">
        <v>798486</v>
      </c>
      <c r="J44" s="193">
        <f t="shared" si="20"/>
        <v>5515941</v>
      </c>
      <c r="K44" s="193">
        <v>15969</v>
      </c>
      <c r="L44" s="193">
        <f t="shared" si="21"/>
        <v>110313</v>
      </c>
      <c r="M44" s="193"/>
      <c r="N44" s="193"/>
      <c r="O44" s="221">
        <f t="shared" si="2"/>
        <v>0</v>
      </c>
      <c r="P44" s="193">
        <f>[3]배수공집계표!$O$45</f>
        <v>1.008</v>
      </c>
      <c r="Q44" s="193">
        <f t="shared" si="3"/>
        <v>832957</v>
      </c>
      <c r="R44" s="221">
        <f t="shared" si="4"/>
        <v>0.14591751468447431</v>
      </c>
      <c r="S44" s="193">
        <f t="shared" si="22"/>
        <v>11988</v>
      </c>
      <c r="T44" s="193">
        <f t="shared" si="23"/>
        <v>804873</v>
      </c>
      <c r="U44" s="193">
        <f t="shared" si="24"/>
        <v>16096</v>
      </c>
      <c r="V44" s="193"/>
      <c r="W44" s="193"/>
      <c r="X44" s="221">
        <f t="shared" si="5"/>
        <v>0</v>
      </c>
      <c r="Y44" s="194"/>
      <c r="Z44" s="190" t="s">
        <v>2859</v>
      </c>
      <c r="AB44" s="190" t="s">
        <v>1646</v>
      </c>
      <c r="AC44" s="190" t="s">
        <v>2859</v>
      </c>
      <c r="AD44" s="190" t="s">
        <v>204</v>
      </c>
      <c r="AF44" s="190" t="s">
        <v>1773</v>
      </c>
      <c r="BU44" s="195" t="str">
        <f>HYPERLINK("#일위대가목록!A46","K3061110 →")</f>
        <v>K3061110 →</v>
      </c>
      <c r="CA44" s="190">
        <v>961592</v>
      </c>
      <c r="CB44" s="190">
        <v>7610999</v>
      </c>
      <c r="CC44" s="190">
        <v>13840</v>
      </c>
      <c r="CD44" s="190">
        <v>109543</v>
      </c>
      <c r="CE44" s="190">
        <v>929169</v>
      </c>
      <c r="CF44" s="190">
        <v>7354372</v>
      </c>
      <c r="CG44" s="190">
        <v>18583</v>
      </c>
      <c r="CH44" s="190">
        <v>147084</v>
      </c>
      <c r="CI44" s="190" t="s">
        <v>1968</v>
      </c>
    </row>
    <row r="45" spans="1:87" s="190" customFormat="1" ht="20.100000000000001" customHeight="1" x14ac:dyDescent="0.15">
      <c r="A45" s="191" t="s">
        <v>1789</v>
      </c>
      <c r="B45" s="191" t="s">
        <v>1720</v>
      </c>
      <c r="C45" s="192" t="s">
        <v>1091</v>
      </c>
      <c r="D45" s="193">
        <v>20</v>
      </c>
      <c r="E45" s="193">
        <f t="shared" si="18"/>
        <v>47903</v>
      </c>
      <c r="F45" s="193">
        <f t="shared" si="0"/>
        <v>958060</v>
      </c>
      <c r="G45" s="193">
        <v>2920</v>
      </c>
      <c r="H45" s="193">
        <f t="shared" si="19"/>
        <v>58400</v>
      </c>
      <c r="I45" s="193">
        <v>38993</v>
      </c>
      <c r="J45" s="193">
        <f t="shared" si="20"/>
        <v>779860</v>
      </c>
      <c r="K45" s="193">
        <v>5990</v>
      </c>
      <c r="L45" s="193">
        <f t="shared" si="21"/>
        <v>119800</v>
      </c>
      <c r="M45" s="193"/>
      <c r="N45" s="193"/>
      <c r="O45" s="221">
        <f t="shared" si="2"/>
        <v>0</v>
      </c>
      <c r="P45" s="193">
        <f>[3]배수공집계표!$E$89</f>
        <v>0</v>
      </c>
      <c r="Q45" s="193">
        <f t="shared" si="3"/>
        <v>0</v>
      </c>
      <c r="R45" s="221">
        <f t="shared" si="4"/>
        <v>0</v>
      </c>
      <c r="S45" s="193">
        <f t="shared" si="22"/>
        <v>0</v>
      </c>
      <c r="T45" s="193">
        <f t="shared" si="23"/>
        <v>0</v>
      </c>
      <c r="U45" s="193">
        <f t="shared" si="24"/>
        <v>0</v>
      </c>
      <c r="V45" s="193"/>
      <c r="W45" s="193"/>
      <c r="X45" s="221">
        <f t="shared" si="5"/>
        <v>0</v>
      </c>
      <c r="Y45" s="194"/>
      <c r="Z45" s="190" t="s">
        <v>2859</v>
      </c>
      <c r="AB45" s="190" t="s">
        <v>836</v>
      </c>
      <c r="AC45" s="190" t="s">
        <v>2859</v>
      </c>
      <c r="AD45" s="190" t="s">
        <v>1569</v>
      </c>
      <c r="AF45" s="190" t="s">
        <v>1773</v>
      </c>
      <c r="BU45" s="195" t="str">
        <f>HYPERLINK("#일위대가목록!A47","K5011030 →")</f>
        <v>K5011030 →</v>
      </c>
      <c r="CA45" s="190">
        <v>55744</v>
      </c>
      <c r="CB45" s="190">
        <v>6020352</v>
      </c>
      <c r="CC45" s="190">
        <v>3398</v>
      </c>
      <c r="CD45" s="190">
        <v>366984</v>
      </c>
      <c r="CE45" s="190">
        <v>45375</v>
      </c>
      <c r="CF45" s="190">
        <v>4900500</v>
      </c>
      <c r="CG45" s="190">
        <v>6971</v>
      </c>
      <c r="CH45" s="190">
        <v>752868</v>
      </c>
      <c r="CI45" s="190" t="s">
        <v>424</v>
      </c>
    </row>
    <row r="46" spans="1:87" s="190" customFormat="1" ht="20.100000000000001" customHeight="1" x14ac:dyDescent="0.15">
      <c r="A46" s="191" t="s">
        <v>1789</v>
      </c>
      <c r="B46" s="191" t="s">
        <v>2043</v>
      </c>
      <c r="C46" s="192" t="s">
        <v>1091</v>
      </c>
      <c r="D46" s="193">
        <v>127</v>
      </c>
      <c r="E46" s="193">
        <f t="shared" si="18"/>
        <v>67926</v>
      </c>
      <c r="F46" s="193">
        <f t="shared" si="0"/>
        <v>8626602</v>
      </c>
      <c r="G46" s="193">
        <v>4022</v>
      </c>
      <c r="H46" s="193">
        <f t="shared" si="19"/>
        <v>510794</v>
      </c>
      <c r="I46" s="193">
        <v>56793</v>
      </c>
      <c r="J46" s="193">
        <f t="shared" si="20"/>
        <v>7212711</v>
      </c>
      <c r="K46" s="193">
        <v>7111</v>
      </c>
      <c r="L46" s="193">
        <f t="shared" si="21"/>
        <v>903097</v>
      </c>
      <c r="M46" s="193"/>
      <c r="N46" s="193"/>
      <c r="O46" s="221">
        <f t="shared" si="2"/>
        <v>0</v>
      </c>
      <c r="P46" s="193">
        <f>[3]배수공집계표!$F$89</f>
        <v>11</v>
      </c>
      <c r="Q46" s="193">
        <f t="shared" si="3"/>
        <v>747186</v>
      </c>
      <c r="R46" s="221">
        <f t="shared" si="4"/>
        <v>8.6614173228346455E-2</v>
      </c>
      <c r="S46" s="193">
        <f t="shared" si="22"/>
        <v>44242</v>
      </c>
      <c r="T46" s="193">
        <f t="shared" si="23"/>
        <v>624723</v>
      </c>
      <c r="U46" s="193">
        <f t="shared" si="24"/>
        <v>78221</v>
      </c>
      <c r="V46" s="193"/>
      <c r="W46" s="193"/>
      <c r="X46" s="221">
        <f t="shared" si="5"/>
        <v>0</v>
      </c>
      <c r="Y46" s="194"/>
      <c r="Z46" s="190" t="s">
        <v>2859</v>
      </c>
      <c r="AB46" s="190" t="s">
        <v>132</v>
      </c>
      <c r="AC46" s="190" t="s">
        <v>2859</v>
      </c>
      <c r="AD46" s="190" t="s">
        <v>2161</v>
      </c>
      <c r="AF46" s="190" t="s">
        <v>1773</v>
      </c>
      <c r="BU46" s="195" t="str">
        <f>HYPERLINK("#일위대가목록!A48","K5011045 →")</f>
        <v>K5011045 →</v>
      </c>
      <c r="CA46" s="190">
        <v>79045</v>
      </c>
      <c r="CB46" s="190">
        <v>11935795</v>
      </c>
      <c r="CC46" s="190">
        <v>4681</v>
      </c>
      <c r="CD46" s="190">
        <v>706831</v>
      </c>
      <c r="CE46" s="190">
        <v>66089</v>
      </c>
      <c r="CF46" s="190">
        <v>9979439</v>
      </c>
      <c r="CG46" s="190">
        <v>8275</v>
      </c>
      <c r="CH46" s="190">
        <v>1249525</v>
      </c>
      <c r="CI46" s="190" t="s">
        <v>1752</v>
      </c>
    </row>
    <row r="47" spans="1:87" s="190" customFormat="1" ht="20.100000000000001" customHeight="1" x14ac:dyDescent="0.15">
      <c r="A47" s="191" t="s">
        <v>1789</v>
      </c>
      <c r="B47" s="191" t="s">
        <v>622</v>
      </c>
      <c r="C47" s="192" t="s">
        <v>1091</v>
      </c>
      <c r="D47" s="193">
        <v>33</v>
      </c>
      <c r="E47" s="193">
        <f t="shared" si="18"/>
        <v>74711</v>
      </c>
      <c r="F47" s="193">
        <f t="shared" si="0"/>
        <v>2465463</v>
      </c>
      <c r="G47" s="193">
        <v>4500</v>
      </c>
      <c r="H47" s="193">
        <f t="shared" si="19"/>
        <v>148500</v>
      </c>
      <c r="I47" s="193">
        <v>62727</v>
      </c>
      <c r="J47" s="193">
        <f t="shared" si="20"/>
        <v>2069991</v>
      </c>
      <c r="K47" s="193">
        <v>7484</v>
      </c>
      <c r="L47" s="193">
        <f t="shared" si="21"/>
        <v>246972</v>
      </c>
      <c r="M47" s="193"/>
      <c r="N47" s="193"/>
      <c r="O47" s="221">
        <f t="shared" si="2"/>
        <v>0</v>
      </c>
      <c r="P47" s="193">
        <f>[3]배수공집계표!$G$89</f>
        <v>13.5</v>
      </c>
      <c r="Q47" s="193">
        <f t="shared" si="3"/>
        <v>1008598</v>
      </c>
      <c r="R47" s="221">
        <f t="shared" si="4"/>
        <v>0.40909070628924465</v>
      </c>
      <c r="S47" s="193">
        <f t="shared" si="22"/>
        <v>60750</v>
      </c>
      <c r="T47" s="193">
        <f t="shared" si="23"/>
        <v>846814</v>
      </c>
      <c r="U47" s="193">
        <f t="shared" si="24"/>
        <v>101034</v>
      </c>
      <c r="V47" s="193"/>
      <c r="W47" s="193"/>
      <c r="X47" s="221">
        <f t="shared" si="5"/>
        <v>0</v>
      </c>
      <c r="Y47" s="194"/>
      <c r="Z47" s="190" t="s">
        <v>2859</v>
      </c>
      <c r="AB47" s="190" t="s">
        <v>2285</v>
      </c>
      <c r="AC47" s="190" t="s">
        <v>2859</v>
      </c>
      <c r="AD47" s="190" t="s">
        <v>134</v>
      </c>
      <c r="AF47" s="190" t="s">
        <v>1773</v>
      </c>
      <c r="BU47" s="195" t="str">
        <f>HYPERLINK("#일위대가목록!A49","K5011050 →")</f>
        <v>K5011050 →</v>
      </c>
      <c r="CA47" s="190">
        <v>86941</v>
      </c>
      <c r="CB47" s="190">
        <v>4781755</v>
      </c>
      <c r="CC47" s="190">
        <v>5237</v>
      </c>
      <c r="CD47" s="190">
        <v>288035</v>
      </c>
      <c r="CE47" s="190">
        <v>72994</v>
      </c>
      <c r="CF47" s="190">
        <v>4014670</v>
      </c>
      <c r="CG47" s="190">
        <v>8710</v>
      </c>
      <c r="CH47" s="190">
        <v>479050</v>
      </c>
      <c r="CI47" s="190" t="s">
        <v>117</v>
      </c>
    </row>
    <row r="48" spans="1:87" s="190" customFormat="1" ht="20.100000000000001" customHeight="1" x14ac:dyDescent="0.15">
      <c r="A48" s="191" t="s">
        <v>1789</v>
      </c>
      <c r="B48" s="191" t="s">
        <v>2222</v>
      </c>
      <c r="C48" s="192" t="s">
        <v>1091</v>
      </c>
      <c r="D48" s="193">
        <v>7.5</v>
      </c>
      <c r="E48" s="193">
        <f t="shared" si="18"/>
        <v>144707</v>
      </c>
      <c r="F48" s="193">
        <f t="shared" si="0"/>
        <v>1085302</v>
      </c>
      <c r="G48" s="193">
        <v>9316</v>
      </c>
      <c r="H48" s="193">
        <f t="shared" si="19"/>
        <v>69870</v>
      </c>
      <c r="I48" s="193">
        <v>122063</v>
      </c>
      <c r="J48" s="193">
        <f t="shared" si="20"/>
        <v>915472</v>
      </c>
      <c r="K48" s="193">
        <v>13328</v>
      </c>
      <c r="L48" s="193">
        <f t="shared" si="21"/>
        <v>99960</v>
      </c>
      <c r="M48" s="193"/>
      <c r="N48" s="193"/>
      <c r="O48" s="221">
        <f t="shared" si="2"/>
        <v>0</v>
      </c>
      <c r="P48" s="193">
        <f>[3]배수공집계표!$H$89</f>
        <v>0</v>
      </c>
      <c r="Q48" s="193">
        <f t="shared" si="3"/>
        <v>0</v>
      </c>
      <c r="R48" s="221">
        <f t="shared" si="4"/>
        <v>0</v>
      </c>
      <c r="S48" s="193">
        <f t="shared" si="22"/>
        <v>0</v>
      </c>
      <c r="T48" s="193">
        <f t="shared" si="23"/>
        <v>0</v>
      </c>
      <c r="U48" s="193">
        <f t="shared" si="24"/>
        <v>0</v>
      </c>
      <c r="V48" s="193"/>
      <c r="W48" s="193"/>
      <c r="X48" s="221">
        <f t="shared" si="5"/>
        <v>0</v>
      </c>
      <c r="Y48" s="194"/>
      <c r="Z48" s="190" t="s">
        <v>2859</v>
      </c>
      <c r="AB48" s="190" t="s">
        <v>1601</v>
      </c>
      <c r="AC48" s="190" t="s">
        <v>2859</v>
      </c>
      <c r="AD48" s="190" t="s">
        <v>1442</v>
      </c>
      <c r="AF48" s="190" t="s">
        <v>1773</v>
      </c>
      <c r="BU48" s="195" t="str">
        <f>HYPERLINK("#일위대가목록!A50","K5011100 →")</f>
        <v>K5011100 →</v>
      </c>
      <c r="CA48" s="190">
        <v>168392</v>
      </c>
      <c r="CB48" s="190">
        <v>841960</v>
      </c>
      <c r="CC48" s="190">
        <v>10841</v>
      </c>
      <c r="CD48" s="190">
        <v>54205</v>
      </c>
      <c r="CE48" s="190">
        <v>142041</v>
      </c>
      <c r="CF48" s="190">
        <v>710205</v>
      </c>
      <c r="CG48" s="190">
        <v>15510</v>
      </c>
      <c r="CH48" s="190">
        <v>77550</v>
      </c>
      <c r="CI48" s="190" t="s">
        <v>1717</v>
      </c>
    </row>
    <row r="49" spans="1:87" s="190" customFormat="1" ht="20.100000000000001" customHeight="1" x14ac:dyDescent="0.15">
      <c r="A49" s="191" t="s">
        <v>1537</v>
      </c>
      <c r="B49" s="191" t="s">
        <v>1761</v>
      </c>
      <c r="C49" s="192" t="s">
        <v>1091</v>
      </c>
      <c r="D49" s="193">
        <v>405</v>
      </c>
      <c r="E49" s="193">
        <f t="shared" si="18"/>
        <v>87835</v>
      </c>
      <c r="F49" s="193">
        <f t="shared" si="0"/>
        <v>35573175</v>
      </c>
      <c r="G49" s="193">
        <v>70606</v>
      </c>
      <c r="H49" s="193">
        <f t="shared" si="19"/>
        <v>28595430</v>
      </c>
      <c r="I49" s="193">
        <v>16728</v>
      </c>
      <c r="J49" s="193">
        <f t="shared" si="20"/>
        <v>6774840</v>
      </c>
      <c r="K49" s="193">
        <v>501</v>
      </c>
      <c r="L49" s="193">
        <f t="shared" si="21"/>
        <v>202905</v>
      </c>
      <c r="M49" s="193"/>
      <c r="N49" s="193"/>
      <c r="O49" s="221">
        <f t="shared" si="2"/>
        <v>0</v>
      </c>
      <c r="P49" s="193">
        <f>[3]배수공집계표!$I$89</f>
        <v>222</v>
      </c>
      <c r="Q49" s="193">
        <f t="shared" si="3"/>
        <v>19499370</v>
      </c>
      <c r="R49" s="221">
        <f t="shared" si="4"/>
        <v>0.54814814814814816</v>
      </c>
      <c r="S49" s="193">
        <f t="shared" si="22"/>
        <v>15674532</v>
      </c>
      <c r="T49" s="193">
        <f t="shared" si="23"/>
        <v>3713616</v>
      </c>
      <c r="U49" s="193">
        <f t="shared" si="24"/>
        <v>111222</v>
      </c>
      <c r="V49" s="193"/>
      <c r="W49" s="193"/>
      <c r="X49" s="221">
        <f t="shared" si="5"/>
        <v>0</v>
      </c>
      <c r="Y49" s="194"/>
      <c r="Z49" s="190" t="s">
        <v>2859</v>
      </c>
      <c r="AB49" s="190" t="s">
        <v>800</v>
      </c>
      <c r="AC49" s="190" t="s">
        <v>2859</v>
      </c>
      <c r="AD49" s="190" t="s">
        <v>247</v>
      </c>
      <c r="AF49" s="190" t="s">
        <v>1773</v>
      </c>
      <c r="BU49" s="195" t="str">
        <f>HYPERLINK("#일위대가목록!A51","K50200450 →")</f>
        <v>K50200450 →</v>
      </c>
      <c r="CA49" s="190">
        <v>102211</v>
      </c>
      <c r="CB49" s="190">
        <v>6848137</v>
      </c>
      <c r="CC49" s="190">
        <v>82162</v>
      </c>
      <c r="CD49" s="190">
        <v>5504854</v>
      </c>
      <c r="CE49" s="190">
        <v>19466</v>
      </c>
      <c r="CF49" s="190">
        <v>1304222</v>
      </c>
      <c r="CG49" s="190">
        <v>583</v>
      </c>
      <c r="CH49" s="190">
        <v>39061</v>
      </c>
      <c r="CI49" s="190" t="s">
        <v>128</v>
      </c>
    </row>
    <row r="50" spans="1:87" s="190" customFormat="1" ht="20.100000000000001" customHeight="1" x14ac:dyDescent="0.15">
      <c r="A50" s="191" t="s">
        <v>1537</v>
      </c>
      <c r="B50" s="191" t="s">
        <v>2990</v>
      </c>
      <c r="C50" s="192" t="s">
        <v>3206</v>
      </c>
      <c r="D50" s="193">
        <v>164</v>
      </c>
      <c r="E50" s="193">
        <f t="shared" ref="E50" si="25">G50+I50+K50</f>
        <v>25770</v>
      </c>
      <c r="F50" s="193">
        <f t="shared" ref="F50" si="26">H50+J50+L50</f>
        <v>4226280</v>
      </c>
      <c r="G50" s="193">
        <v>18130</v>
      </c>
      <c r="H50" s="193">
        <f t="shared" si="19"/>
        <v>2973320</v>
      </c>
      <c r="I50" s="193">
        <v>7419</v>
      </c>
      <c r="J50" s="193">
        <f t="shared" si="20"/>
        <v>1216716</v>
      </c>
      <c r="K50" s="193">
        <v>221</v>
      </c>
      <c r="L50" s="193">
        <f t="shared" si="21"/>
        <v>36244</v>
      </c>
      <c r="M50" s="193"/>
      <c r="N50" s="193"/>
      <c r="O50" s="221">
        <f t="shared" si="2"/>
        <v>0</v>
      </c>
      <c r="P50" s="193">
        <f>[3]배수공집계표!$O$134</f>
        <v>26</v>
      </c>
      <c r="Q50" s="193">
        <f t="shared" si="3"/>
        <v>670020</v>
      </c>
      <c r="R50" s="221">
        <f t="shared" si="4"/>
        <v>0.15853658536585366</v>
      </c>
      <c r="S50" s="193">
        <f t="shared" si="22"/>
        <v>471380</v>
      </c>
      <c r="T50" s="193">
        <f t="shared" si="23"/>
        <v>192894</v>
      </c>
      <c r="U50" s="193">
        <f t="shared" si="24"/>
        <v>5746</v>
      </c>
      <c r="V50" s="193"/>
      <c r="W50" s="193"/>
      <c r="X50" s="221">
        <f t="shared" si="5"/>
        <v>0</v>
      </c>
      <c r="Y50" s="194"/>
      <c r="BU50" s="195"/>
    </row>
    <row r="51" spans="1:87" s="190" customFormat="1" ht="20.100000000000001" customHeight="1" x14ac:dyDescent="0.15">
      <c r="A51" s="191" t="s">
        <v>2476</v>
      </c>
      <c r="B51" s="191" t="s">
        <v>2142</v>
      </c>
      <c r="C51" s="192" t="s">
        <v>1091</v>
      </c>
      <c r="D51" s="193">
        <v>16</v>
      </c>
      <c r="E51" s="193">
        <f t="shared" si="18"/>
        <v>45340</v>
      </c>
      <c r="F51" s="193">
        <f t="shared" si="0"/>
        <v>725440</v>
      </c>
      <c r="G51" s="193">
        <v>33331</v>
      </c>
      <c r="H51" s="193">
        <f t="shared" si="19"/>
        <v>533296</v>
      </c>
      <c r="I51" s="193">
        <v>11660</v>
      </c>
      <c r="J51" s="193">
        <f t="shared" si="20"/>
        <v>186560</v>
      </c>
      <c r="K51" s="193">
        <v>349</v>
      </c>
      <c r="L51" s="193">
        <f t="shared" si="21"/>
        <v>5584</v>
      </c>
      <c r="M51" s="193"/>
      <c r="N51" s="193"/>
      <c r="O51" s="221">
        <f t="shared" si="2"/>
        <v>0</v>
      </c>
      <c r="P51" s="193">
        <f>[3]배수공집계표!$J$89</f>
        <v>0</v>
      </c>
      <c r="Q51" s="193">
        <f t="shared" si="3"/>
        <v>0</v>
      </c>
      <c r="R51" s="221">
        <f t="shared" si="4"/>
        <v>0</v>
      </c>
      <c r="S51" s="193">
        <f t="shared" si="22"/>
        <v>0</v>
      </c>
      <c r="T51" s="193">
        <f t="shared" si="23"/>
        <v>0</v>
      </c>
      <c r="U51" s="193">
        <f t="shared" si="24"/>
        <v>0</v>
      </c>
      <c r="V51" s="193"/>
      <c r="W51" s="193"/>
      <c r="X51" s="221">
        <f t="shared" si="5"/>
        <v>0</v>
      </c>
      <c r="Y51" s="194"/>
      <c r="Z51" s="190" t="s">
        <v>2859</v>
      </c>
      <c r="AB51" s="190" t="s">
        <v>97</v>
      </c>
      <c r="AC51" s="190" t="s">
        <v>2859</v>
      </c>
      <c r="AD51" s="190" t="s">
        <v>2410</v>
      </c>
      <c r="AF51" s="190" t="s">
        <v>1773</v>
      </c>
      <c r="BU51" s="195" t="str">
        <f>HYPERLINK("#일위대가목록!A52","K50200300 →")</f>
        <v>K50200300 →</v>
      </c>
      <c r="CA51" s="190">
        <v>52763</v>
      </c>
      <c r="CB51" s="190">
        <v>844208</v>
      </c>
      <c r="CC51" s="190">
        <v>38787</v>
      </c>
      <c r="CD51" s="190">
        <v>620592</v>
      </c>
      <c r="CE51" s="190">
        <v>13569</v>
      </c>
      <c r="CF51" s="190">
        <v>217104</v>
      </c>
      <c r="CG51" s="190">
        <v>407</v>
      </c>
      <c r="CH51" s="190">
        <v>6512</v>
      </c>
      <c r="CI51" s="190" t="s">
        <v>2610</v>
      </c>
    </row>
    <row r="52" spans="1:87" s="190" customFormat="1" ht="20.100000000000001" customHeight="1" x14ac:dyDescent="0.15">
      <c r="A52" s="191" t="s">
        <v>861</v>
      </c>
      <c r="B52" s="191" t="s">
        <v>2741</v>
      </c>
      <c r="C52" s="192" t="s">
        <v>1091</v>
      </c>
      <c r="D52" s="193">
        <v>117</v>
      </c>
      <c r="E52" s="193">
        <f t="shared" si="18"/>
        <v>4335</v>
      </c>
      <c r="F52" s="193">
        <f t="shared" si="0"/>
        <v>507195</v>
      </c>
      <c r="G52" s="193">
        <v>902</v>
      </c>
      <c r="H52" s="193">
        <f t="shared" si="19"/>
        <v>105534</v>
      </c>
      <c r="I52" s="193">
        <v>3433</v>
      </c>
      <c r="J52" s="193">
        <f t="shared" si="20"/>
        <v>401661</v>
      </c>
      <c r="K52" s="193">
        <v>0</v>
      </c>
      <c r="L52" s="193">
        <f t="shared" si="21"/>
        <v>0</v>
      </c>
      <c r="M52" s="193"/>
      <c r="N52" s="193"/>
      <c r="O52" s="221">
        <f t="shared" si="2"/>
        <v>0</v>
      </c>
      <c r="P52" s="193">
        <f>[3]배수공집계표!$J$134</f>
        <v>0</v>
      </c>
      <c r="Q52" s="193">
        <f t="shared" si="3"/>
        <v>0</v>
      </c>
      <c r="R52" s="221">
        <f t="shared" si="4"/>
        <v>0</v>
      </c>
      <c r="S52" s="193">
        <f t="shared" si="22"/>
        <v>0</v>
      </c>
      <c r="T52" s="193">
        <f t="shared" si="23"/>
        <v>0</v>
      </c>
      <c r="U52" s="193">
        <f t="shared" si="24"/>
        <v>0</v>
      </c>
      <c r="V52" s="193"/>
      <c r="W52" s="193"/>
      <c r="X52" s="221">
        <f t="shared" si="5"/>
        <v>0</v>
      </c>
      <c r="Y52" s="194"/>
      <c r="Z52" s="190" t="s">
        <v>2859</v>
      </c>
      <c r="AB52" s="190" t="s">
        <v>2243</v>
      </c>
      <c r="AC52" s="190" t="s">
        <v>2859</v>
      </c>
      <c r="AD52" s="190" t="s">
        <v>1470</v>
      </c>
      <c r="AF52" s="190" t="s">
        <v>1773</v>
      </c>
      <c r="BU52" s="195" t="str">
        <f>HYPERLINK("#일위대가목록!A53","K50200025 →")</f>
        <v>K50200025 →</v>
      </c>
      <c r="CA52" s="190">
        <v>5045</v>
      </c>
      <c r="CB52" s="190">
        <v>590265</v>
      </c>
      <c r="CC52" s="190">
        <v>1050</v>
      </c>
      <c r="CD52" s="190">
        <v>122850</v>
      </c>
      <c r="CE52" s="190">
        <v>3995</v>
      </c>
      <c r="CF52" s="190">
        <v>467415</v>
      </c>
      <c r="CG52" s="190">
        <v>0</v>
      </c>
      <c r="CH52" s="190">
        <v>0</v>
      </c>
      <c r="CI52" s="190" t="s">
        <v>1429</v>
      </c>
    </row>
    <row r="53" spans="1:87" s="190" customFormat="1" ht="20.100000000000001" customHeight="1" x14ac:dyDescent="0.15">
      <c r="A53" s="201" t="s">
        <v>3197</v>
      </c>
      <c r="B53" s="191" t="s">
        <v>3185</v>
      </c>
      <c r="C53" s="192" t="s">
        <v>3206</v>
      </c>
      <c r="D53" s="193">
        <v>120</v>
      </c>
      <c r="E53" s="193">
        <f t="shared" ref="E53" si="27">G53+I53+K53</f>
        <v>29531</v>
      </c>
      <c r="F53" s="193">
        <f t="shared" ref="F53" si="28">H53+J53+L53</f>
        <v>3543720</v>
      </c>
      <c r="G53" s="193">
        <v>21730</v>
      </c>
      <c r="H53" s="193">
        <f t="shared" si="19"/>
        <v>2607600</v>
      </c>
      <c r="I53" s="193">
        <v>7604</v>
      </c>
      <c r="J53" s="193">
        <f t="shared" si="20"/>
        <v>912480</v>
      </c>
      <c r="K53" s="193">
        <v>197</v>
      </c>
      <c r="L53" s="193">
        <f t="shared" si="21"/>
        <v>23640</v>
      </c>
      <c r="M53" s="193"/>
      <c r="N53" s="193"/>
      <c r="O53" s="221">
        <f t="shared" si="2"/>
        <v>0</v>
      </c>
      <c r="P53" s="193">
        <f>[3]배수공집계표!$P$134</f>
        <v>0</v>
      </c>
      <c r="Q53" s="193">
        <f t="shared" si="3"/>
        <v>0</v>
      </c>
      <c r="R53" s="221">
        <f t="shared" si="4"/>
        <v>0</v>
      </c>
      <c r="S53" s="193">
        <f t="shared" si="22"/>
        <v>0</v>
      </c>
      <c r="T53" s="193">
        <f t="shared" si="23"/>
        <v>0</v>
      </c>
      <c r="U53" s="193">
        <f t="shared" si="24"/>
        <v>0</v>
      </c>
      <c r="V53" s="193"/>
      <c r="W53" s="193"/>
      <c r="X53" s="221">
        <f t="shared" si="5"/>
        <v>0</v>
      </c>
      <c r="Y53" s="194"/>
      <c r="BU53" s="195"/>
    </row>
    <row r="54" spans="1:87" s="190" customFormat="1" ht="20.100000000000001" customHeight="1" x14ac:dyDescent="0.15">
      <c r="A54" s="191" t="s">
        <v>605</v>
      </c>
      <c r="B54" s="191" t="s">
        <v>2123</v>
      </c>
      <c r="C54" s="192" t="s">
        <v>2471</v>
      </c>
      <c r="D54" s="204">
        <v>0.503</v>
      </c>
      <c r="E54" s="193">
        <f t="shared" si="18"/>
        <v>708968</v>
      </c>
      <c r="F54" s="193">
        <f t="shared" si="0"/>
        <v>356610</v>
      </c>
      <c r="G54" s="193">
        <v>708968</v>
      </c>
      <c r="H54" s="193">
        <f t="shared" si="19"/>
        <v>356610</v>
      </c>
      <c r="I54" s="193">
        <v>0</v>
      </c>
      <c r="J54" s="193"/>
      <c r="K54" s="193">
        <v>0</v>
      </c>
      <c r="L54" s="193"/>
      <c r="M54" s="193"/>
      <c r="N54" s="193"/>
      <c r="O54" s="221">
        <f t="shared" si="2"/>
        <v>0</v>
      </c>
      <c r="P54" s="193"/>
      <c r="Q54" s="193">
        <f t="shared" si="3"/>
        <v>0</v>
      </c>
      <c r="R54" s="221">
        <f t="shared" si="4"/>
        <v>0</v>
      </c>
      <c r="S54" s="193">
        <f t="shared" si="22"/>
        <v>0</v>
      </c>
      <c r="T54" s="193">
        <f t="shared" si="23"/>
        <v>0</v>
      </c>
      <c r="U54" s="193">
        <f t="shared" si="24"/>
        <v>0</v>
      </c>
      <c r="V54" s="193"/>
      <c r="W54" s="193"/>
      <c r="X54" s="221">
        <f t="shared" si="5"/>
        <v>0</v>
      </c>
      <c r="Y54" s="194"/>
      <c r="Z54" s="190" t="s">
        <v>1501</v>
      </c>
      <c r="AB54" s="190" t="s">
        <v>1565</v>
      </c>
      <c r="AC54" s="190" t="s">
        <v>2859</v>
      </c>
      <c r="AD54" s="190" t="s">
        <v>2635</v>
      </c>
      <c r="BU54" s="195" t="str">
        <f>HYPERLINK("#자재조서!A6","M0012012 →")</f>
        <v>M0012012 →</v>
      </c>
      <c r="CA54" s="190">
        <v>825000</v>
      </c>
      <c r="CB54" s="190">
        <v>325875</v>
      </c>
      <c r="CC54" s="190">
        <v>825000</v>
      </c>
      <c r="CD54" s="190">
        <v>325875</v>
      </c>
      <c r="CE54" s="190">
        <v>0</v>
      </c>
      <c r="CG54" s="190">
        <v>0</v>
      </c>
      <c r="CI54" s="190" t="s">
        <v>2635</v>
      </c>
    </row>
    <row r="55" spans="1:87" s="190" customFormat="1" ht="20.100000000000001" customHeight="1" x14ac:dyDescent="0.15">
      <c r="A55" s="191" t="s">
        <v>1800</v>
      </c>
      <c r="B55" s="191" t="s">
        <v>954</v>
      </c>
      <c r="C55" s="192" t="s">
        <v>2471</v>
      </c>
      <c r="D55" s="204">
        <v>0.41299999999999998</v>
      </c>
      <c r="E55" s="193">
        <f t="shared" si="18"/>
        <v>708968</v>
      </c>
      <c r="F55" s="193">
        <f t="shared" si="0"/>
        <v>292803</v>
      </c>
      <c r="G55" s="193">
        <v>708968</v>
      </c>
      <c r="H55" s="193">
        <f t="shared" si="19"/>
        <v>292803</v>
      </c>
      <c r="I55" s="193">
        <v>0</v>
      </c>
      <c r="J55" s="193"/>
      <c r="K55" s="193">
        <v>0</v>
      </c>
      <c r="L55" s="193"/>
      <c r="M55" s="193"/>
      <c r="N55" s="193"/>
      <c r="O55" s="221">
        <f t="shared" si="2"/>
        <v>0</v>
      </c>
      <c r="P55" s="193"/>
      <c r="Q55" s="193">
        <f t="shared" si="3"/>
        <v>0</v>
      </c>
      <c r="R55" s="221">
        <f t="shared" si="4"/>
        <v>0</v>
      </c>
      <c r="S55" s="193">
        <f t="shared" si="22"/>
        <v>0</v>
      </c>
      <c r="T55" s="193">
        <f t="shared" si="23"/>
        <v>0</v>
      </c>
      <c r="U55" s="193">
        <f t="shared" si="24"/>
        <v>0</v>
      </c>
      <c r="V55" s="193"/>
      <c r="W55" s="193"/>
      <c r="X55" s="221">
        <f t="shared" si="5"/>
        <v>0</v>
      </c>
      <c r="Y55" s="194"/>
      <c r="Z55" s="190" t="s">
        <v>1984</v>
      </c>
      <c r="AB55" s="190" t="s">
        <v>748</v>
      </c>
      <c r="AC55" s="190" t="s">
        <v>2859</v>
      </c>
      <c r="AD55" s="190" t="s">
        <v>1988</v>
      </c>
      <c r="BU55" s="195" t="str">
        <f>HYPERLINK("#자재조서!A5","M0012006 →")</f>
        <v>M0012006 →</v>
      </c>
      <c r="CA55" s="190">
        <v>825000</v>
      </c>
      <c r="CB55" s="190">
        <v>403425</v>
      </c>
      <c r="CC55" s="190">
        <v>825000</v>
      </c>
      <c r="CD55" s="190">
        <v>403425</v>
      </c>
      <c r="CE55" s="190">
        <v>0</v>
      </c>
      <c r="CG55" s="190">
        <v>0</v>
      </c>
      <c r="CI55" s="190" t="s">
        <v>1988</v>
      </c>
    </row>
    <row r="56" spans="1:87" s="190" customFormat="1" ht="20.100000000000001" customHeight="1" x14ac:dyDescent="0.15">
      <c r="A56" s="191" t="s">
        <v>427</v>
      </c>
      <c r="B56" s="191" t="s">
        <v>12</v>
      </c>
      <c r="C56" s="192" t="s">
        <v>2471</v>
      </c>
      <c r="D56" s="204">
        <v>3.3140000000000001</v>
      </c>
      <c r="E56" s="193">
        <f t="shared" si="18"/>
        <v>833575</v>
      </c>
      <c r="F56" s="193">
        <f t="shared" si="0"/>
        <v>2762467</v>
      </c>
      <c r="G56" s="193">
        <v>833575</v>
      </c>
      <c r="H56" s="193">
        <f t="shared" si="19"/>
        <v>2762467</v>
      </c>
      <c r="I56" s="193">
        <v>0</v>
      </c>
      <c r="J56" s="193"/>
      <c r="K56" s="193">
        <v>0</v>
      </c>
      <c r="L56" s="193"/>
      <c r="M56" s="193"/>
      <c r="N56" s="193"/>
      <c r="O56" s="221">
        <f t="shared" si="2"/>
        <v>0</v>
      </c>
      <c r="P56" s="193"/>
      <c r="Q56" s="193">
        <f t="shared" si="3"/>
        <v>0</v>
      </c>
      <c r="R56" s="221">
        <f t="shared" si="4"/>
        <v>0</v>
      </c>
      <c r="S56" s="193">
        <f t="shared" si="22"/>
        <v>0</v>
      </c>
      <c r="T56" s="193">
        <f t="shared" si="23"/>
        <v>0</v>
      </c>
      <c r="U56" s="193">
        <f t="shared" si="24"/>
        <v>0</v>
      </c>
      <c r="V56" s="193"/>
      <c r="W56" s="193"/>
      <c r="X56" s="221">
        <f t="shared" si="5"/>
        <v>0</v>
      </c>
      <c r="Y56" s="194"/>
      <c r="Z56" s="190" t="s">
        <v>2283</v>
      </c>
      <c r="AB56" s="190" t="s">
        <v>52</v>
      </c>
      <c r="AC56" s="190" t="s">
        <v>2859</v>
      </c>
      <c r="AD56" s="190" t="s">
        <v>2774</v>
      </c>
      <c r="BU56" s="195" t="str">
        <f>HYPERLINK("#자재조서!A9","M0030024 →")</f>
        <v>M0030024 →</v>
      </c>
      <c r="CA56" s="190">
        <v>970000</v>
      </c>
      <c r="CB56" s="190">
        <v>4034230</v>
      </c>
      <c r="CC56" s="190">
        <v>970000</v>
      </c>
      <c r="CD56" s="190">
        <v>4034230</v>
      </c>
      <c r="CE56" s="190">
        <v>0</v>
      </c>
      <c r="CG56" s="190">
        <v>0</v>
      </c>
      <c r="CI56" s="190" t="s">
        <v>2774</v>
      </c>
    </row>
    <row r="57" spans="1:87" s="190" customFormat="1" ht="20.100000000000001" customHeight="1" x14ac:dyDescent="0.15">
      <c r="A57" s="191" t="s">
        <v>1740</v>
      </c>
      <c r="B57" s="191" t="s">
        <v>1090</v>
      </c>
      <c r="C57" s="192" t="s">
        <v>2471</v>
      </c>
      <c r="D57" s="204">
        <v>4.2300000000000004</v>
      </c>
      <c r="E57" s="193">
        <f t="shared" si="18"/>
        <v>2788908</v>
      </c>
      <c r="F57" s="193">
        <f t="shared" si="0"/>
        <v>11797079</v>
      </c>
      <c r="G57" s="193">
        <v>77469</v>
      </c>
      <c r="H57" s="193">
        <f t="shared" si="19"/>
        <v>327693</v>
      </c>
      <c r="I57" s="193">
        <v>2582324</v>
      </c>
      <c r="J57" s="193">
        <f t="shared" ref="J57:J72" si="29">TRUNC(I57*D57,0)</f>
        <v>10923230</v>
      </c>
      <c r="K57" s="193">
        <v>129115</v>
      </c>
      <c r="L57" s="193">
        <f t="shared" ref="L57:L72" si="30">TRUNC(K57*D57,0)</f>
        <v>546156</v>
      </c>
      <c r="M57" s="193"/>
      <c r="N57" s="193"/>
      <c r="O57" s="221">
        <f t="shared" si="2"/>
        <v>0</v>
      </c>
      <c r="P57" s="193"/>
      <c r="Q57" s="193">
        <f t="shared" si="3"/>
        <v>0</v>
      </c>
      <c r="R57" s="221">
        <f t="shared" si="4"/>
        <v>0</v>
      </c>
      <c r="S57" s="193">
        <f t="shared" si="22"/>
        <v>0</v>
      </c>
      <c r="T57" s="193">
        <f t="shared" si="23"/>
        <v>0</v>
      </c>
      <c r="U57" s="193">
        <f t="shared" si="24"/>
        <v>0</v>
      </c>
      <c r="V57" s="193"/>
      <c r="W57" s="193"/>
      <c r="X57" s="221">
        <f t="shared" si="5"/>
        <v>0</v>
      </c>
      <c r="Y57" s="194"/>
      <c r="Z57" s="190" t="s">
        <v>2859</v>
      </c>
      <c r="AB57" s="190" t="s">
        <v>619</v>
      </c>
      <c r="AC57" s="190" t="s">
        <v>2859</v>
      </c>
      <c r="AD57" s="190" t="s">
        <v>1393</v>
      </c>
      <c r="AF57" s="190" t="s">
        <v>1773</v>
      </c>
      <c r="BU57" s="195" t="str">
        <f>HYPERLINK("#일위대가목록!A54","K3061310 →")</f>
        <v>K3061310 →</v>
      </c>
      <c r="CA57" s="190">
        <v>3245348</v>
      </c>
      <c r="CB57" s="190">
        <v>16366288</v>
      </c>
      <c r="CC57" s="190">
        <v>90148</v>
      </c>
      <c r="CD57" s="190">
        <v>454616</v>
      </c>
      <c r="CE57" s="190">
        <v>3004953</v>
      </c>
      <c r="CF57" s="190">
        <v>15153977</v>
      </c>
      <c r="CG57" s="190">
        <v>150247</v>
      </c>
      <c r="CH57" s="190">
        <v>757695</v>
      </c>
      <c r="CI57" s="190" t="s">
        <v>2174</v>
      </c>
    </row>
    <row r="58" spans="1:87" s="190" customFormat="1" ht="20.100000000000001" customHeight="1" x14ac:dyDescent="0.15">
      <c r="A58" s="191" t="s">
        <v>1525</v>
      </c>
      <c r="B58" s="191" t="s">
        <v>2288</v>
      </c>
      <c r="C58" s="192" t="s">
        <v>2212</v>
      </c>
      <c r="D58" s="193">
        <v>175.54499999999999</v>
      </c>
      <c r="E58" s="193">
        <f t="shared" si="18"/>
        <v>4342</v>
      </c>
      <c r="F58" s="193">
        <f t="shared" si="0"/>
        <v>762215</v>
      </c>
      <c r="G58" s="193">
        <v>528</v>
      </c>
      <c r="H58" s="193">
        <f t="shared" si="19"/>
        <v>92687</v>
      </c>
      <c r="I58" s="193">
        <v>3740</v>
      </c>
      <c r="J58" s="193">
        <f t="shared" si="29"/>
        <v>656538</v>
      </c>
      <c r="K58" s="193">
        <v>74</v>
      </c>
      <c r="L58" s="193">
        <f t="shared" si="30"/>
        <v>12990</v>
      </c>
      <c r="M58" s="193"/>
      <c r="N58" s="193"/>
      <c r="O58" s="221">
        <f t="shared" si="2"/>
        <v>0</v>
      </c>
      <c r="P58" s="193"/>
      <c r="Q58" s="193">
        <f t="shared" si="3"/>
        <v>0</v>
      </c>
      <c r="R58" s="221">
        <f t="shared" si="4"/>
        <v>0</v>
      </c>
      <c r="S58" s="193">
        <f t="shared" si="22"/>
        <v>0</v>
      </c>
      <c r="T58" s="193">
        <f t="shared" si="23"/>
        <v>0</v>
      </c>
      <c r="U58" s="193">
        <f t="shared" si="24"/>
        <v>0</v>
      </c>
      <c r="V58" s="193"/>
      <c r="W58" s="193"/>
      <c r="X58" s="221">
        <f t="shared" si="5"/>
        <v>0</v>
      </c>
      <c r="Y58" s="194"/>
      <c r="Z58" s="190" t="s">
        <v>2859</v>
      </c>
      <c r="AB58" s="190" t="s">
        <v>2798</v>
      </c>
      <c r="AC58" s="190" t="s">
        <v>2859</v>
      </c>
      <c r="AD58" s="190" t="s">
        <v>1941</v>
      </c>
      <c r="AF58" s="190" t="s">
        <v>1773</v>
      </c>
      <c r="BU58" s="195" t="str">
        <f>HYPERLINK("#일위대가목록!A55","XC0081 →")</f>
        <v>XC0081 →</v>
      </c>
      <c r="CA58" s="190">
        <v>5055</v>
      </c>
      <c r="CB58" s="190">
        <v>1056495</v>
      </c>
      <c r="CC58" s="190">
        <v>615</v>
      </c>
      <c r="CD58" s="190">
        <v>128535</v>
      </c>
      <c r="CE58" s="190">
        <v>4353</v>
      </c>
      <c r="CF58" s="190">
        <v>909777</v>
      </c>
      <c r="CG58" s="190">
        <v>87</v>
      </c>
      <c r="CH58" s="190">
        <v>18183</v>
      </c>
      <c r="CI58" s="190" t="s">
        <v>934</v>
      </c>
    </row>
    <row r="59" spans="1:87" s="190" customFormat="1" ht="20.100000000000001" customHeight="1" x14ac:dyDescent="0.15">
      <c r="A59" s="191" t="s">
        <v>404</v>
      </c>
      <c r="B59" s="191" t="s">
        <v>528</v>
      </c>
      <c r="C59" s="192" t="s">
        <v>2212</v>
      </c>
      <c r="D59" s="193">
        <v>175.54499999999999</v>
      </c>
      <c r="E59" s="193">
        <f t="shared" si="18"/>
        <v>11410</v>
      </c>
      <c r="F59" s="193">
        <f t="shared" si="0"/>
        <v>2002967</v>
      </c>
      <c r="G59" s="193">
        <v>1234</v>
      </c>
      <c r="H59" s="193">
        <f t="shared" si="19"/>
        <v>216622</v>
      </c>
      <c r="I59" s="193">
        <v>9977</v>
      </c>
      <c r="J59" s="193">
        <f t="shared" si="29"/>
        <v>1751412</v>
      </c>
      <c r="K59" s="193">
        <v>199</v>
      </c>
      <c r="L59" s="193">
        <f t="shared" si="30"/>
        <v>34933</v>
      </c>
      <c r="M59" s="193"/>
      <c r="N59" s="193"/>
      <c r="O59" s="221">
        <f t="shared" si="2"/>
        <v>0</v>
      </c>
      <c r="P59" s="193"/>
      <c r="Q59" s="193">
        <f t="shared" si="3"/>
        <v>0</v>
      </c>
      <c r="R59" s="221">
        <f t="shared" si="4"/>
        <v>0</v>
      </c>
      <c r="S59" s="193">
        <f t="shared" si="22"/>
        <v>0</v>
      </c>
      <c r="T59" s="193">
        <f t="shared" si="23"/>
        <v>0</v>
      </c>
      <c r="U59" s="193">
        <f t="shared" si="24"/>
        <v>0</v>
      </c>
      <c r="V59" s="193"/>
      <c r="W59" s="193"/>
      <c r="X59" s="221">
        <f t="shared" si="5"/>
        <v>0</v>
      </c>
      <c r="Y59" s="194"/>
      <c r="Z59" s="190" t="s">
        <v>2859</v>
      </c>
      <c r="AB59" s="190" t="s">
        <v>2037</v>
      </c>
      <c r="AC59" s="190" t="s">
        <v>2859</v>
      </c>
      <c r="AD59" s="190" t="s">
        <v>1472</v>
      </c>
      <c r="AF59" s="190" t="s">
        <v>1773</v>
      </c>
      <c r="BU59" s="195" t="str">
        <f>HYPERLINK("#일위대가목록!A56","XC0083 →")</f>
        <v>XC0083 →</v>
      </c>
      <c r="CA59" s="190">
        <v>13279</v>
      </c>
      <c r="CB59" s="190">
        <v>2775311</v>
      </c>
      <c r="CC59" s="190">
        <v>1437</v>
      </c>
      <c r="CD59" s="190">
        <v>300333</v>
      </c>
      <c r="CE59" s="190">
        <v>11610</v>
      </c>
      <c r="CF59" s="190">
        <v>2426490</v>
      </c>
      <c r="CG59" s="190">
        <v>232</v>
      </c>
      <c r="CH59" s="190">
        <v>48488</v>
      </c>
      <c r="CI59" s="190" t="s">
        <v>2712</v>
      </c>
    </row>
    <row r="60" spans="1:87" s="190" customFormat="1" ht="20.100000000000001" customHeight="1" x14ac:dyDescent="0.15">
      <c r="A60" s="191" t="s">
        <v>1642</v>
      </c>
      <c r="B60" s="191" t="s">
        <v>2825</v>
      </c>
      <c r="C60" s="192" t="s">
        <v>2212</v>
      </c>
      <c r="D60" s="193">
        <v>137</v>
      </c>
      <c r="E60" s="193">
        <f t="shared" si="18"/>
        <v>3910</v>
      </c>
      <c r="F60" s="193">
        <f t="shared" si="0"/>
        <v>535670</v>
      </c>
      <c r="G60" s="193">
        <v>0</v>
      </c>
      <c r="H60" s="193">
        <f t="shared" si="19"/>
        <v>0</v>
      </c>
      <c r="I60" s="193">
        <v>3910</v>
      </c>
      <c r="J60" s="193">
        <f t="shared" si="29"/>
        <v>535670</v>
      </c>
      <c r="K60" s="193">
        <v>0</v>
      </c>
      <c r="L60" s="193">
        <f t="shared" si="30"/>
        <v>0</v>
      </c>
      <c r="M60" s="193"/>
      <c r="N60" s="193"/>
      <c r="O60" s="221">
        <f t="shared" si="2"/>
        <v>0</v>
      </c>
      <c r="P60" s="193"/>
      <c r="Q60" s="193">
        <f t="shared" si="3"/>
        <v>0</v>
      </c>
      <c r="R60" s="221">
        <f t="shared" si="4"/>
        <v>0</v>
      </c>
      <c r="S60" s="193">
        <f t="shared" si="22"/>
        <v>0</v>
      </c>
      <c r="T60" s="193">
        <f t="shared" si="23"/>
        <v>0</v>
      </c>
      <c r="U60" s="193">
        <f t="shared" si="24"/>
        <v>0</v>
      </c>
      <c r="V60" s="193"/>
      <c r="W60" s="193"/>
      <c r="X60" s="221">
        <f t="shared" si="5"/>
        <v>0</v>
      </c>
      <c r="Y60" s="194"/>
      <c r="Z60" s="190" t="s">
        <v>2859</v>
      </c>
      <c r="AB60" s="190" t="s">
        <v>1440</v>
      </c>
      <c r="AC60" s="190" t="s">
        <v>2859</v>
      </c>
      <c r="AD60" s="190" t="s">
        <v>88</v>
      </c>
      <c r="AF60" s="190" t="s">
        <v>1773</v>
      </c>
      <c r="BU60" s="195" t="str">
        <f>HYPERLINK("#일위대가목록!A57","K60000200 →")</f>
        <v>K60000200 →</v>
      </c>
      <c r="CA60" s="190">
        <v>4550</v>
      </c>
      <c r="CB60" s="190">
        <v>809900</v>
      </c>
      <c r="CC60" s="190">
        <v>0</v>
      </c>
      <c r="CD60" s="190">
        <v>0</v>
      </c>
      <c r="CE60" s="190">
        <v>4550</v>
      </c>
      <c r="CF60" s="190">
        <v>809900</v>
      </c>
      <c r="CG60" s="190">
        <v>0</v>
      </c>
      <c r="CH60" s="190">
        <v>0</v>
      </c>
      <c r="CI60" s="190" t="s">
        <v>1167</v>
      </c>
    </row>
    <row r="61" spans="1:87" s="190" customFormat="1" ht="20.100000000000001" customHeight="1" x14ac:dyDescent="0.15">
      <c r="A61" s="191" t="s">
        <v>1642</v>
      </c>
      <c r="B61" s="191" t="s">
        <v>3186</v>
      </c>
      <c r="C61" s="192"/>
      <c r="D61" s="193">
        <v>7</v>
      </c>
      <c r="E61" s="193">
        <f t="shared" ref="E61" si="31">G61+I61+K61</f>
        <v>285978</v>
      </c>
      <c r="F61" s="193">
        <f t="shared" ref="F61" si="32">H61+J61+L61</f>
        <v>2001846</v>
      </c>
      <c r="G61" s="193">
        <v>272360</v>
      </c>
      <c r="H61" s="193">
        <f t="shared" si="19"/>
        <v>1906520</v>
      </c>
      <c r="I61" s="193">
        <v>13618</v>
      </c>
      <c r="J61" s="193">
        <f t="shared" si="29"/>
        <v>95326</v>
      </c>
      <c r="K61" s="193">
        <v>0</v>
      </c>
      <c r="L61" s="193">
        <f t="shared" si="30"/>
        <v>0</v>
      </c>
      <c r="M61" s="193"/>
      <c r="N61" s="193"/>
      <c r="O61" s="221">
        <f t="shared" si="2"/>
        <v>0</v>
      </c>
      <c r="P61" s="193"/>
      <c r="Q61" s="193">
        <f t="shared" si="3"/>
        <v>0</v>
      </c>
      <c r="R61" s="221">
        <f t="shared" si="4"/>
        <v>0</v>
      </c>
      <c r="S61" s="193">
        <f t="shared" si="22"/>
        <v>0</v>
      </c>
      <c r="T61" s="193">
        <f t="shared" si="23"/>
        <v>0</v>
      </c>
      <c r="U61" s="193">
        <f t="shared" si="24"/>
        <v>0</v>
      </c>
      <c r="V61" s="193"/>
      <c r="W61" s="193"/>
      <c r="X61" s="221">
        <f t="shared" si="5"/>
        <v>0</v>
      </c>
      <c r="Y61" s="194"/>
      <c r="BU61" s="195"/>
    </row>
    <row r="62" spans="1:87" s="190" customFormat="1" ht="20.100000000000001" customHeight="1" x14ac:dyDescent="0.15">
      <c r="A62" s="191" t="s">
        <v>492</v>
      </c>
      <c r="B62" s="191" t="s">
        <v>2709</v>
      </c>
      <c r="C62" s="192" t="s">
        <v>1091</v>
      </c>
      <c r="D62" s="193">
        <v>264.8</v>
      </c>
      <c r="E62" s="193">
        <f t="shared" si="18"/>
        <v>52186</v>
      </c>
      <c r="F62" s="193">
        <f t="shared" si="0"/>
        <v>13818852</v>
      </c>
      <c r="G62" s="193">
        <v>5720</v>
      </c>
      <c r="H62" s="193">
        <f t="shared" si="19"/>
        <v>1514656</v>
      </c>
      <c r="I62" s="193">
        <v>45114</v>
      </c>
      <c r="J62" s="193">
        <f t="shared" si="29"/>
        <v>11946187</v>
      </c>
      <c r="K62" s="193">
        <v>1352</v>
      </c>
      <c r="L62" s="193">
        <f t="shared" si="30"/>
        <v>358009</v>
      </c>
      <c r="M62" s="193"/>
      <c r="N62" s="193"/>
      <c r="O62" s="221">
        <f t="shared" si="2"/>
        <v>0</v>
      </c>
      <c r="P62" s="193"/>
      <c r="Q62" s="193">
        <f t="shared" si="3"/>
        <v>0</v>
      </c>
      <c r="R62" s="221">
        <f t="shared" si="4"/>
        <v>0</v>
      </c>
      <c r="S62" s="193">
        <f t="shared" si="22"/>
        <v>0</v>
      </c>
      <c r="T62" s="193">
        <f t="shared" si="23"/>
        <v>0</v>
      </c>
      <c r="U62" s="193">
        <f t="shared" si="24"/>
        <v>0</v>
      </c>
      <c r="V62" s="193"/>
      <c r="W62" s="193"/>
      <c r="X62" s="221">
        <f t="shared" si="5"/>
        <v>0</v>
      </c>
      <c r="Y62" s="194"/>
      <c r="Z62" s="190" t="s">
        <v>2859</v>
      </c>
      <c r="AB62" s="190" t="s">
        <v>674</v>
      </c>
      <c r="AC62" s="190" t="s">
        <v>2859</v>
      </c>
      <c r="AD62" s="190" t="s">
        <v>2163</v>
      </c>
      <c r="AF62" s="190" t="s">
        <v>1773</v>
      </c>
      <c r="BU62" s="195" t="str">
        <f>HYPERLINK("#일위대가목록!A58","PJ1001000 →")</f>
        <v>PJ1001000 →</v>
      </c>
      <c r="CA62" s="190">
        <v>60729</v>
      </c>
      <c r="CB62" s="190">
        <v>8562789</v>
      </c>
      <c r="CC62" s="190">
        <v>6657</v>
      </c>
      <c r="CD62" s="190">
        <v>938637</v>
      </c>
      <c r="CE62" s="190">
        <v>52498</v>
      </c>
      <c r="CF62" s="190">
        <v>7402218</v>
      </c>
      <c r="CG62" s="190">
        <v>1574</v>
      </c>
      <c r="CH62" s="190">
        <v>221934</v>
      </c>
      <c r="CI62" s="190" t="s">
        <v>2470</v>
      </c>
    </row>
    <row r="63" spans="1:87" s="190" customFormat="1" ht="20.100000000000001" customHeight="1" x14ac:dyDescent="0.15">
      <c r="A63" s="191" t="s">
        <v>1702</v>
      </c>
      <c r="B63" s="191" t="s">
        <v>470</v>
      </c>
      <c r="C63" s="192" t="s">
        <v>773</v>
      </c>
      <c r="D63" s="193">
        <v>4</v>
      </c>
      <c r="E63" s="193">
        <f t="shared" si="18"/>
        <v>153394</v>
      </c>
      <c r="F63" s="193">
        <f t="shared" si="0"/>
        <v>613576</v>
      </c>
      <c r="G63" s="193">
        <v>146090</v>
      </c>
      <c r="H63" s="193">
        <f t="shared" si="19"/>
        <v>584360</v>
      </c>
      <c r="I63" s="193">
        <v>7304</v>
      </c>
      <c r="J63" s="193">
        <f t="shared" si="29"/>
        <v>29216</v>
      </c>
      <c r="K63" s="193">
        <v>0</v>
      </c>
      <c r="L63" s="193">
        <f t="shared" si="30"/>
        <v>0</v>
      </c>
      <c r="M63" s="193"/>
      <c r="N63" s="193"/>
      <c r="O63" s="221">
        <f t="shared" si="2"/>
        <v>0</v>
      </c>
      <c r="P63" s="193"/>
      <c r="Q63" s="193">
        <f t="shared" si="3"/>
        <v>0</v>
      </c>
      <c r="R63" s="221">
        <f t="shared" si="4"/>
        <v>0</v>
      </c>
      <c r="S63" s="193">
        <f t="shared" si="22"/>
        <v>0</v>
      </c>
      <c r="T63" s="193">
        <f t="shared" si="23"/>
        <v>0</v>
      </c>
      <c r="U63" s="193">
        <f t="shared" si="24"/>
        <v>0</v>
      </c>
      <c r="V63" s="193"/>
      <c r="W63" s="193"/>
      <c r="X63" s="221">
        <f t="shared" si="5"/>
        <v>0</v>
      </c>
      <c r="Y63" s="194"/>
      <c r="Z63" s="190" t="s">
        <v>2859</v>
      </c>
      <c r="AB63" s="190" t="s">
        <v>2833</v>
      </c>
      <c r="AC63" s="190" t="s">
        <v>2859</v>
      </c>
      <c r="AD63" s="190" t="s">
        <v>1475</v>
      </c>
      <c r="AF63" s="190" t="s">
        <v>1773</v>
      </c>
      <c r="BU63" s="195" t="str">
        <f>HYPERLINK("#일위대가목록!A59","K7000100 →")</f>
        <v>K7000100 →</v>
      </c>
      <c r="CA63" s="190">
        <v>178500</v>
      </c>
      <c r="CB63" s="190">
        <v>3927000</v>
      </c>
      <c r="CC63" s="190">
        <v>170000</v>
      </c>
      <c r="CD63" s="190">
        <v>3740000</v>
      </c>
      <c r="CE63" s="190">
        <v>8500</v>
      </c>
      <c r="CF63" s="190">
        <v>187000</v>
      </c>
      <c r="CG63" s="190">
        <v>0</v>
      </c>
      <c r="CH63" s="190">
        <v>0</v>
      </c>
      <c r="CI63" s="190" t="s">
        <v>823</v>
      </c>
    </row>
    <row r="64" spans="1:87" s="190" customFormat="1" ht="20.100000000000001" customHeight="1" x14ac:dyDescent="0.15">
      <c r="A64" s="191" t="s">
        <v>654</v>
      </c>
      <c r="B64" s="191" t="s">
        <v>1982</v>
      </c>
      <c r="C64" s="192" t="s">
        <v>1085</v>
      </c>
      <c r="D64" s="193">
        <v>0.81</v>
      </c>
      <c r="E64" s="193">
        <f t="shared" si="18"/>
        <v>71088</v>
      </c>
      <c r="F64" s="193">
        <f t="shared" si="0"/>
        <v>57580</v>
      </c>
      <c r="G64" s="193">
        <v>0</v>
      </c>
      <c r="H64" s="193">
        <f t="shared" si="19"/>
        <v>0</v>
      </c>
      <c r="I64" s="193">
        <v>61739</v>
      </c>
      <c r="J64" s="193">
        <f t="shared" si="29"/>
        <v>50008</v>
      </c>
      <c r="K64" s="193">
        <v>9349</v>
      </c>
      <c r="L64" s="193">
        <f t="shared" si="30"/>
        <v>7572</v>
      </c>
      <c r="M64" s="193"/>
      <c r="N64" s="193"/>
      <c r="O64" s="221">
        <f t="shared" si="2"/>
        <v>0</v>
      </c>
      <c r="P64" s="193"/>
      <c r="Q64" s="193">
        <f t="shared" si="3"/>
        <v>0</v>
      </c>
      <c r="R64" s="221">
        <f t="shared" si="4"/>
        <v>0</v>
      </c>
      <c r="S64" s="193">
        <f t="shared" si="22"/>
        <v>0</v>
      </c>
      <c r="T64" s="193">
        <f t="shared" si="23"/>
        <v>0</v>
      </c>
      <c r="U64" s="193">
        <f t="shared" si="24"/>
        <v>0</v>
      </c>
      <c r="V64" s="193"/>
      <c r="W64" s="193"/>
      <c r="X64" s="221">
        <f t="shared" si="5"/>
        <v>0</v>
      </c>
      <c r="Y64" s="194"/>
      <c r="Z64" s="190" t="s">
        <v>2859</v>
      </c>
      <c r="AB64" s="190" t="s">
        <v>2093</v>
      </c>
      <c r="AC64" s="190" t="s">
        <v>2859</v>
      </c>
      <c r="AD64" s="190" t="s">
        <v>867</v>
      </c>
      <c r="AF64" s="190" t="s">
        <v>1773</v>
      </c>
      <c r="BU64" s="195" t="str">
        <f>HYPERLINK("#일위대가목록!A60","K3010112 →")</f>
        <v>K3010112 →</v>
      </c>
      <c r="CA64" s="190">
        <v>82724</v>
      </c>
      <c r="CB64" s="190">
        <v>82724</v>
      </c>
      <c r="CC64" s="190">
        <v>0</v>
      </c>
      <c r="CD64" s="190">
        <v>0</v>
      </c>
      <c r="CE64" s="190">
        <v>71844</v>
      </c>
      <c r="CF64" s="190">
        <v>71844</v>
      </c>
      <c r="CG64" s="190">
        <v>10880</v>
      </c>
      <c r="CH64" s="190">
        <v>10880</v>
      </c>
      <c r="CI64" s="190" t="s">
        <v>2461</v>
      </c>
    </row>
    <row r="65" spans="1:87" s="190" customFormat="1" ht="20.100000000000001" customHeight="1" x14ac:dyDescent="0.15">
      <c r="A65" s="191" t="s">
        <v>1523</v>
      </c>
      <c r="B65" s="191" t="s">
        <v>629</v>
      </c>
      <c r="C65" s="192" t="s">
        <v>1790</v>
      </c>
      <c r="D65" s="193">
        <v>10</v>
      </c>
      <c r="E65" s="193">
        <f t="shared" si="18"/>
        <v>315812</v>
      </c>
      <c r="F65" s="193">
        <f t="shared" si="0"/>
        <v>3158120</v>
      </c>
      <c r="G65" s="193">
        <v>300774</v>
      </c>
      <c r="H65" s="193">
        <f t="shared" si="19"/>
        <v>3007740</v>
      </c>
      <c r="I65" s="193">
        <v>15038</v>
      </c>
      <c r="J65" s="193">
        <f t="shared" si="29"/>
        <v>150380</v>
      </c>
      <c r="K65" s="193">
        <v>0</v>
      </c>
      <c r="L65" s="193">
        <f t="shared" si="30"/>
        <v>0</v>
      </c>
      <c r="M65" s="193"/>
      <c r="N65" s="193"/>
      <c r="O65" s="221">
        <f t="shared" si="2"/>
        <v>0</v>
      </c>
      <c r="P65" s="193"/>
      <c r="Q65" s="193">
        <f t="shared" si="3"/>
        <v>0</v>
      </c>
      <c r="R65" s="221">
        <f t="shared" si="4"/>
        <v>0</v>
      </c>
      <c r="S65" s="193">
        <f t="shared" si="22"/>
        <v>0</v>
      </c>
      <c r="T65" s="193">
        <f t="shared" si="23"/>
        <v>0</v>
      </c>
      <c r="U65" s="193">
        <f t="shared" si="24"/>
        <v>0</v>
      </c>
      <c r="V65" s="193"/>
      <c r="W65" s="193"/>
      <c r="X65" s="221">
        <f t="shared" si="5"/>
        <v>0</v>
      </c>
      <c r="Y65" s="194"/>
      <c r="Z65" s="190" t="s">
        <v>2859</v>
      </c>
      <c r="AB65" s="190" t="s">
        <v>1309</v>
      </c>
      <c r="AC65" s="190" t="s">
        <v>2859</v>
      </c>
      <c r="AD65" s="190" t="s">
        <v>431</v>
      </c>
      <c r="AF65" s="190" t="s">
        <v>1773</v>
      </c>
      <c r="BU65" s="195" t="str">
        <f>HYPERLINK("#일위대가목록!A61","K5015100 →")</f>
        <v>K5015100 →</v>
      </c>
      <c r="CA65" s="190">
        <v>367500</v>
      </c>
      <c r="CB65" s="190">
        <v>3675000</v>
      </c>
      <c r="CC65" s="190">
        <v>350000</v>
      </c>
      <c r="CD65" s="190">
        <v>3500000</v>
      </c>
      <c r="CE65" s="190">
        <v>17500</v>
      </c>
      <c r="CF65" s="190">
        <v>175000</v>
      </c>
      <c r="CG65" s="190">
        <v>0</v>
      </c>
      <c r="CH65" s="190">
        <v>0</v>
      </c>
      <c r="CI65" s="190" t="s">
        <v>857</v>
      </c>
    </row>
    <row r="66" spans="1:87" s="190" customFormat="1" ht="20.100000000000001" customHeight="1" x14ac:dyDescent="0.15">
      <c r="A66" s="191" t="s">
        <v>1966</v>
      </c>
      <c r="B66" s="191" t="s">
        <v>2859</v>
      </c>
      <c r="C66" s="192" t="s">
        <v>773</v>
      </c>
      <c r="D66" s="193">
        <v>609</v>
      </c>
      <c r="E66" s="193">
        <f t="shared" si="18"/>
        <v>282</v>
      </c>
      <c r="F66" s="193">
        <f t="shared" si="0"/>
        <v>171738</v>
      </c>
      <c r="G66" s="193">
        <v>270</v>
      </c>
      <c r="H66" s="193">
        <f t="shared" si="19"/>
        <v>164430</v>
      </c>
      <c r="I66" s="193">
        <v>12</v>
      </c>
      <c r="J66" s="193">
        <f t="shared" si="29"/>
        <v>7308</v>
      </c>
      <c r="K66" s="193">
        <v>0</v>
      </c>
      <c r="L66" s="193">
        <f t="shared" si="30"/>
        <v>0</v>
      </c>
      <c r="M66" s="193"/>
      <c r="N66" s="193"/>
      <c r="O66" s="221">
        <f t="shared" si="2"/>
        <v>0</v>
      </c>
      <c r="P66" s="193"/>
      <c r="Q66" s="193">
        <f t="shared" si="3"/>
        <v>0</v>
      </c>
      <c r="R66" s="221">
        <f t="shared" si="4"/>
        <v>0</v>
      </c>
      <c r="S66" s="193">
        <f t="shared" si="22"/>
        <v>0</v>
      </c>
      <c r="T66" s="193">
        <f t="shared" si="23"/>
        <v>0</v>
      </c>
      <c r="U66" s="193">
        <f t="shared" si="24"/>
        <v>0</v>
      </c>
      <c r="V66" s="193"/>
      <c r="W66" s="193"/>
      <c r="X66" s="221">
        <f t="shared" si="5"/>
        <v>0</v>
      </c>
      <c r="Y66" s="194"/>
      <c r="Z66" s="190" t="s">
        <v>2859</v>
      </c>
      <c r="AB66" s="190" t="s">
        <v>535</v>
      </c>
      <c r="AC66" s="190" t="s">
        <v>2859</v>
      </c>
      <c r="AD66" s="190" t="s">
        <v>2594</v>
      </c>
      <c r="AF66" s="190" t="s">
        <v>1773</v>
      </c>
      <c r="BU66" s="195" t="str">
        <f>HYPERLINK("#일위대가목록!A62","K6900210 →")</f>
        <v>K6900210 →</v>
      </c>
      <c r="CA66" s="190">
        <v>330</v>
      </c>
      <c r="CB66" s="190">
        <v>199980</v>
      </c>
      <c r="CC66" s="190">
        <v>315</v>
      </c>
      <c r="CD66" s="190">
        <v>190890</v>
      </c>
      <c r="CE66" s="190">
        <v>15</v>
      </c>
      <c r="CF66" s="190">
        <v>9090</v>
      </c>
      <c r="CG66" s="190">
        <v>0</v>
      </c>
      <c r="CH66" s="190">
        <v>0</v>
      </c>
      <c r="CI66" s="190" t="s">
        <v>495</v>
      </c>
    </row>
    <row r="67" spans="1:87" s="190" customFormat="1" ht="20.100000000000001" customHeight="1" x14ac:dyDescent="0.15">
      <c r="A67" s="191" t="s">
        <v>713</v>
      </c>
      <c r="B67" s="191" t="s">
        <v>2859</v>
      </c>
      <c r="C67" s="192" t="s">
        <v>773</v>
      </c>
      <c r="D67" s="193">
        <v>2338</v>
      </c>
      <c r="E67" s="193">
        <f t="shared" si="18"/>
        <v>189</v>
      </c>
      <c r="F67" s="193">
        <f t="shared" si="0"/>
        <v>441882</v>
      </c>
      <c r="G67" s="193">
        <v>189</v>
      </c>
      <c r="H67" s="193">
        <f t="shared" si="19"/>
        <v>441882</v>
      </c>
      <c r="I67" s="193">
        <v>0</v>
      </c>
      <c r="J67" s="193">
        <f t="shared" si="29"/>
        <v>0</v>
      </c>
      <c r="K67" s="193">
        <v>0</v>
      </c>
      <c r="L67" s="193">
        <f t="shared" si="30"/>
        <v>0</v>
      </c>
      <c r="M67" s="193"/>
      <c r="N67" s="193"/>
      <c r="O67" s="221">
        <f t="shared" si="2"/>
        <v>0</v>
      </c>
      <c r="P67" s="193"/>
      <c r="Q67" s="193">
        <f t="shared" si="3"/>
        <v>0</v>
      </c>
      <c r="R67" s="221">
        <f t="shared" si="4"/>
        <v>0</v>
      </c>
      <c r="S67" s="193">
        <f t="shared" si="22"/>
        <v>0</v>
      </c>
      <c r="T67" s="193">
        <f t="shared" si="23"/>
        <v>0</v>
      </c>
      <c r="U67" s="193">
        <f t="shared" si="24"/>
        <v>0</v>
      </c>
      <c r="V67" s="193"/>
      <c r="W67" s="193"/>
      <c r="X67" s="221">
        <f t="shared" si="5"/>
        <v>0</v>
      </c>
      <c r="Y67" s="194"/>
      <c r="Z67" s="190" t="s">
        <v>2859</v>
      </c>
      <c r="AB67" s="190" t="s">
        <v>2842</v>
      </c>
      <c r="AC67" s="190" t="s">
        <v>2859</v>
      </c>
      <c r="AD67" s="190" t="s">
        <v>2857</v>
      </c>
      <c r="AF67" s="190" t="s">
        <v>1773</v>
      </c>
      <c r="BU67" s="195" t="str">
        <f>HYPERLINK("#일위대가목록!A63","K6900100 →")</f>
        <v>K6900100 →</v>
      </c>
      <c r="CA67" s="190">
        <v>220</v>
      </c>
      <c r="CB67" s="190">
        <v>513920</v>
      </c>
      <c r="CC67" s="190">
        <v>220</v>
      </c>
      <c r="CD67" s="190">
        <v>513920</v>
      </c>
      <c r="CE67" s="190">
        <v>0</v>
      </c>
      <c r="CF67" s="190">
        <v>0</v>
      </c>
      <c r="CG67" s="190">
        <v>0</v>
      </c>
      <c r="CH67" s="190">
        <v>0</v>
      </c>
      <c r="CI67" s="190" t="s">
        <v>2042</v>
      </c>
    </row>
    <row r="68" spans="1:87" s="190" customFormat="1" ht="20.100000000000001" customHeight="1" x14ac:dyDescent="0.15">
      <c r="A68" s="191" t="s">
        <v>2083</v>
      </c>
      <c r="B68" s="191" t="s">
        <v>2859</v>
      </c>
      <c r="C68" s="192" t="s">
        <v>2212</v>
      </c>
      <c r="D68" s="193">
        <v>117.24</v>
      </c>
      <c r="E68" s="193">
        <f t="shared" si="18"/>
        <v>26250</v>
      </c>
      <c r="F68" s="193">
        <f t="shared" si="0"/>
        <v>3077549</v>
      </c>
      <c r="G68" s="193">
        <v>0</v>
      </c>
      <c r="H68" s="193">
        <f t="shared" si="19"/>
        <v>0</v>
      </c>
      <c r="I68" s="193">
        <v>25487</v>
      </c>
      <c r="J68" s="193">
        <f t="shared" si="29"/>
        <v>2988095</v>
      </c>
      <c r="K68" s="193">
        <v>763</v>
      </c>
      <c r="L68" s="193">
        <f t="shared" si="30"/>
        <v>89454</v>
      </c>
      <c r="M68" s="193"/>
      <c r="N68" s="193"/>
      <c r="O68" s="221">
        <f t="shared" si="2"/>
        <v>0</v>
      </c>
      <c r="P68" s="193"/>
      <c r="Q68" s="193">
        <f t="shared" si="3"/>
        <v>0</v>
      </c>
      <c r="R68" s="221">
        <f t="shared" si="4"/>
        <v>0</v>
      </c>
      <c r="S68" s="193">
        <f t="shared" si="22"/>
        <v>0</v>
      </c>
      <c r="T68" s="193">
        <f t="shared" si="23"/>
        <v>0</v>
      </c>
      <c r="U68" s="193">
        <f t="shared" si="24"/>
        <v>0</v>
      </c>
      <c r="V68" s="193"/>
      <c r="W68" s="193"/>
      <c r="X68" s="221">
        <f t="shared" si="5"/>
        <v>0</v>
      </c>
      <c r="Y68" s="194"/>
      <c r="Z68" s="190" t="s">
        <v>2859</v>
      </c>
      <c r="AB68" s="190" t="s">
        <v>2122</v>
      </c>
      <c r="AC68" s="190" t="s">
        <v>2859</v>
      </c>
      <c r="AD68" s="190" t="s">
        <v>1360</v>
      </c>
      <c r="AF68" s="190" t="s">
        <v>1773</v>
      </c>
      <c r="BU68" s="195" t="str">
        <f>HYPERLINK("#일위대가목록!A64","K3050215 →")</f>
        <v>K3050215 →</v>
      </c>
      <c r="CA68" s="190">
        <v>30548</v>
      </c>
      <c r="CB68" s="190">
        <v>4368364</v>
      </c>
      <c r="CC68" s="190">
        <v>0</v>
      </c>
      <c r="CD68" s="190">
        <v>0</v>
      </c>
      <c r="CE68" s="190">
        <v>29659</v>
      </c>
      <c r="CF68" s="190">
        <v>4241237</v>
      </c>
      <c r="CG68" s="190">
        <v>889</v>
      </c>
      <c r="CH68" s="190">
        <v>127127</v>
      </c>
      <c r="CI68" s="190" t="s">
        <v>32</v>
      </c>
    </row>
    <row r="69" spans="1:87" s="190" customFormat="1" ht="20.100000000000001" customHeight="1" x14ac:dyDescent="0.15">
      <c r="A69" s="191" t="s">
        <v>298</v>
      </c>
      <c r="B69" s="191" t="s">
        <v>86</v>
      </c>
      <c r="C69" s="192" t="s">
        <v>2212</v>
      </c>
      <c r="D69" s="193">
        <v>1.62</v>
      </c>
      <c r="E69" s="193">
        <f t="shared" si="18"/>
        <v>2436</v>
      </c>
      <c r="F69" s="193">
        <f t="shared" si="0"/>
        <v>3945</v>
      </c>
      <c r="G69" s="193">
        <v>2320</v>
      </c>
      <c r="H69" s="193">
        <f t="shared" si="19"/>
        <v>3758</v>
      </c>
      <c r="I69" s="193">
        <v>116</v>
      </c>
      <c r="J69" s="193">
        <f t="shared" si="29"/>
        <v>187</v>
      </c>
      <c r="K69" s="193">
        <v>0</v>
      </c>
      <c r="L69" s="193">
        <f t="shared" si="30"/>
        <v>0</v>
      </c>
      <c r="M69" s="193"/>
      <c r="N69" s="193"/>
      <c r="O69" s="221">
        <f t="shared" ref="O69:O130" si="33">IFERROR(N69/F69,0)</f>
        <v>0</v>
      </c>
      <c r="P69" s="193"/>
      <c r="Q69" s="193">
        <f t="shared" ref="Q69:Q130" si="34">SUM(S69:U69)</f>
        <v>0</v>
      </c>
      <c r="R69" s="221">
        <f t="shared" ref="R69:R130" si="35">IFERROR(Q69/F69,0)</f>
        <v>0</v>
      </c>
      <c r="S69" s="193">
        <f t="shared" si="22"/>
        <v>0</v>
      </c>
      <c r="T69" s="193">
        <f t="shared" si="23"/>
        <v>0</v>
      </c>
      <c r="U69" s="193">
        <f t="shared" si="24"/>
        <v>0</v>
      </c>
      <c r="V69" s="193"/>
      <c r="W69" s="193"/>
      <c r="X69" s="221">
        <f t="shared" ref="X69:X130" si="36">IFERROR(W69/F69,0)</f>
        <v>0</v>
      </c>
      <c r="Y69" s="194"/>
      <c r="Z69" s="190" t="s">
        <v>2859</v>
      </c>
      <c r="AB69" s="190" t="s">
        <v>1398</v>
      </c>
      <c r="AC69" s="190" t="s">
        <v>2859</v>
      </c>
      <c r="AD69" s="190" t="s">
        <v>2562</v>
      </c>
      <c r="AF69" s="190" t="s">
        <v>1773</v>
      </c>
      <c r="BU69" s="195" t="str">
        <f>HYPERLINK("#일위대가목록!A65","K7002400 →")</f>
        <v>K7002400 →</v>
      </c>
      <c r="CA69" s="190">
        <v>2835</v>
      </c>
      <c r="CB69" s="190">
        <v>5670</v>
      </c>
      <c r="CC69" s="190">
        <v>2700</v>
      </c>
      <c r="CD69" s="190">
        <v>5400</v>
      </c>
      <c r="CE69" s="190">
        <v>135</v>
      </c>
      <c r="CF69" s="190">
        <v>270</v>
      </c>
      <c r="CG69" s="190">
        <v>0</v>
      </c>
      <c r="CH69" s="190">
        <v>0</v>
      </c>
      <c r="CI69" s="190" t="s">
        <v>1661</v>
      </c>
    </row>
    <row r="70" spans="1:87" s="190" customFormat="1" ht="20.100000000000001" customHeight="1" x14ac:dyDescent="0.15">
      <c r="A70" s="191" t="s">
        <v>1464</v>
      </c>
      <c r="B70" s="191" t="s">
        <v>2858</v>
      </c>
      <c r="C70" s="192" t="s">
        <v>1085</v>
      </c>
      <c r="D70" s="193">
        <v>0.01</v>
      </c>
      <c r="E70" s="193">
        <f t="shared" si="18"/>
        <v>3759982</v>
      </c>
      <c r="F70" s="193">
        <f t="shared" si="0"/>
        <v>37599</v>
      </c>
      <c r="G70" s="193">
        <v>3580936</v>
      </c>
      <c r="H70" s="193">
        <f t="shared" si="19"/>
        <v>35809</v>
      </c>
      <c r="I70" s="193">
        <v>179046</v>
      </c>
      <c r="J70" s="193">
        <f t="shared" si="29"/>
        <v>1790</v>
      </c>
      <c r="K70" s="193">
        <v>0</v>
      </c>
      <c r="L70" s="193">
        <f t="shared" si="30"/>
        <v>0</v>
      </c>
      <c r="M70" s="193"/>
      <c r="N70" s="193"/>
      <c r="O70" s="221">
        <f t="shared" si="33"/>
        <v>0</v>
      </c>
      <c r="P70" s="193"/>
      <c r="Q70" s="193">
        <f t="shared" si="34"/>
        <v>0</v>
      </c>
      <c r="R70" s="221">
        <f t="shared" si="35"/>
        <v>0</v>
      </c>
      <c r="S70" s="193">
        <f t="shared" si="22"/>
        <v>0</v>
      </c>
      <c r="T70" s="193">
        <f t="shared" si="23"/>
        <v>0</v>
      </c>
      <c r="U70" s="193">
        <f t="shared" si="24"/>
        <v>0</v>
      </c>
      <c r="V70" s="193"/>
      <c r="W70" s="193"/>
      <c r="X70" s="221">
        <f t="shared" si="36"/>
        <v>0</v>
      </c>
      <c r="Y70" s="194"/>
      <c r="Z70" s="190" t="s">
        <v>2859</v>
      </c>
      <c r="AB70" s="190" t="s">
        <v>655</v>
      </c>
      <c r="AC70" s="190" t="s">
        <v>2859</v>
      </c>
      <c r="AD70" s="190" t="s">
        <v>920</v>
      </c>
      <c r="AF70" s="190" t="s">
        <v>1773</v>
      </c>
      <c r="BU70" s="195" t="str">
        <f>HYPERLINK("#일위대가목록!A66","K7002200 →")</f>
        <v>K7002200 →</v>
      </c>
      <c r="CA70" s="190">
        <v>4375350</v>
      </c>
      <c r="CB70" s="190">
        <v>43753</v>
      </c>
      <c r="CC70" s="190">
        <v>4167000</v>
      </c>
      <c r="CD70" s="190">
        <v>41670</v>
      </c>
      <c r="CE70" s="190">
        <v>208350</v>
      </c>
      <c r="CF70" s="190">
        <v>2083</v>
      </c>
      <c r="CG70" s="190">
        <v>0</v>
      </c>
      <c r="CH70" s="190">
        <v>0</v>
      </c>
      <c r="CI70" s="190" t="s">
        <v>581</v>
      </c>
    </row>
    <row r="71" spans="1:87" s="190" customFormat="1" ht="20.100000000000001" customHeight="1" x14ac:dyDescent="0.15">
      <c r="A71" s="191" t="s">
        <v>82</v>
      </c>
      <c r="B71" s="191" t="s">
        <v>2859</v>
      </c>
      <c r="C71" s="192" t="s">
        <v>1091</v>
      </c>
      <c r="D71" s="193">
        <v>117</v>
      </c>
      <c r="E71" s="193">
        <f t="shared" si="18"/>
        <v>128</v>
      </c>
      <c r="F71" s="193">
        <f t="shared" si="0"/>
        <v>14976</v>
      </c>
      <c r="G71" s="193">
        <v>128</v>
      </c>
      <c r="H71" s="193">
        <f t="shared" si="19"/>
        <v>14976</v>
      </c>
      <c r="I71" s="193">
        <v>0</v>
      </c>
      <c r="J71" s="193">
        <f t="shared" si="29"/>
        <v>0</v>
      </c>
      <c r="K71" s="193">
        <v>0</v>
      </c>
      <c r="L71" s="193">
        <f t="shared" si="30"/>
        <v>0</v>
      </c>
      <c r="M71" s="193"/>
      <c r="N71" s="193"/>
      <c r="O71" s="221">
        <f t="shared" si="33"/>
        <v>0</v>
      </c>
      <c r="P71" s="193"/>
      <c r="Q71" s="193">
        <f t="shared" si="34"/>
        <v>0</v>
      </c>
      <c r="R71" s="221">
        <f t="shared" si="35"/>
        <v>0</v>
      </c>
      <c r="S71" s="193">
        <f t="shared" si="22"/>
        <v>0</v>
      </c>
      <c r="T71" s="193">
        <f t="shared" si="23"/>
        <v>0</v>
      </c>
      <c r="U71" s="193">
        <f t="shared" si="24"/>
        <v>0</v>
      </c>
      <c r="V71" s="193"/>
      <c r="W71" s="193"/>
      <c r="X71" s="221">
        <f t="shared" si="36"/>
        <v>0</v>
      </c>
      <c r="Y71" s="194"/>
      <c r="Z71" s="190" t="s">
        <v>2859</v>
      </c>
      <c r="AB71" s="190" t="s">
        <v>2804</v>
      </c>
      <c r="AC71" s="190" t="s">
        <v>2859</v>
      </c>
      <c r="AD71" s="190" t="s">
        <v>2545</v>
      </c>
      <c r="AF71" s="190" t="s">
        <v>1773</v>
      </c>
      <c r="BU71" s="195" t="str">
        <f>HYPERLINK("#일위대가목록!A67","K7012200 →")</f>
        <v>K7012200 →</v>
      </c>
      <c r="CA71" s="190">
        <v>150</v>
      </c>
      <c r="CB71" s="190">
        <v>17550</v>
      </c>
      <c r="CC71" s="190">
        <v>150</v>
      </c>
      <c r="CD71" s="190">
        <v>17550</v>
      </c>
      <c r="CE71" s="190">
        <v>0</v>
      </c>
      <c r="CF71" s="190">
        <v>0</v>
      </c>
      <c r="CG71" s="190">
        <v>0</v>
      </c>
      <c r="CH71" s="190">
        <v>0</v>
      </c>
      <c r="CI71" s="190" t="s">
        <v>1791</v>
      </c>
    </row>
    <row r="72" spans="1:87" s="190" customFormat="1" ht="20.100000000000001" customHeight="1" x14ac:dyDescent="0.15">
      <c r="A72" s="191" t="s">
        <v>189</v>
      </c>
      <c r="B72" s="191" t="s">
        <v>2859</v>
      </c>
      <c r="C72" s="192" t="s">
        <v>773</v>
      </c>
      <c r="D72" s="193">
        <v>1</v>
      </c>
      <c r="E72" s="193">
        <f t="shared" si="18"/>
        <v>164058</v>
      </c>
      <c r="F72" s="193">
        <f t="shared" si="0"/>
        <v>164058</v>
      </c>
      <c r="G72" s="193">
        <v>0</v>
      </c>
      <c r="H72" s="193">
        <f t="shared" si="19"/>
        <v>0</v>
      </c>
      <c r="I72" s="193">
        <v>164058</v>
      </c>
      <c r="J72" s="193">
        <f t="shared" si="29"/>
        <v>164058</v>
      </c>
      <c r="K72" s="193">
        <v>0</v>
      </c>
      <c r="L72" s="193">
        <f t="shared" si="30"/>
        <v>0</v>
      </c>
      <c r="M72" s="193"/>
      <c r="N72" s="193"/>
      <c r="O72" s="221">
        <f t="shared" si="33"/>
        <v>0</v>
      </c>
      <c r="P72" s="193"/>
      <c r="Q72" s="193">
        <f t="shared" si="34"/>
        <v>0</v>
      </c>
      <c r="R72" s="221">
        <f t="shared" si="35"/>
        <v>0</v>
      </c>
      <c r="S72" s="193">
        <f t="shared" si="22"/>
        <v>0</v>
      </c>
      <c r="T72" s="193">
        <f t="shared" si="23"/>
        <v>0</v>
      </c>
      <c r="U72" s="193">
        <f t="shared" si="24"/>
        <v>0</v>
      </c>
      <c r="V72" s="193"/>
      <c r="W72" s="193"/>
      <c r="X72" s="221">
        <f t="shared" si="36"/>
        <v>0</v>
      </c>
      <c r="Y72" s="194"/>
      <c r="Z72" s="190" t="s">
        <v>2859</v>
      </c>
      <c r="AB72" s="190" t="s">
        <v>1371</v>
      </c>
      <c r="AC72" s="190" t="s">
        <v>2859</v>
      </c>
      <c r="AD72" s="190" t="s">
        <v>92</v>
      </c>
      <c r="AF72" s="190" t="s">
        <v>1773</v>
      </c>
      <c r="BU72" s="195" t="str">
        <f>HYPERLINK("#일위대가목록!A68","KO010010 →")</f>
        <v>KO010010 →</v>
      </c>
      <c r="CA72" s="190">
        <v>190909</v>
      </c>
      <c r="CB72" s="190">
        <v>190909</v>
      </c>
      <c r="CC72" s="190">
        <v>0</v>
      </c>
      <c r="CD72" s="190">
        <v>0</v>
      </c>
      <c r="CE72" s="190">
        <v>190909</v>
      </c>
      <c r="CF72" s="190">
        <v>190909</v>
      </c>
      <c r="CG72" s="190">
        <v>0</v>
      </c>
      <c r="CH72" s="190">
        <v>0</v>
      </c>
      <c r="CI72" s="190" t="s">
        <v>284</v>
      </c>
    </row>
    <row r="73" spans="1:87" s="190" customFormat="1" ht="20.100000000000001" customHeight="1" x14ac:dyDescent="0.15">
      <c r="A73" s="191" t="s">
        <v>1180</v>
      </c>
      <c r="B73" s="191" t="s">
        <v>2859</v>
      </c>
      <c r="C73" s="192" t="s">
        <v>2859</v>
      </c>
      <c r="D73" s="193"/>
      <c r="E73" s="193">
        <f t="shared" si="18"/>
        <v>0</v>
      </c>
      <c r="F73" s="193">
        <f t="shared" si="18"/>
        <v>0</v>
      </c>
      <c r="G73" s="196"/>
      <c r="H73" s="193">
        <v>0</v>
      </c>
      <c r="I73" s="196"/>
      <c r="J73" s="193">
        <v>0</v>
      </c>
      <c r="K73" s="196"/>
      <c r="L73" s="193">
        <v>0</v>
      </c>
      <c r="M73" s="193"/>
      <c r="N73" s="193"/>
      <c r="O73" s="221">
        <f t="shared" si="33"/>
        <v>0</v>
      </c>
      <c r="P73" s="193"/>
      <c r="Q73" s="193">
        <f t="shared" si="34"/>
        <v>0</v>
      </c>
      <c r="R73" s="221">
        <f t="shared" si="35"/>
        <v>0</v>
      </c>
      <c r="S73" s="193">
        <f t="shared" si="22"/>
        <v>0</v>
      </c>
      <c r="T73" s="193">
        <f t="shared" si="23"/>
        <v>0</v>
      </c>
      <c r="U73" s="193">
        <f t="shared" si="24"/>
        <v>0</v>
      </c>
      <c r="V73" s="193"/>
      <c r="W73" s="193"/>
      <c r="X73" s="221">
        <f t="shared" si="36"/>
        <v>0</v>
      </c>
      <c r="Y73" s="194"/>
      <c r="Z73" s="190" t="s">
        <v>2859</v>
      </c>
      <c r="AB73" s="190" t="s">
        <v>2029</v>
      </c>
      <c r="AC73" s="190" t="s">
        <v>2859</v>
      </c>
      <c r="AD73" s="190" t="s">
        <v>2859</v>
      </c>
      <c r="CA73" s="190">
        <v>0</v>
      </c>
      <c r="CB73" s="190">
        <v>0</v>
      </c>
      <c r="CD73" s="190">
        <v>0</v>
      </c>
      <c r="CF73" s="190">
        <v>0</v>
      </c>
      <c r="CH73" s="190">
        <v>0</v>
      </c>
      <c r="CI73" s="190" t="s">
        <v>2859</v>
      </c>
    </row>
    <row r="74" spans="1:87" s="190" customFormat="1" ht="20.100000000000001" customHeight="1" x14ac:dyDescent="0.15">
      <c r="A74" s="191" t="s">
        <v>1180</v>
      </c>
      <c r="B74" s="191" t="s">
        <v>2859</v>
      </c>
      <c r="C74" s="192" t="s">
        <v>2859</v>
      </c>
      <c r="D74" s="193"/>
      <c r="E74" s="193">
        <f t="shared" si="18"/>
        <v>0</v>
      </c>
      <c r="F74" s="193">
        <f t="shared" si="18"/>
        <v>0</v>
      </c>
      <c r="G74" s="196"/>
      <c r="H74" s="193">
        <v>0</v>
      </c>
      <c r="I74" s="196"/>
      <c r="J74" s="193">
        <v>0</v>
      </c>
      <c r="K74" s="196"/>
      <c r="L74" s="193">
        <v>0</v>
      </c>
      <c r="M74" s="193"/>
      <c r="N74" s="193"/>
      <c r="O74" s="221">
        <f t="shared" si="33"/>
        <v>0</v>
      </c>
      <c r="P74" s="193"/>
      <c r="Q74" s="193">
        <f t="shared" si="34"/>
        <v>0</v>
      </c>
      <c r="R74" s="221">
        <f t="shared" si="35"/>
        <v>0</v>
      </c>
      <c r="S74" s="193">
        <f t="shared" si="22"/>
        <v>0</v>
      </c>
      <c r="T74" s="193">
        <f t="shared" si="23"/>
        <v>0</v>
      </c>
      <c r="U74" s="193">
        <f t="shared" si="24"/>
        <v>0</v>
      </c>
      <c r="V74" s="193"/>
      <c r="W74" s="193"/>
      <c r="X74" s="221">
        <f t="shared" si="36"/>
        <v>0</v>
      </c>
      <c r="Y74" s="194"/>
      <c r="Z74" s="190" t="s">
        <v>2859</v>
      </c>
      <c r="AB74" s="190" t="s">
        <v>2215</v>
      </c>
      <c r="AC74" s="190" t="s">
        <v>2859</v>
      </c>
      <c r="AD74" s="190" t="s">
        <v>2859</v>
      </c>
      <c r="CA74" s="190">
        <v>0</v>
      </c>
      <c r="CB74" s="190">
        <v>0</v>
      </c>
      <c r="CD74" s="190">
        <v>0</v>
      </c>
      <c r="CF74" s="190">
        <v>0</v>
      </c>
      <c r="CH74" s="190">
        <v>0</v>
      </c>
      <c r="CI74" s="190" t="s">
        <v>2859</v>
      </c>
    </row>
    <row r="75" spans="1:87" s="190" customFormat="1" ht="20.100000000000001" customHeight="1" x14ac:dyDescent="0.15">
      <c r="A75" s="198" t="s">
        <v>2600</v>
      </c>
      <c r="B75" s="198" t="s">
        <v>2859</v>
      </c>
      <c r="C75" s="199" t="s">
        <v>2293</v>
      </c>
      <c r="D75" s="188">
        <v>1</v>
      </c>
      <c r="E75" s="200"/>
      <c r="F75" s="188">
        <f t="shared" ref="F75:F130" si="37">H75+J75+L75</f>
        <v>52288564</v>
      </c>
      <c r="G75" s="200"/>
      <c r="H75" s="188">
        <f>TRUNC(H76+H77+H78+H79+H80+H81+H82+H83+H84+H85+H86+H87+H88+H89+H90+H91+H92+H93+H94,0)</f>
        <v>33012526</v>
      </c>
      <c r="I75" s="200"/>
      <c r="J75" s="188">
        <f>TRUNC(J76+J77+J78+J79+J80+J81+J82+J83+J84+J85+J86+J87+J88+J89+J90+J91+J92+J93+J94,0)</f>
        <v>17001377</v>
      </c>
      <c r="K75" s="200"/>
      <c r="L75" s="188">
        <f>TRUNC(L76+L77+L78+L79+L80+L81+L82+L83+L84+L85+L86+L87+L88+L89+L90+L91+L92+L93+L94,0)</f>
        <v>2274661</v>
      </c>
      <c r="M75" s="188"/>
      <c r="N75" s="188"/>
      <c r="O75" s="223">
        <f t="shared" si="33"/>
        <v>0</v>
      </c>
      <c r="P75" s="188"/>
      <c r="Q75" s="188">
        <f t="shared" si="34"/>
        <v>0</v>
      </c>
      <c r="R75" s="223">
        <f t="shared" si="35"/>
        <v>0</v>
      </c>
      <c r="S75" s="188">
        <f t="shared" ref="S75:U75" si="38">TRUNC(S76+S77+S78+S79+S80+S81+S82+S83+S84+S85+S86+S87+S88+S89+S90+S91+S92+S93+S94,0)</f>
        <v>0</v>
      </c>
      <c r="T75" s="188">
        <f t="shared" si="38"/>
        <v>0</v>
      </c>
      <c r="U75" s="188">
        <f t="shared" si="38"/>
        <v>0</v>
      </c>
      <c r="V75" s="188"/>
      <c r="W75" s="188"/>
      <c r="X75" s="223">
        <f t="shared" si="36"/>
        <v>0</v>
      </c>
      <c r="Y75" s="189"/>
      <c r="Z75" s="190" t="s">
        <v>2859</v>
      </c>
      <c r="AA75" s="190" t="s">
        <v>2852</v>
      </c>
      <c r="CB75" s="190">
        <v>103918045</v>
      </c>
      <c r="CD75" s="190">
        <v>64294493</v>
      </c>
      <c r="CF75" s="190">
        <v>35767102</v>
      </c>
      <c r="CH75" s="190">
        <v>3856450</v>
      </c>
      <c r="CI75" s="190" t="s">
        <v>2859</v>
      </c>
    </row>
    <row r="76" spans="1:87" s="190" customFormat="1" ht="20.100000000000001" customHeight="1" x14ac:dyDescent="0.15">
      <c r="A76" s="191" t="s">
        <v>256</v>
      </c>
      <c r="B76" s="191" t="s">
        <v>1995</v>
      </c>
      <c r="C76" s="192" t="s">
        <v>1085</v>
      </c>
      <c r="D76" s="193">
        <v>584.95659999999998</v>
      </c>
      <c r="E76" s="193">
        <f t="shared" ref="E76:E95" si="39">G76+I76+K76</f>
        <v>1374</v>
      </c>
      <c r="F76" s="193">
        <f t="shared" si="37"/>
        <v>803728</v>
      </c>
      <c r="G76" s="193">
        <v>329</v>
      </c>
      <c r="H76" s="193">
        <f t="shared" ref="H76:H94" si="40">TRUNC(G76*D76,0)</f>
        <v>192450</v>
      </c>
      <c r="I76" s="193">
        <v>722</v>
      </c>
      <c r="J76" s="193">
        <f t="shared" ref="J76:J94" si="41">TRUNC(I76*D76,0)</f>
        <v>422338</v>
      </c>
      <c r="K76" s="193">
        <v>323</v>
      </c>
      <c r="L76" s="193">
        <f t="shared" ref="L76:L94" si="42">TRUNC(K76*D76,0)</f>
        <v>188940</v>
      </c>
      <c r="M76" s="193"/>
      <c r="N76" s="193"/>
      <c r="O76" s="221">
        <f t="shared" si="33"/>
        <v>0</v>
      </c>
      <c r="P76" s="193"/>
      <c r="Q76" s="193">
        <f t="shared" si="34"/>
        <v>0</v>
      </c>
      <c r="R76" s="221">
        <f t="shared" si="35"/>
        <v>0</v>
      </c>
      <c r="S76" s="193">
        <f t="shared" ref="S76:S94" si="43">TRUNC(G76*P76,0)</f>
        <v>0</v>
      </c>
      <c r="T76" s="193">
        <f t="shared" ref="T76:T94" si="44">TRUNC(I76*P76,0)</f>
        <v>0</v>
      </c>
      <c r="U76" s="193">
        <f t="shared" ref="U76:U94" si="45">TRUNC(K76*P76,0)</f>
        <v>0</v>
      </c>
      <c r="V76" s="193"/>
      <c r="W76" s="193"/>
      <c r="X76" s="221">
        <f t="shared" si="36"/>
        <v>0</v>
      </c>
      <c r="Y76" s="194"/>
      <c r="Z76" s="190" t="s">
        <v>2859</v>
      </c>
      <c r="AB76" s="190" t="s">
        <v>322</v>
      </c>
      <c r="AC76" s="190" t="s">
        <v>2859</v>
      </c>
      <c r="AD76" s="190" t="s">
        <v>1890</v>
      </c>
      <c r="AF76" s="190" t="s">
        <v>1314</v>
      </c>
      <c r="BU76" s="195" t="str">
        <f>HYPERLINK("#일위대가목록!A8","K1020118 →")</f>
        <v>K1020118 →</v>
      </c>
      <c r="CA76" s="190">
        <v>1600</v>
      </c>
      <c r="CB76" s="190">
        <v>1304000</v>
      </c>
      <c r="CC76" s="190">
        <v>383</v>
      </c>
      <c r="CD76" s="190">
        <v>312145</v>
      </c>
      <c r="CE76" s="190">
        <v>841</v>
      </c>
      <c r="CF76" s="190">
        <v>685415</v>
      </c>
      <c r="CG76" s="190">
        <v>376</v>
      </c>
      <c r="CH76" s="190">
        <v>306440</v>
      </c>
      <c r="CI76" s="190" t="s">
        <v>2353</v>
      </c>
    </row>
    <row r="77" spans="1:87" s="190" customFormat="1" ht="20.100000000000001" customHeight="1" x14ac:dyDescent="0.15">
      <c r="A77" s="191" t="s">
        <v>2644</v>
      </c>
      <c r="B77" s="191" t="s">
        <v>878</v>
      </c>
      <c r="C77" s="192" t="s">
        <v>1085</v>
      </c>
      <c r="D77" s="193">
        <v>584.95659999999998</v>
      </c>
      <c r="E77" s="193">
        <f t="shared" si="39"/>
        <v>447</v>
      </c>
      <c r="F77" s="193">
        <f t="shared" si="37"/>
        <v>261475</v>
      </c>
      <c r="G77" s="193">
        <v>138</v>
      </c>
      <c r="H77" s="193">
        <f t="shared" si="40"/>
        <v>80724</v>
      </c>
      <c r="I77" s="193">
        <v>195</v>
      </c>
      <c r="J77" s="193">
        <f t="shared" si="41"/>
        <v>114066</v>
      </c>
      <c r="K77" s="193">
        <v>114</v>
      </c>
      <c r="L77" s="193">
        <f t="shared" si="42"/>
        <v>66685</v>
      </c>
      <c r="M77" s="193"/>
      <c r="N77" s="193"/>
      <c r="O77" s="221">
        <f t="shared" si="33"/>
        <v>0</v>
      </c>
      <c r="P77" s="193"/>
      <c r="Q77" s="193">
        <f t="shared" si="34"/>
        <v>0</v>
      </c>
      <c r="R77" s="221">
        <f t="shared" si="35"/>
        <v>0</v>
      </c>
      <c r="S77" s="193">
        <f t="shared" si="43"/>
        <v>0</v>
      </c>
      <c r="T77" s="193">
        <f t="shared" si="44"/>
        <v>0</v>
      </c>
      <c r="U77" s="193">
        <f t="shared" si="45"/>
        <v>0</v>
      </c>
      <c r="V77" s="193"/>
      <c r="W77" s="193"/>
      <c r="X77" s="221">
        <f t="shared" si="36"/>
        <v>0</v>
      </c>
      <c r="Y77" s="194"/>
      <c r="Z77" s="190" t="s">
        <v>2859</v>
      </c>
      <c r="AB77" s="190" t="s">
        <v>2491</v>
      </c>
      <c r="AC77" s="190" t="s">
        <v>2859</v>
      </c>
      <c r="AD77" s="190" t="s">
        <v>2148</v>
      </c>
      <c r="AF77" s="190" t="s">
        <v>1314</v>
      </c>
      <c r="BU77" s="195" t="str">
        <f>HYPERLINK("#일위대가목록!A5","K1010241 →")</f>
        <v>K1010241 →</v>
      </c>
      <c r="CA77" s="190">
        <v>521</v>
      </c>
      <c r="CB77" s="190">
        <v>424615</v>
      </c>
      <c r="CC77" s="190">
        <v>161</v>
      </c>
      <c r="CD77" s="190">
        <v>131215</v>
      </c>
      <c r="CE77" s="190">
        <v>227</v>
      </c>
      <c r="CF77" s="190">
        <v>185005</v>
      </c>
      <c r="CG77" s="190">
        <v>133</v>
      </c>
      <c r="CH77" s="190">
        <v>108395</v>
      </c>
      <c r="CI77" s="190" t="s">
        <v>2248</v>
      </c>
    </row>
    <row r="78" spans="1:87" s="190" customFormat="1" ht="20.100000000000001" customHeight="1" x14ac:dyDescent="0.15">
      <c r="A78" s="191" t="s">
        <v>1336</v>
      </c>
      <c r="B78" s="191" t="s">
        <v>692</v>
      </c>
      <c r="C78" s="192" t="s">
        <v>1085</v>
      </c>
      <c r="D78" s="193">
        <v>584.95659999999998</v>
      </c>
      <c r="E78" s="193">
        <f t="shared" si="39"/>
        <v>1276</v>
      </c>
      <c r="F78" s="193">
        <f t="shared" si="37"/>
        <v>746402</v>
      </c>
      <c r="G78" s="193">
        <v>394</v>
      </c>
      <c r="H78" s="193">
        <f t="shared" si="40"/>
        <v>230472</v>
      </c>
      <c r="I78" s="193">
        <v>556</v>
      </c>
      <c r="J78" s="193">
        <f t="shared" si="41"/>
        <v>325235</v>
      </c>
      <c r="K78" s="193">
        <v>326</v>
      </c>
      <c r="L78" s="193">
        <f t="shared" si="42"/>
        <v>190695</v>
      </c>
      <c r="M78" s="193"/>
      <c r="N78" s="193"/>
      <c r="O78" s="221">
        <f t="shared" si="33"/>
        <v>0</v>
      </c>
      <c r="P78" s="193"/>
      <c r="Q78" s="193">
        <f t="shared" si="34"/>
        <v>0</v>
      </c>
      <c r="R78" s="221">
        <f t="shared" si="35"/>
        <v>0</v>
      </c>
      <c r="S78" s="193">
        <f t="shared" si="43"/>
        <v>0</v>
      </c>
      <c r="T78" s="193">
        <f t="shared" si="44"/>
        <v>0</v>
      </c>
      <c r="U78" s="193">
        <f t="shared" si="45"/>
        <v>0</v>
      </c>
      <c r="V78" s="193"/>
      <c r="W78" s="193"/>
      <c r="X78" s="221">
        <f t="shared" si="36"/>
        <v>0</v>
      </c>
      <c r="Y78" s="194"/>
      <c r="Z78" s="190" t="s">
        <v>2859</v>
      </c>
      <c r="AB78" s="190" t="s">
        <v>1745</v>
      </c>
      <c r="AC78" s="190" t="s">
        <v>2859</v>
      </c>
      <c r="AD78" s="190" t="s">
        <v>218</v>
      </c>
      <c r="AF78" s="190" t="s">
        <v>1314</v>
      </c>
      <c r="BU78" s="195" t="str">
        <f>HYPERLINK("#일위대가목록!A6","K1010250 →")</f>
        <v>K1010250 →</v>
      </c>
      <c r="CA78" s="190">
        <v>1487</v>
      </c>
      <c r="CB78" s="190">
        <v>1211905</v>
      </c>
      <c r="CC78" s="190">
        <v>459</v>
      </c>
      <c r="CD78" s="190">
        <v>374085</v>
      </c>
      <c r="CE78" s="190">
        <v>648</v>
      </c>
      <c r="CF78" s="190">
        <v>528120</v>
      </c>
      <c r="CG78" s="190">
        <v>380</v>
      </c>
      <c r="CH78" s="190">
        <v>309700</v>
      </c>
      <c r="CI78" s="190" t="s">
        <v>1197</v>
      </c>
    </row>
    <row r="79" spans="1:87" s="190" customFormat="1" ht="20.100000000000001" customHeight="1" x14ac:dyDescent="0.15">
      <c r="A79" s="191" t="s">
        <v>1884</v>
      </c>
      <c r="B79" s="191" t="s">
        <v>2152</v>
      </c>
      <c r="C79" s="192" t="s">
        <v>1085</v>
      </c>
      <c r="D79" s="193">
        <v>163.7535</v>
      </c>
      <c r="E79" s="193">
        <f t="shared" si="39"/>
        <v>40517</v>
      </c>
      <c r="F79" s="193">
        <f t="shared" si="37"/>
        <v>6634800</v>
      </c>
      <c r="G79" s="193">
        <v>26430</v>
      </c>
      <c r="H79" s="193">
        <f t="shared" si="40"/>
        <v>4328005</v>
      </c>
      <c r="I79" s="193">
        <v>11825</v>
      </c>
      <c r="J79" s="193">
        <f t="shared" si="41"/>
        <v>1936385</v>
      </c>
      <c r="K79" s="193">
        <v>2262</v>
      </c>
      <c r="L79" s="193">
        <f t="shared" si="42"/>
        <v>370410</v>
      </c>
      <c r="M79" s="193"/>
      <c r="N79" s="193"/>
      <c r="O79" s="221">
        <f t="shared" si="33"/>
        <v>0</v>
      </c>
      <c r="P79" s="193"/>
      <c r="Q79" s="193">
        <f t="shared" si="34"/>
        <v>0</v>
      </c>
      <c r="R79" s="221">
        <f t="shared" si="35"/>
        <v>0</v>
      </c>
      <c r="S79" s="193">
        <f t="shared" si="43"/>
        <v>0</v>
      </c>
      <c r="T79" s="193">
        <f t="shared" si="44"/>
        <v>0</v>
      </c>
      <c r="U79" s="193">
        <f t="shared" si="45"/>
        <v>0</v>
      </c>
      <c r="V79" s="193"/>
      <c r="W79" s="193"/>
      <c r="X79" s="221">
        <f t="shared" si="36"/>
        <v>0</v>
      </c>
      <c r="Y79" s="194"/>
      <c r="Z79" s="190" t="s">
        <v>2859</v>
      </c>
      <c r="AB79" s="190" t="s">
        <v>267</v>
      </c>
      <c r="AC79" s="190" t="s">
        <v>2859</v>
      </c>
      <c r="AD79" s="190" t="s">
        <v>2018</v>
      </c>
      <c r="AF79" s="190" t="s">
        <v>1314</v>
      </c>
      <c r="BU79" s="195" t="str">
        <f>HYPERLINK("#일위대가목록!A21","K2030110 →")</f>
        <v>K2030110 →</v>
      </c>
      <c r="CA79" s="190">
        <v>47150</v>
      </c>
      <c r="CB79" s="190">
        <v>10985950</v>
      </c>
      <c r="CC79" s="190">
        <v>30756</v>
      </c>
      <c r="CD79" s="190">
        <v>7166148</v>
      </c>
      <c r="CE79" s="190">
        <v>13761</v>
      </c>
      <c r="CF79" s="190">
        <v>3206313</v>
      </c>
      <c r="CG79" s="190">
        <v>2633</v>
      </c>
      <c r="CH79" s="190">
        <v>613489</v>
      </c>
      <c r="CI79" s="190" t="s">
        <v>1587</v>
      </c>
    </row>
    <row r="80" spans="1:87" s="190" customFormat="1" ht="20.100000000000001" customHeight="1" x14ac:dyDescent="0.15">
      <c r="A80" s="191" t="s">
        <v>585</v>
      </c>
      <c r="B80" s="191" t="s">
        <v>2152</v>
      </c>
      <c r="C80" s="192" t="s">
        <v>1085</v>
      </c>
      <c r="D80" s="193">
        <v>218.33800000000002</v>
      </c>
      <c r="E80" s="193">
        <f t="shared" si="39"/>
        <v>40517</v>
      </c>
      <c r="F80" s="193">
        <f t="shared" si="37"/>
        <v>8846399</v>
      </c>
      <c r="G80" s="193">
        <v>26430</v>
      </c>
      <c r="H80" s="193">
        <f t="shared" si="40"/>
        <v>5770673</v>
      </c>
      <c r="I80" s="193">
        <v>11825</v>
      </c>
      <c r="J80" s="193">
        <f t="shared" si="41"/>
        <v>2581846</v>
      </c>
      <c r="K80" s="193">
        <v>2262</v>
      </c>
      <c r="L80" s="193">
        <f t="shared" si="42"/>
        <v>493880</v>
      </c>
      <c r="M80" s="193"/>
      <c r="N80" s="193"/>
      <c r="O80" s="221">
        <f t="shared" si="33"/>
        <v>0</v>
      </c>
      <c r="P80" s="193"/>
      <c r="Q80" s="193">
        <f t="shared" si="34"/>
        <v>0</v>
      </c>
      <c r="R80" s="221">
        <f t="shared" si="35"/>
        <v>0</v>
      </c>
      <c r="S80" s="193">
        <f t="shared" si="43"/>
        <v>0</v>
      </c>
      <c r="T80" s="193">
        <f t="shared" si="44"/>
        <v>0</v>
      </c>
      <c r="U80" s="193">
        <f t="shared" si="45"/>
        <v>0</v>
      </c>
      <c r="V80" s="193"/>
      <c r="W80" s="193"/>
      <c r="X80" s="221">
        <f t="shared" si="36"/>
        <v>0</v>
      </c>
      <c r="Y80" s="194"/>
      <c r="Z80" s="190" t="s">
        <v>2859</v>
      </c>
      <c r="AB80" s="190" t="s">
        <v>2435</v>
      </c>
      <c r="AC80" s="190" t="s">
        <v>2859</v>
      </c>
      <c r="AD80" s="190" t="s">
        <v>2018</v>
      </c>
      <c r="AF80" s="190" t="s">
        <v>1314</v>
      </c>
      <c r="BU80" s="195" t="str">
        <f>HYPERLINK("#일위대가목록!A21","K2030110 →")</f>
        <v>K2030110 →</v>
      </c>
      <c r="CA80" s="190">
        <v>47150</v>
      </c>
      <c r="CB80" s="190">
        <v>14663650</v>
      </c>
      <c r="CC80" s="190">
        <v>30756</v>
      </c>
      <c r="CD80" s="190">
        <v>9565116</v>
      </c>
      <c r="CE80" s="190">
        <v>13761</v>
      </c>
      <c r="CF80" s="190">
        <v>4279671</v>
      </c>
      <c r="CG80" s="190">
        <v>2633</v>
      </c>
      <c r="CH80" s="190">
        <v>818863</v>
      </c>
      <c r="CI80" s="190" t="s">
        <v>1587</v>
      </c>
    </row>
    <row r="81" spans="1:87" s="190" customFormat="1" ht="20.100000000000001" customHeight="1" x14ac:dyDescent="0.15">
      <c r="A81" s="191" t="s">
        <v>1335</v>
      </c>
      <c r="B81" s="191" t="s">
        <v>1978</v>
      </c>
      <c r="C81" s="192" t="s">
        <v>2212</v>
      </c>
      <c r="D81" s="193">
        <v>938.69</v>
      </c>
      <c r="E81" s="193">
        <f t="shared" si="39"/>
        <v>821</v>
      </c>
      <c r="F81" s="193">
        <f t="shared" si="37"/>
        <v>770663</v>
      </c>
      <c r="G81" s="193">
        <v>95</v>
      </c>
      <c r="H81" s="193">
        <f t="shared" si="40"/>
        <v>89175</v>
      </c>
      <c r="I81" s="193">
        <v>574</v>
      </c>
      <c r="J81" s="193">
        <f t="shared" si="41"/>
        <v>538808</v>
      </c>
      <c r="K81" s="193">
        <v>152</v>
      </c>
      <c r="L81" s="193">
        <f t="shared" si="42"/>
        <v>142680</v>
      </c>
      <c r="M81" s="193"/>
      <c r="N81" s="193"/>
      <c r="O81" s="221">
        <f t="shared" si="33"/>
        <v>0</v>
      </c>
      <c r="P81" s="193"/>
      <c r="Q81" s="193">
        <f t="shared" si="34"/>
        <v>0</v>
      </c>
      <c r="R81" s="221">
        <f t="shared" si="35"/>
        <v>0</v>
      </c>
      <c r="S81" s="193">
        <f t="shared" si="43"/>
        <v>0</v>
      </c>
      <c r="T81" s="193">
        <f t="shared" si="44"/>
        <v>0</v>
      </c>
      <c r="U81" s="193">
        <f t="shared" si="45"/>
        <v>0</v>
      </c>
      <c r="V81" s="193"/>
      <c r="W81" s="193"/>
      <c r="X81" s="221">
        <f t="shared" si="36"/>
        <v>0</v>
      </c>
      <c r="Y81" s="194"/>
      <c r="Z81" s="190" t="s">
        <v>2859</v>
      </c>
      <c r="AB81" s="190" t="s">
        <v>1695</v>
      </c>
      <c r="AC81" s="190" t="s">
        <v>2859</v>
      </c>
      <c r="AD81" s="190" t="s">
        <v>1639</v>
      </c>
      <c r="AF81" s="190" t="s">
        <v>1314</v>
      </c>
      <c r="BU81" s="195" t="str">
        <f>HYPERLINK("#일위대가목록!A22","K2020205 →")</f>
        <v>K2020205 →</v>
      </c>
      <c r="CA81" s="190">
        <v>957</v>
      </c>
      <c r="CB81" s="190">
        <v>934989</v>
      </c>
      <c r="CC81" s="190">
        <v>111</v>
      </c>
      <c r="CD81" s="190">
        <v>108447</v>
      </c>
      <c r="CE81" s="190">
        <v>668</v>
      </c>
      <c r="CF81" s="190">
        <v>652636</v>
      </c>
      <c r="CG81" s="190">
        <v>178</v>
      </c>
      <c r="CH81" s="190">
        <v>173906</v>
      </c>
      <c r="CI81" s="190" t="s">
        <v>299</v>
      </c>
    </row>
    <row r="82" spans="1:87" s="190" customFormat="1" ht="20.100000000000001" customHeight="1" x14ac:dyDescent="0.15">
      <c r="A82" s="191" t="s">
        <v>2085</v>
      </c>
      <c r="B82" s="191" t="s">
        <v>1998</v>
      </c>
      <c r="C82" s="192" t="s">
        <v>2212</v>
      </c>
      <c r="D82" s="193">
        <v>938.69</v>
      </c>
      <c r="E82" s="193">
        <f t="shared" si="39"/>
        <v>886</v>
      </c>
      <c r="F82" s="193">
        <f t="shared" si="37"/>
        <v>831678</v>
      </c>
      <c r="G82" s="193">
        <v>102</v>
      </c>
      <c r="H82" s="193">
        <f t="shared" si="40"/>
        <v>95746</v>
      </c>
      <c r="I82" s="193">
        <v>622</v>
      </c>
      <c r="J82" s="193">
        <f t="shared" si="41"/>
        <v>583865</v>
      </c>
      <c r="K82" s="193">
        <v>162</v>
      </c>
      <c r="L82" s="193">
        <f t="shared" si="42"/>
        <v>152067</v>
      </c>
      <c r="M82" s="193"/>
      <c r="N82" s="193"/>
      <c r="O82" s="221">
        <f t="shared" si="33"/>
        <v>0</v>
      </c>
      <c r="P82" s="193"/>
      <c r="Q82" s="193">
        <f t="shared" si="34"/>
        <v>0</v>
      </c>
      <c r="R82" s="221">
        <f t="shared" si="35"/>
        <v>0</v>
      </c>
      <c r="S82" s="193">
        <f t="shared" si="43"/>
        <v>0</v>
      </c>
      <c r="T82" s="193">
        <f t="shared" si="44"/>
        <v>0</v>
      </c>
      <c r="U82" s="193">
        <f t="shared" si="45"/>
        <v>0</v>
      </c>
      <c r="V82" s="193"/>
      <c r="W82" s="193"/>
      <c r="X82" s="221">
        <f t="shared" si="36"/>
        <v>0</v>
      </c>
      <c r="Y82" s="194"/>
      <c r="Z82" s="190" t="s">
        <v>2859</v>
      </c>
      <c r="AB82" s="190" t="s">
        <v>223</v>
      </c>
      <c r="AC82" s="190" t="s">
        <v>2859</v>
      </c>
      <c r="AD82" s="190" t="s">
        <v>2033</v>
      </c>
      <c r="AF82" s="190" t="s">
        <v>1314</v>
      </c>
      <c r="BU82" s="195" t="str">
        <f>HYPERLINK("#일위대가목록!A23","K2020710 →")</f>
        <v>K2020710 →</v>
      </c>
      <c r="CA82" s="190">
        <v>1032</v>
      </c>
      <c r="CB82" s="190">
        <v>1008264</v>
      </c>
      <c r="CC82" s="190">
        <v>119</v>
      </c>
      <c r="CD82" s="190">
        <v>116263</v>
      </c>
      <c r="CE82" s="190">
        <v>724</v>
      </c>
      <c r="CF82" s="190">
        <v>707348</v>
      </c>
      <c r="CG82" s="190">
        <v>189</v>
      </c>
      <c r="CH82" s="190">
        <v>184653</v>
      </c>
      <c r="CI82" s="190" t="s">
        <v>1547</v>
      </c>
    </row>
    <row r="83" spans="1:87" s="190" customFormat="1" ht="20.100000000000001" customHeight="1" x14ac:dyDescent="0.15">
      <c r="A83" s="191" t="s">
        <v>1775</v>
      </c>
      <c r="B83" s="191" t="s">
        <v>2500</v>
      </c>
      <c r="C83" s="192" t="s">
        <v>2212</v>
      </c>
      <c r="D83" s="193">
        <v>938.69</v>
      </c>
      <c r="E83" s="193">
        <f t="shared" si="39"/>
        <v>408</v>
      </c>
      <c r="F83" s="193">
        <f t="shared" si="37"/>
        <v>382984</v>
      </c>
      <c r="G83" s="193">
        <v>336</v>
      </c>
      <c r="H83" s="193">
        <f t="shared" si="40"/>
        <v>315399</v>
      </c>
      <c r="I83" s="193">
        <v>72</v>
      </c>
      <c r="J83" s="193">
        <f t="shared" si="41"/>
        <v>67585</v>
      </c>
      <c r="K83" s="193">
        <v>0</v>
      </c>
      <c r="L83" s="193">
        <f t="shared" si="42"/>
        <v>0</v>
      </c>
      <c r="M83" s="193"/>
      <c r="N83" s="193"/>
      <c r="O83" s="221">
        <f t="shared" si="33"/>
        <v>0</v>
      </c>
      <c r="P83" s="193"/>
      <c r="Q83" s="193">
        <f t="shared" si="34"/>
        <v>0</v>
      </c>
      <c r="R83" s="221">
        <f t="shared" si="35"/>
        <v>0</v>
      </c>
      <c r="S83" s="193">
        <f t="shared" si="43"/>
        <v>0</v>
      </c>
      <c r="T83" s="193">
        <f t="shared" si="44"/>
        <v>0</v>
      </c>
      <c r="U83" s="193">
        <f t="shared" si="45"/>
        <v>0</v>
      </c>
      <c r="V83" s="193"/>
      <c r="W83" s="193"/>
      <c r="X83" s="221">
        <f t="shared" si="36"/>
        <v>0</v>
      </c>
      <c r="Y83" s="194"/>
      <c r="Z83" s="190" t="s">
        <v>2859</v>
      </c>
      <c r="AB83" s="190" t="s">
        <v>945</v>
      </c>
      <c r="AC83" s="190" t="s">
        <v>2859</v>
      </c>
      <c r="AD83" s="190" t="s">
        <v>2107</v>
      </c>
      <c r="AF83" s="190" t="s">
        <v>1314</v>
      </c>
      <c r="BU83" s="195" t="str">
        <f>HYPERLINK("#일위대가목록!A24","K2020910 →")</f>
        <v>K2020910 →</v>
      </c>
      <c r="CA83" s="190">
        <v>475</v>
      </c>
      <c r="CB83" s="190">
        <v>464075</v>
      </c>
      <c r="CC83" s="190">
        <v>391</v>
      </c>
      <c r="CD83" s="190">
        <v>382007</v>
      </c>
      <c r="CE83" s="190">
        <v>84</v>
      </c>
      <c r="CF83" s="190">
        <v>82068</v>
      </c>
      <c r="CG83" s="190">
        <v>0</v>
      </c>
      <c r="CH83" s="190">
        <v>0</v>
      </c>
      <c r="CI83" s="190" t="s">
        <v>1260</v>
      </c>
    </row>
    <row r="84" spans="1:87" s="190" customFormat="1" ht="20.100000000000001" customHeight="1" x14ac:dyDescent="0.15">
      <c r="A84" s="191" t="s">
        <v>929</v>
      </c>
      <c r="B84" s="191" t="s">
        <v>2500</v>
      </c>
      <c r="C84" s="192" t="s">
        <v>2212</v>
      </c>
      <c r="D84" s="193">
        <v>938.69</v>
      </c>
      <c r="E84" s="193">
        <f t="shared" si="39"/>
        <v>1459</v>
      </c>
      <c r="F84" s="193">
        <f t="shared" si="37"/>
        <v>1369548</v>
      </c>
      <c r="G84" s="193">
        <v>1387</v>
      </c>
      <c r="H84" s="193">
        <f t="shared" si="40"/>
        <v>1301963</v>
      </c>
      <c r="I84" s="193">
        <v>72</v>
      </c>
      <c r="J84" s="193">
        <f t="shared" si="41"/>
        <v>67585</v>
      </c>
      <c r="K84" s="193">
        <v>0</v>
      </c>
      <c r="L84" s="193">
        <f t="shared" si="42"/>
        <v>0</v>
      </c>
      <c r="M84" s="193"/>
      <c r="N84" s="193"/>
      <c r="O84" s="221">
        <f t="shared" si="33"/>
        <v>0</v>
      </c>
      <c r="P84" s="193"/>
      <c r="Q84" s="193">
        <f t="shared" si="34"/>
        <v>0</v>
      </c>
      <c r="R84" s="221">
        <f t="shared" si="35"/>
        <v>0</v>
      </c>
      <c r="S84" s="193">
        <f t="shared" si="43"/>
        <v>0</v>
      </c>
      <c r="T84" s="193">
        <f t="shared" si="44"/>
        <v>0</v>
      </c>
      <c r="U84" s="193">
        <f t="shared" si="45"/>
        <v>0</v>
      </c>
      <c r="V84" s="193"/>
      <c r="W84" s="193"/>
      <c r="X84" s="221">
        <f t="shared" si="36"/>
        <v>0</v>
      </c>
      <c r="Y84" s="194"/>
      <c r="Z84" s="190" t="s">
        <v>2859</v>
      </c>
      <c r="AB84" s="190" t="s">
        <v>1683</v>
      </c>
      <c r="AC84" s="190" t="s">
        <v>2859</v>
      </c>
      <c r="AD84" s="190" t="s">
        <v>1425</v>
      </c>
      <c r="AF84" s="190" t="s">
        <v>1314</v>
      </c>
      <c r="BU84" s="195" t="str">
        <f>HYPERLINK("#일위대가목록!A25","K2020920 →")</f>
        <v>K2020920 →</v>
      </c>
      <c r="CA84" s="190">
        <v>1698</v>
      </c>
      <c r="CB84" s="190">
        <v>1658946</v>
      </c>
      <c r="CC84" s="190">
        <v>1614</v>
      </c>
      <c r="CD84" s="190">
        <v>1576878</v>
      </c>
      <c r="CE84" s="190">
        <v>84</v>
      </c>
      <c r="CF84" s="190">
        <v>82068</v>
      </c>
      <c r="CG84" s="190">
        <v>0</v>
      </c>
      <c r="CH84" s="190">
        <v>0</v>
      </c>
      <c r="CI84" s="190" t="s">
        <v>2797</v>
      </c>
    </row>
    <row r="85" spans="1:87" s="190" customFormat="1" ht="20.100000000000001" customHeight="1" x14ac:dyDescent="0.15">
      <c r="A85" s="191" t="s">
        <v>816</v>
      </c>
      <c r="B85" s="191" t="s">
        <v>3</v>
      </c>
      <c r="C85" s="192" t="s">
        <v>1085</v>
      </c>
      <c r="D85" s="193">
        <v>40.463499999999996</v>
      </c>
      <c r="E85" s="193">
        <f t="shared" si="39"/>
        <v>24221</v>
      </c>
      <c r="F85" s="193">
        <f t="shared" si="37"/>
        <v>980064</v>
      </c>
      <c r="G85" s="193">
        <v>2146</v>
      </c>
      <c r="H85" s="193">
        <f t="shared" si="40"/>
        <v>86834</v>
      </c>
      <c r="I85" s="193">
        <v>19290</v>
      </c>
      <c r="J85" s="193">
        <f t="shared" si="41"/>
        <v>780540</v>
      </c>
      <c r="K85" s="193">
        <v>2785</v>
      </c>
      <c r="L85" s="193">
        <f t="shared" si="42"/>
        <v>112690</v>
      </c>
      <c r="M85" s="193"/>
      <c r="N85" s="193"/>
      <c r="O85" s="221">
        <f t="shared" si="33"/>
        <v>0</v>
      </c>
      <c r="P85" s="193"/>
      <c r="Q85" s="193">
        <f t="shared" si="34"/>
        <v>0</v>
      </c>
      <c r="R85" s="221">
        <f t="shared" si="35"/>
        <v>0</v>
      </c>
      <c r="S85" s="193">
        <f t="shared" si="43"/>
        <v>0</v>
      </c>
      <c r="T85" s="193">
        <f t="shared" si="44"/>
        <v>0</v>
      </c>
      <c r="U85" s="193">
        <f t="shared" si="45"/>
        <v>0</v>
      </c>
      <c r="V85" s="193"/>
      <c r="W85" s="193"/>
      <c r="X85" s="221">
        <f t="shared" si="36"/>
        <v>0</v>
      </c>
      <c r="Y85" s="194"/>
      <c r="Z85" s="190" t="s">
        <v>2859</v>
      </c>
      <c r="AB85" s="190" t="s">
        <v>2400</v>
      </c>
      <c r="AC85" s="190" t="s">
        <v>2859</v>
      </c>
      <c r="AD85" s="190" t="s">
        <v>1363</v>
      </c>
      <c r="AF85" s="190" t="s">
        <v>1314</v>
      </c>
      <c r="BU85" s="195" t="str">
        <f>HYPERLINK("#일위대가목록!A18","K3021812 →")</f>
        <v>K3021812 →</v>
      </c>
      <c r="CA85" s="190">
        <v>28187</v>
      </c>
      <c r="CB85" s="190">
        <v>3241505</v>
      </c>
      <c r="CC85" s="190">
        <v>2498</v>
      </c>
      <c r="CD85" s="190">
        <v>287270</v>
      </c>
      <c r="CE85" s="190">
        <v>22448</v>
      </c>
      <c r="CF85" s="190">
        <v>2581520</v>
      </c>
      <c r="CG85" s="190">
        <v>3241</v>
      </c>
      <c r="CH85" s="190">
        <v>372715</v>
      </c>
      <c r="CI85" s="190" t="s">
        <v>2305</v>
      </c>
    </row>
    <row r="86" spans="1:87" s="190" customFormat="1" ht="20.100000000000001" customHeight="1" x14ac:dyDescent="0.15">
      <c r="A86" s="191" t="s">
        <v>408</v>
      </c>
      <c r="B86" s="191" t="s">
        <v>1338</v>
      </c>
      <c r="C86" s="192" t="s">
        <v>2212</v>
      </c>
      <c r="D86" s="193">
        <v>88.89</v>
      </c>
      <c r="E86" s="193">
        <f t="shared" si="39"/>
        <v>2666</v>
      </c>
      <c r="F86" s="193">
        <f t="shared" si="37"/>
        <v>236980</v>
      </c>
      <c r="G86" s="193">
        <v>1805</v>
      </c>
      <c r="H86" s="193">
        <f t="shared" si="40"/>
        <v>160446</v>
      </c>
      <c r="I86" s="193">
        <v>861</v>
      </c>
      <c r="J86" s="193">
        <f t="shared" si="41"/>
        <v>76534</v>
      </c>
      <c r="K86" s="193">
        <v>0</v>
      </c>
      <c r="L86" s="193">
        <f t="shared" si="42"/>
        <v>0</v>
      </c>
      <c r="M86" s="193"/>
      <c r="N86" s="193"/>
      <c r="O86" s="221">
        <f t="shared" si="33"/>
        <v>0</v>
      </c>
      <c r="P86" s="193"/>
      <c r="Q86" s="193">
        <f t="shared" si="34"/>
        <v>0</v>
      </c>
      <c r="R86" s="221">
        <f t="shared" si="35"/>
        <v>0</v>
      </c>
      <c r="S86" s="193">
        <f t="shared" si="43"/>
        <v>0</v>
      </c>
      <c r="T86" s="193">
        <f t="shared" si="44"/>
        <v>0</v>
      </c>
      <c r="U86" s="193">
        <f t="shared" si="45"/>
        <v>0</v>
      </c>
      <c r="V86" s="193"/>
      <c r="W86" s="193"/>
      <c r="X86" s="221">
        <f t="shared" si="36"/>
        <v>0</v>
      </c>
      <c r="Y86" s="194"/>
      <c r="Z86" s="190" t="s">
        <v>2859</v>
      </c>
      <c r="AB86" s="190" t="s">
        <v>1646</v>
      </c>
      <c r="AC86" s="190" t="s">
        <v>2859</v>
      </c>
      <c r="AD86" s="190" t="s">
        <v>889</v>
      </c>
      <c r="AF86" s="190" t="s">
        <v>1773</v>
      </c>
      <c r="BU86" s="195" t="str">
        <f>HYPERLINK("#일위대가목록!A69","K2010220 →")</f>
        <v>K2010220 →</v>
      </c>
      <c r="CA86" s="190">
        <v>3103</v>
      </c>
      <c r="CB86" s="190">
        <v>273064</v>
      </c>
      <c r="CC86" s="190">
        <v>2101</v>
      </c>
      <c r="CD86" s="190">
        <v>184888</v>
      </c>
      <c r="CE86" s="190">
        <v>1002</v>
      </c>
      <c r="CF86" s="190">
        <v>88176</v>
      </c>
      <c r="CG86" s="190">
        <v>0</v>
      </c>
      <c r="CH86" s="190">
        <v>0</v>
      </c>
      <c r="CI86" s="190" t="s">
        <v>740</v>
      </c>
    </row>
    <row r="87" spans="1:87" s="190" customFormat="1" ht="20.100000000000001" customHeight="1" x14ac:dyDescent="0.15">
      <c r="A87" s="191" t="s">
        <v>13</v>
      </c>
      <c r="B87" s="191" t="s">
        <v>2312</v>
      </c>
      <c r="C87" s="192" t="s">
        <v>1212</v>
      </c>
      <c r="D87" s="193">
        <v>88.89</v>
      </c>
      <c r="E87" s="193">
        <f t="shared" si="39"/>
        <v>14077</v>
      </c>
      <c r="F87" s="193">
        <f t="shared" si="37"/>
        <v>1251303</v>
      </c>
      <c r="G87" s="193">
        <v>4279</v>
      </c>
      <c r="H87" s="193">
        <f t="shared" si="40"/>
        <v>380360</v>
      </c>
      <c r="I87" s="193">
        <v>8911</v>
      </c>
      <c r="J87" s="193">
        <f t="shared" si="41"/>
        <v>792098</v>
      </c>
      <c r="K87" s="193">
        <v>887</v>
      </c>
      <c r="L87" s="193">
        <f t="shared" si="42"/>
        <v>78845</v>
      </c>
      <c r="M87" s="193"/>
      <c r="N87" s="193"/>
      <c r="O87" s="221">
        <f t="shared" si="33"/>
        <v>0</v>
      </c>
      <c r="P87" s="193"/>
      <c r="Q87" s="193">
        <f t="shared" si="34"/>
        <v>0</v>
      </c>
      <c r="R87" s="221">
        <f t="shared" si="35"/>
        <v>0</v>
      </c>
      <c r="S87" s="193">
        <f t="shared" si="43"/>
        <v>0</v>
      </c>
      <c r="T87" s="193">
        <f t="shared" si="44"/>
        <v>0</v>
      </c>
      <c r="U87" s="193">
        <f t="shared" si="45"/>
        <v>0</v>
      </c>
      <c r="V87" s="193"/>
      <c r="W87" s="193"/>
      <c r="X87" s="221">
        <f t="shared" si="36"/>
        <v>0</v>
      </c>
      <c r="Y87" s="194"/>
      <c r="Z87" s="190" t="s">
        <v>2859</v>
      </c>
      <c r="AB87" s="190" t="s">
        <v>2335</v>
      </c>
      <c r="AC87" s="190" t="s">
        <v>2859</v>
      </c>
      <c r="AD87" s="190" t="s">
        <v>121</v>
      </c>
      <c r="AF87" s="190" t="s">
        <v>1773</v>
      </c>
      <c r="BU87" s="195" t="str">
        <f>HYPERLINK("#일위대가목록!A70","NP0410-24 →")</f>
        <v>NP0410-24 →</v>
      </c>
      <c r="CA87" s="190">
        <v>16383</v>
      </c>
      <c r="CB87" s="190">
        <v>1441704</v>
      </c>
      <c r="CC87" s="190">
        <v>4980</v>
      </c>
      <c r="CD87" s="190">
        <v>438240</v>
      </c>
      <c r="CE87" s="190">
        <v>10370</v>
      </c>
      <c r="CF87" s="190">
        <v>912560</v>
      </c>
      <c r="CG87" s="190">
        <v>1033</v>
      </c>
      <c r="CH87" s="190">
        <v>90904</v>
      </c>
      <c r="CI87" s="190" t="s">
        <v>2385</v>
      </c>
    </row>
    <row r="88" spans="1:87" s="190" customFormat="1" ht="20.100000000000001" customHeight="1" x14ac:dyDescent="0.15">
      <c r="A88" s="191" t="s">
        <v>830</v>
      </c>
      <c r="B88" s="191" t="s">
        <v>590</v>
      </c>
      <c r="C88" s="192" t="s">
        <v>2212</v>
      </c>
      <c r="D88" s="193">
        <v>77.52</v>
      </c>
      <c r="E88" s="193">
        <f t="shared" si="39"/>
        <v>39832</v>
      </c>
      <c r="F88" s="193">
        <f t="shared" si="37"/>
        <v>3087776</v>
      </c>
      <c r="G88" s="193">
        <v>10156</v>
      </c>
      <c r="H88" s="193">
        <f t="shared" si="40"/>
        <v>787293</v>
      </c>
      <c r="I88" s="193">
        <v>29383</v>
      </c>
      <c r="J88" s="193">
        <f t="shared" si="41"/>
        <v>2277770</v>
      </c>
      <c r="K88" s="193">
        <v>293</v>
      </c>
      <c r="L88" s="193">
        <f t="shared" si="42"/>
        <v>22713</v>
      </c>
      <c r="M88" s="193"/>
      <c r="N88" s="193"/>
      <c r="O88" s="221">
        <f t="shared" si="33"/>
        <v>0</v>
      </c>
      <c r="P88" s="193"/>
      <c r="Q88" s="193">
        <f t="shared" si="34"/>
        <v>0</v>
      </c>
      <c r="R88" s="221">
        <f t="shared" si="35"/>
        <v>0</v>
      </c>
      <c r="S88" s="193">
        <f t="shared" si="43"/>
        <v>0</v>
      </c>
      <c r="T88" s="193">
        <f t="shared" si="44"/>
        <v>0</v>
      </c>
      <c r="U88" s="193">
        <f t="shared" si="45"/>
        <v>0</v>
      </c>
      <c r="V88" s="193"/>
      <c r="W88" s="193"/>
      <c r="X88" s="221">
        <f t="shared" si="36"/>
        <v>0</v>
      </c>
      <c r="Y88" s="194"/>
      <c r="Z88" s="190" t="s">
        <v>2859</v>
      </c>
      <c r="AB88" s="190" t="s">
        <v>308</v>
      </c>
      <c r="AC88" s="190" t="s">
        <v>2859</v>
      </c>
      <c r="AD88" s="190" t="s">
        <v>754</v>
      </c>
      <c r="AF88" s="190" t="s">
        <v>1773</v>
      </c>
      <c r="BU88" s="195" t="str">
        <f>HYPERLINK("#일위대가목록!A45","K3060116 →")</f>
        <v>K3060116 →</v>
      </c>
      <c r="CA88" s="190">
        <v>46353</v>
      </c>
      <c r="CB88" s="190">
        <v>13535076</v>
      </c>
      <c r="CC88" s="190">
        <v>11819</v>
      </c>
      <c r="CD88" s="190">
        <v>3451148</v>
      </c>
      <c r="CE88" s="190">
        <v>34193</v>
      </c>
      <c r="CF88" s="190">
        <v>9984356</v>
      </c>
      <c r="CG88" s="190">
        <v>341</v>
      </c>
      <c r="CH88" s="190">
        <v>99572</v>
      </c>
      <c r="CI88" s="190" t="s">
        <v>183</v>
      </c>
    </row>
    <row r="89" spans="1:87" s="190" customFormat="1" ht="20.100000000000001" customHeight="1" x14ac:dyDescent="0.15">
      <c r="A89" s="191" t="s">
        <v>44</v>
      </c>
      <c r="B89" s="191" t="s">
        <v>582</v>
      </c>
      <c r="C89" s="192" t="s">
        <v>773</v>
      </c>
      <c r="D89" s="193">
        <v>56</v>
      </c>
      <c r="E89" s="193">
        <f t="shared" si="39"/>
        <v>49031</v>
      </c>
      <c r="F89" s="193">
        <f t="shared" si="37"/>
        <v>2745736</v>
      </c>
      <c r="G89" s="193">
        <v>42967</v>
      </c>
      <c r="H89" s="193">
        <f t="shared" si="40"/>
        <v>2406152</v>
      </c>
      <c r="I89" s="193">
        <v>5776</v>
      </c>
      <c r="J89" s="193">
        <f t="shared" si="41"/>
        <v>323456</v>
      </c>
      <c r="K89" s="193">
        <v>288</v>
      </c>
      <c r="L89" s="193">
        <f t="shared" si="42"/>
        <v>16128</v>
      </c>
      <c r="M89" s="193"/>
      <c r="N89" s="193"/>
      <c r="O89" s="221">
        <f t="shared" si="33"/>
        <v>0</v>
      </c>
      <c r="P89" s="193"/>
      <c r="Q89" s="193">
        <f t="shared" si="34"/>
        <v>0</v>
      </c>
      <c r="R89" s="221">
        <f t="shared" si="35"/>
        <v>0</v>
      </c>
      <c r="S89" s="193">
        <f t="shared" si="43"/>
        <v>0</v>
      </c>
      <c r="T89" s="193">
        <f t="shared" si="44"/>
        <v>0</v>
      </c>
      <c r="U89" s="193">
        <f t="shared" si="45"/>
        <v>0</v>
      </c>
      <c r="V89" s="193"/>
      <c r="W89" s="193"/>
      <c r="X89" s="221">
        <f t="shared" si="36"/>
        <v>0</v>
      </c>
      <c r="Y89" s="194"/>
      <c r="Z89" s="190" t="s">
        <v>2859</v>
      </c>
      <c r="AB89" s="190" t="s">
        <v>1044</v>
      </c>
      <c r="AC89" s="190" t="s">
        <v>2859</v>
      </c>
      <c r="AD89" s="190" t="s">
        <v>531</v>
      </c>
      <c r="AF89" s="190" t="s">
        <v>1773</v>
      </c>
      <c r="BU89" s="195" t="str">
        <f>HYPERLINK("#일위대가목록!A71","K2020010 →")</f>
        <v>K2020010 →</v>
      </c>
      <c r="CA89" s="190">
        <v>57058</v>
      </c>
      <c r="CB89" s="190">
        <v>3994060</v>
      </c>
      <c r="CC89" s="190">
        <v>50000</v>
      </c>
      <c r="CD89" s="190">
        <v>3500000</v>
      </c>
      <c r="CE89" s="190">
        <v>6722</v>
      </c>
      <c r="CF89" s="190">
        <v>470540</v>
      </c>
      <c r="CG89" s="190">
        <v>336</v>
      </c>
      <c r="CH89" s="190">
        <v>23520</v>
      </c>
      <c r="CI89" s="190" t="s">
        <v>1337</v>
      </c>
    </row>
    <row r="90" spans="1:87" s="190" customFormat="1" ht="20.100000000000001" customHeight="1" x14ac:dyDescent="0.15">
      <c r="A90" s="191" t="s">
        <v>416</v>
      </c>
      <c r="B90" s="191" t="s">
        <v>213</v>
      </c>
      <c r="C90" s="192" t="s">
        <v>1091</v>
      </c>
      <c r="D90" s="193">
        <v>225.5</v>
      </c>
      <c r="E90" s="193">
        <f t="shared" si="39"/>
        <v>38939</v>
      </c>
      <c r="F90" s="193">
        <f t="shared" si="37"/>
        <v>8780744</v>
      </c>
      <c r="G90" s="193">
        <v>26584</v>
      </c>
      <c r="H90" s="193">
        <f t="shared" si="40"/>
        <v>5994692</v>
      </c>
      <c r="I90" s="193">
        <v>11592</v>
      </c>
      <c r="J90" s="193">
        <f t="shared" si="41"/>
        <v>2613996</v>
      </c>
      <c r="K90" s="193">
        <v>763</v>
      </c>
      <c r="L90" s="193">
        <f t="shared" si="42"/>
        <v>172056</v>
      </c>
      <c r="M90" s="193"/>
      <c r="N90" s="193"/>
      <c r="O90" s="221">
        <f t="shared" si="33"/>
        <v>0</v>
      </c>
      <c r="P90" s="193"/>
      <c r="Q90" s="193">
        <f t="shared" si="34"/>
        <v>0</v>
      </c>
      <c r="R90" s="221">
        <f t="shared" si="35"/>
        <v>0</v>
      </c>
      <c r="S90" s="193">
        <f t="shared" si="43"/>
        <v>0</v>
      </c>
      <c r="T90" s="193">
        <f t="shared" si="44"/>
        <v>0</v>
      </c>
      <c r="U90" s="193">
        <f t="shared" si="45"/>
        <v>0</v>
      </c>
      <c r="V90" s="193"/>
      <c r="W90" s="193"/>
      <c r="X90" s="221">
        <f t="shared" si="36"/>
        <v>0</v>
      </c>
      <c r="Y90" s="194"/>
      <c r="Z90" s="190" t="s">
        <v>2859</v>
      </c>
      <c r="AB90" s="190" t="s">
        <v>836</v>
      </c>
      <c r="AC90" s="190" t="s">
        <v>2859</v>
      </c>
      <c r="AD90" s="190" t="s">
        <v>2823</v>
      </c>
      <c r="AF90" s="190" t="s">
        <v>1314</v>
      </c>
      <c r="BU90" s="195" t="str">
        <f>HYPERLINK("#일위대가목록!A26","K2040210 →")</f>
        <v>K2040210 →</v>
      </c>
      <c r="CA90" s="190">
        <v>45313</v>
      </c>
      <c r="CB90" s="190">
        <v>10240738</v>
      </c>
      <c r="CC90" s="190">
        <v>30935</v>
      </c>
      <c r="CD90" s="190">
        <v>6991310</v>
      </c>
      <c r="CE90" s="190">
        <v>13490</v>
      </c>
      <c r="CF90" s="190">
        <v>3048740</v>
      </c>
      <c r="CG90" s="190">
        <v>888</v>
      </c>
      <c r="CH90" s="190">
        <v>200688</v>
      </c>
      <c r="CI90" s="190" t="s">
        <v>2535</v>
      </c>
    </row>
    <row r="91" spans="1:87" s="190" customFormat="1" ht="20.100000000000001" customHeight="1" x14ac:dyDescent="0.15">
      <c r="A91" s="191" t="s">
        <v>468</v>
      </c>
      <c r="B91" s="191" t="s">
        <v>213</v>
      </c>
      <c r="C91" s="192" t="s">
        <v>1091</v>
      </c>
      <c r="D91" s="193">
        <v>185</v>
      </c>
      <c r="E91" s="193">
        <f t="shared" si="39"/>
        <v>59992</v>
      </c>
      <c r="F91" s="193">
        <f t="shared" si="37"/>
        <v>11098520</v>
      </c>
      <c r="G91" s="193">
        <v>46084</v>
      </c>
      <c r="H91" s="193">
        <f t="shared" si="40"/>
        <v>8525540</v>
      </c>
      <c r="I91" s="193">
        <v>13050</v>
      </c>
      <c r="J91" s="193">
        <f t="shared" si="41"/>
        <v>2414250</v>
      </c>
      <c r="K91" s="193">
        <v>858</v>
      </c>
      <c r="L91" s="193">
        <f t="shared" si="42"/>
        <v>158730</v>
      </c>
      <c r="M91" s="193"/>
      <c r="N91" s="193"/>
      <c r="O91" s="221">
        <f t="shared" si="33"/>
        <v>0</v>
      </c>
      <c r="P91" s="193"/>
      <c r="Q91" s="193">
        <f t="shared" si="34"/>
        <v>0</v>
      </c>
      <c r="R91" s="221">
        <f t="shared" si="35"/>
        <v>0</v>
      </c>
      <c r="S91" s="193">
        <f t="shared" si="43"/>
        <v>0</v>
      </c>
      <c r="T91" s="193">
        <f t="shared" si="44"/>
        <v>0</v>
      </c>
      <c r="U91" s="193">
        <f t="shared" si="45"/>
        <v>0</v>
      </c>
      <c r="V91" s="193"/>
      <c r="W91" s="193"/>
      <c r="X91" s="221">
        <f t="shared" si="36"/>
        <v>0</v>
      </c>
      <c r="Y91" s="194"/>
      <c r="Z91" s="190" t="s">
        <v>2859</v>
      </c>
      <c r="AB91" s="190" t="s">
        <v>132</v>
      </c>
      <c r="AC91" s="190" t="s">
        <v>2859</v>
      </c>
      <c r="AD91" s="190" t="s">
        <v>687</v>
      </c>
      <c r="AF91" s="190" t="s">
        <v>1314</v>
      </c>
      <c r="BU91" s="195" t="str">
        <f>HYPERLINK("#일위대가목록!A27","K2040220 →")</f>
        <v>K2040220 →</v>
      </c>
      <c r="CA91" s="190">
        <v>69812</v>
      </c>
      <c r="CB91" s="190">
        <v>36651300</v>
      </c>
      <c r="CC91" s="190">
        <v>53627</v>
      </c>
      <c r="CD91" s="190">
        <v>28154175</v>
      </c>
      <c r="CE91" s="190">
        <v>15186</v>
      </c>
      <c r="CF91" s="190">
        <v>7972650</v>
      </c>
      <c r="CG91" s="190">
        <v>999</v>
      </c>
      <c r="CH91" s="190">
        <v>524475</v>
      </c>
      <c r="CI91" s="190" t="s">
        <v>1016</v>
      </c>
    </row>
    <row r="92" spans="1:87" s="190" customFormat="1" ht="20.100000000000001" customHeight="1" x14ac:dyDescent="0.15">
      <c r="A92" s="191" t="s">
        <v>634</v>
      </c>
      <c r="B92" s="191" t="s">
        <v>758</v>
      </c>
      <c r="C92" s="192" t="s">
        <v>1091</v>
      </c>
      <c r="D92" s="193">
        <v>63</v>
      </c>
      <c r="E92" s="193">
        <f t="shared" si="39"/>
        <v>20052</v>
      </c>
      <c r="F92" s="193">
        <f t="shared" si="37"/>
        <v>1263276</v>
      </c>
      <c r="G92" s="193">
        <v>13514</v>
      </c>
      <c r="H92" s="193">
        <f t="shared" si="40"/>
        <v>851382</v>
      </c>
      <c r="I92" s="193">
        <v>6135</v>
      </c>
      <c r="J92" s="193">
        <f t="shared" si="41"/>
        <v>386505</v>
      </c>
      <c r="K92" s="193">
        <v>403</v>
      </c>
      <c r="L92" s="193">
        <f t="shared" si="42"/>
        <v>25389</v>
      </c>
      <c r="M92" s="193"/>
      <c r="N92" s="193"/>
      <c r="O92" s="221">
        <f t="shared" si="33"/>
        <v>0</v>
      </c>
      <c r="P92" s="193"/>
      <c r="Q92" s="193">
        <f t="shared" si="34"/>
        <v>0</v>
      </c>
      <c r="R92" s="221">
        <f t="shared" si="35"/>
        <v>0</v>
      </c>
      <c r="S92" s="193">
        <f t="shared" si="43"/>
        <v>0</v>
      </c>
      <c r="T92" s="193">
        <f t="shared" si="44"/>
        <v>0</v>
      </c>
      <c r="U92" s="193">
        <f t="shared" si="45"/>
        <v>0</v>
      </c>
      <c r="V92" s="193"/>
      <c r="W92" s="193"/>
      <c r="X92" s="221">
        <f t="shared" si="36"/>
        <v>0</v>
      </c>
      <c r="Y92" s="194"/>
      <c r="Z92" s="190" t="s">
        <v>2859</v>
      </c>
      <c r="AB92" s="190" t="s">
        <v>2285</v>
      </c>
      <c r="AC92" s="190" t="s">
        <v>2859</v>
      </c>
      <c r="AD92" s="190" t="s">
        <v>2053</v>
      </c>
      <c r="AF92" s="190" t="s">
        <v>1314</v>
      </c>
      <c r="BU92" s="195" t="str">
        <f>HYPERLINK("#일위대가목록!A28","K2040240 →")</f>
        <v>K2040240 →</v>
      </c>
      <c r="CA92" s="190">
        <v>23336</v>
      </c>
      <c r="CB92" s="190">
        <v>396712</v>
      </c>
      <c r="CC92" s="190">
        <v>15726</v>
      </c>
      <c r="CD92" s="190">
        <v>267342</v>
      </c>
      <c r="CE92" s="190">
        <v>7140</v>
      </c>
      <c r="CF92" s="190">
        <v>121380</v>
      </c>
      <c r="CG92" s="190">
        <v>470</v>
      </c>
      <c r="CH92" s="190">
        <v>7990</v>
      </c>
      <c r="CI92" s="190" t="s">
        <v>2257</v>
      </c>
    </row>
    <row r="93" spans="1:87" s="190" customFormat="1" ht="20.100000000000001" customHeight="1" x14ac:dyDescent="0.15">
      <c r="A93" s="191" t="s">
        <v>2022</v>
      </c>
      <c r="B93" s="191" t="s">
        <v>1806</v>
      </c>
      <c r="C93" s="192" t="s">
        <v>2212</v>
      </c>
      <c r="D93" s="193">
        <v>27.27</v>
      </c>
      <c r="E93" s="193">
        <f t="shared" si="39"/>
        <v>17710</v>
      </c>
      <c r="F93" s="193">
        <f t="shared" si="37"/>
        <v>482951</v>
      </c>
      <c r="G93" s="193">
        <v>15568</v>
      </c>
      <c r="H93" s="193">
        <f t="shared" si="40"/>
        <v>424539</v>
      </c>
      <c r="I93" s="193">
        <v>1916</v>
      </c>
      <c r="J93" s="193">
        <f t="shared" si="41"/>
        <v>52249</v>
      </c>
      <c r="K93" s="193">
        <v>226</v>
      </c>
      <c r="L93" s="193">
        <f t="shared" si="42"/>
        <v>6163</v>
      </c>
      <c r="M93" s="193"/>
      <c r="N93" s="193"/>
      <c r="O93" s="221">
        <f t="shared" si="33"/>
        <v>0</v>
      </c>
      <c r="P93" s="193"/>
      <c r="Q93" s="193">
        <f t="shared" si="34"/>
        <v>0</v>
      </c>
      <c r="R93" s="221">
        <f t="shared" si="35"/>
        <v>0</v>
      </c>
      <c r="S93" s="193">
        <f t="shared" si="43"/>
        <v>0</v>
      </c>
      <c r="T93" s="193">
        <f t="shared" si="44"/>
        <v>0</v>
      </c>
      <c r="U93" s="193">
        <f t="shared" si="45"/>
        <v>0</v>
      </c>
      <c r="V93" s="193"/>
      <c r="W93" s="193"/>
      <c r="X93" s="221">
        <f t="shared" si="36"/>
        <v>0</v>
      </c>
      <c r="Y93" s="194"/>
      <c r="Z93" s="190" t="s">
        <v>2859</v>
      </c>
      <c r="AB93" s="190" t="s">
        <v>1601</v>
      </c>
      <c r="AC93" s="190" t="s">
        <v>2859</v>
      </c>
      <c r="AD93" s="190" t="s">
        <v>2025</v>
      </c>
      <c r="AF93" s="190" t="s">
        <v>1314</v>
      </c>
      <c r="BU93" s="195" t="str">
        <f>HYPERLINK("#일위대가목록!A29","K7011011 →")</f>
        <v>K7011011 →</v>
      </c>
      <c r="CA93" s="190">
        <v>20610</v>
      </c>
      <c r="CB93" s="190">
        <v>1422090</v>
      </c>
      <c r="CC93" s="190">
        <v>18116</v>
      </c>
      <c r="CD93" s="190">
        <v>1250004</v>
      </c>
      <c r="CE93" s="190">
        <v>2230</v>
      </c>
      <c r="CF93" s="190">
        <v>153870</v>
      </c>
      <c r="CG93" s="190">
        <v>264</v>
      </c>
      <c r="CH93" s="190">
        <v>18216</v>
      </c>
      <c r="CI93" s="190" t="s">
        <v>1064</v>
      </c>
    </row>
    <row r="94" spans="1:87" s="190" customFormat="1" ht="20.100000000000001" customHeight="1" x14ac:dyDescent="0.15">
      <c r="A94" s="191" t="s">
        <v>2298</v>
      </c>
      <c r="B94" s="191" t="s">
        <v>1806</v>
      </c>
      <c r="C94" s="192" t="s">
        <v>2212</v>
      </c>
      <c r="D94" s="193">
        <v>60.980000000000004</v>
      </c>
      <c r="E94" s="193">
        <f t="shared" si="39"/>
        <v>28100</v>
      </c>
      <c r="F94" s="193">
        <f t="shared" si="37"/>
        <v>1713537</v>
      </c>
      <c r="G94" s="193">
        <v>16246</v>
      </c>
      <c r="H94" s="193">
        <f t="shared" si="40"/>
        <v>990681</v>
      </c>
      <c r="I94" s="193">
        <v>10598</v>
      </c>
      <c r="J94" s="193">
        <f t="shared" si="41"/>
        <v>646266</v>
      </c>
      <c r="K94" s="193">
        <v>1256</v>
      </c>
      <c r="L94" s="193">
        <f t="shared" si="42"/>
        <v>76590</v>
      </c>
      <c r="M94" s="193"/>
      <c r="N94" s="193"/>
      <c r="O94" s="221">
        <f t="shared" si="33"/>
        <v>0</v>
      </c>
      <c r="P94" s="193"/>
      <c r="Q94" s="193">
        <f t="shared" si="34"/>
        <v>0</v>
      </c>
      <c r="R94" s="221">
        <f t="shared" si="35"/>
        <v>0</v>
      </c>
      <c r="S94" s="193">
        <f t="shared" si="43"/>
        <v>0</v>
      </c>
      <c r="T94" s="193">
        <f t="shared" si="44"/>
        <v>0</v>
      </c>
      <c r="U94" s="193">
        <f t="shared" si="45"/>
        <v>0</v>
      </c>
      <c r="V94" s="193"/>
      <c r="W94" s="193"/>
      <c r="X94" s="221">
        <f t="shared" si="36"/>
        <v>0</v>
      </c>
      <c r="Y94" s="194"/>
      <c r="Z94" s="190" t="s">
        <v>2859</v>
      </c>
      <c r="AB94" s="190" t="s">
        <v>800</v>
      </c>
      <c r="AC94" s="190" t="s">
        <v>2859</v>
      </c>
      <c r="AD94" s="190" t="s">
        <v>554</v>
      </c>
      <c r="AF94" s="190" t="s">
        <v>1314</v>
      </c>
      <c r="BU94" s="195" t="str">
        <f>HYPERLINK("#일위대가목록!A30","K7011031 →")</f>
        <v>K7011031 →</v>
      </c>
      <c r="CA94" s="190">
        <v>32701</v>
      </c>
      <c r="CB94" s="190">
        <v>65402</v>
      </c>
      <c r="CC94" s="190">
        <v>18906</v>
      </c>
      <c r="CD94" s="190">
        <v>37812</v>
      </c>
      <c r="CE94" s="190">
        <v>12333</v>
      </c>
      <c r="CF94" s="190">
        <v>24666</v>
      </c>
      <c r="CG94" s="190">
        <v>1462</v>
      </c>
      <c r="CH94" s="190">
        <v>2924</v>
      </c>
      <c r="CI94" s="190" t="s">
        <v>2250</v>
      </c>
    </row>
    <row r="95" spans="1:87" s="190" customFormat="1" ht="20.100000000000001" customHeight="1" x14ac:dyDescent="0.15">
      <c r="A95" s="191" t="s">
        <v>1180</v>
      </c>
      <c r="B95" s="191" t="s">
        <v>2859</v>
      </c>
      <c r="C95" s="192" t="s">
        <v>2859</v>
      </c>
      <c r="D95" s="193"/>
      <c r="E95" s="193">
        <f t="shared" si="39"/>
        <v>0</v>
      </c>
      <c r="F95" s="193">
        <f t="shared" si="37"/>
        <v>0</v>
      </c>
      <c r="G95" s="196"/>
      <c r="H95" s="193">
        <v>0</v>
      </c>
      <c r="I95" s="196"/>
      <c r="J95" s="193">
        <v>0</v>
      </c>
      <c r="K95" s="196"/>
      <c r="L95" s="193">
        <v>0</v>
      </c>
      <c r="M95" s="193"/>
      <c r="N95" s="193"/>
      <c r="O95" s="221">
        <f t="shared" si="33"/>
        <v>0</v>
      </c>
      <c r="P95" s="193"/>
      <c r="Q95" s="193">
        <f t="shared" si="34"/>
        <v>0</v>
      </c>
      <c r="R95" s="221">
        <f t="shared" si="35"/>
        <v>0</v>
      </c>
      <c r="S95" s="193"/>
      <c r="T95" s="193"/>
      <c r="U95" s="193"/>
      <c r="V95" s="193"/>
      <c r="W95" s="193"/>
      <c r="X95" s="221">
        <f t="shared" si="36"/>
        <v>0</v>
      </c>
      <c r="Y95" s="194"/>
      <c r="Z95" s="190" t="s">
        <v>2859</v>
      </c>
      <c r="AB95" s="190" t="s">
        <v>97</v>
      </c>
      <c r="AC95" s="190" t="s">
        <v>2859</v>
      </c>
      <c r="AD95" s="190" t="s">
        <v>2859</v>
      </c>
      <c r="CA95" s="190">
        <v>0</v>
      </c>
      <c r="CB95" s="190">
        <v>0</v>
      </c>
      <c r="CD95" s="190">
        <v>0</v>
      </c>
      <c r="CF95" s="190">
        <v>0</v>
      </c>
      <c r="CH95" s="190">
        <v>0</v>
      </c>
      <c r="CI95" s="190" t="s">
        <v>2859</v>
      </c>
    </row>
    <row r="96" spans="1:87" s="190" customFormat="1" ht="20.100000000000001" customHeight="1" x14ac:dyDescent="0.15">
      <c r="A96" s="198" t="s">
        <v>2318</v>
      </c>
      <c r="B96" s="198" t="s">
        <v>2859</v>
      </c>
      <c r="C96" s="199" t="s">
        <v>2293</v>
      </c>
      <c r="D96" s="188">
        <v>1</v>
      </c>
      <c r="E96" s="200"/>
      <c r="F96" s="188">
        <f t="shared" si="37"/>
        <v>49834383</v>
      </c>
      <c r="G96" s="200"/>
      <c r="H96" s="188">
        <f>TRUNC(H97+H98+H99+H100+H101+H102+H103+H104+H105,0)</f>
        <v>179000</v>
      </c>
      <c r="I96" s="200"/>
      <c r="J96" s="188">
        <f>TRUNC(J97+J98+J99+J100+J101+J102+J103+J104+J105,0)</f>
        <v>17049000</v>
      </c>
      <c r="K96" s="200"/>
      <c r="L96" s="188">
        <f>TRUNC(L97+L98+L99+L100+L101+L102+L103+L104+L105,0)</f>
        <v>32606383</v>
      </c>
      <c r="M96" s="188"/>
      <c r="N96" s="188"/>
      <c r="O96" s="223">
        <f t="shared" si="33"/>
        <v>0</v>
      </c>
      <c r="P96" s="188"/>
      <c r="Q96" s="188">
        <f t="shared" si="34"/>
        <v>33304440</v>
      </c>
      <c r="R96" s="223">
        <f t="shared" si="35"/>
        <v>0.66830244492040769</v>
      </c>
      <c r="S96" s="188">
        <f t="shared" ref="S96:U96" si="46">TRUNC(S97+S98+S99+S100+S101+S102+S103+S104+S105,0)</f>
        <v>132460</v>
      </c>
      <c r="T96" s="188">
        <f t="shared" si="46"/>
        <v>12616260</v>
      </c>
      <c r="U96" s="188">
        <f t="shared" si="46"/>
        <v>20555720</v>
      </c>
      <c r="V96" s="188"/>
      <c r="W96" s="188"/>
      <c r="X96" s="223">
        <f t="shared" si="36"/>
        <v>0</v>
      </c>
      <c r="Y96" s="189"/>
      <c r="Z96" s="190" t="s">
        <v>2859</v>
      </c>
      <c r="AA96" s="190" t="s">
        <v>1041</v>
      </c>
      <c r="CB96" s="190">
        <v>70878743</v>
      </c>
      <c r="CD96" s="190">
        <v>0</v>
      </c>
      <c r="CF96" s="190">
        <v>0</v>
      </c>
      <c r="CH96" s="190">
        <v>70878743</v>
      </c>
      <c r="CI96" s="190" t="s">
        <v>2859</v>
      </c>
    </row>
    <row r="97" spans="1:87" s="190" customFormat="1" ht="20.100000000000001" customHeight="1" x14ac:dyDescent="0.15">
      <c r="A97" s="191" t="s">
        <v>2226</v>
      </c>
      <c r="B97" s="191" t="s">
        <v>2859</v>
      </c>
      <c r="C97" s="192" t="s">
        <v>2293</v>
      </c>
      <c r="D97" s="193">
        <v>1</v>
      </c>
      <c r="E97" s="193">
        <f t="shared" ref="E97:E106" si="47">G97+I97+K97</f>
        <v>1728255</v>
      </c>
      <c r="F97" s="193">
        <f t="shared" si="37"/>
        <v>1728255</v>
      </c>
      <c r="G97" s="193">
        <v>0</v>
      </c>
      <c r="H97" s="193">
        <f t="shared" ref="H97:H104" si="48">TRUNC(G97*D97,0)</f>
        <v>0</v>
      </c>
      <c r="I97" s="193">
        <v>0</v>
      </c>
      <c r="J97" s="193">
        <f t="shared" ref="J97:J104" si="49">TRUNC(I97*D97,0)</f>
        <v>0</v>
      </c>
      <c r="K97" s="193">
        <v>1728255</v>
      </c>
      <c r="L97" s="193">
        <f t="shared" ref="L97:L104" si="50">TRUNC(K97*D97,0)</f>
        <v>1728255</v>
      </c>
      <c r="M97" s="193"/>
      <c r="N97" s="193"/>
      <c r="O97" s="221">
        <f t="shared" si="33"/>
        <v>0</v>
      </c>
      <c r="P97" s="193"/>
      <c r="Q97" s="193">
        <f t="shared" si="34"/>
        <v>0</v>
      </c>
      <c r="R97" s="221">
        <f t="shared" si="35"/>
        <v>0</v>
      </c>
      <c r="S97" s="193">
        <f t="shared" ref="S97:S106" si="51">TRUNC(G97*P97,0)</f>
        <v>0</v>
      </c>
      <c r="T97" s="193">
        <f t="shared" ref="T97:T106" si="52">TRUNC(I97*P97,0)</f>
        <v>0</v>
      </c>
      <c r="U97" s="193">
        <f t="shared" ref="U97:U106" si="53">TRUNC(K97*P97,0)</f>
        <v>0</v>
      </c>
      <c r="V97" s="193"/>
      <c r="W97" s="193"/>
      <c r="X97" s="221">
        <f t="shared" si="36"/>
        <v>0</v>
      </c>
      <c r="Y97" s="194"/>
      <c r="Z97" s="190" t="s">
        <v>2859</v>
      </c>
      <c r="AB97" s="190" t="s">
        <v>322</v>
      </c>
      <c r="AC97" s="190" t="s">
        <v>2859</v>
      </c>
      <c r="AD97" s="190" t="s">
        <v>422</v>
      </c>
      <c r="AF97" s="190" t="s">
        <v>1314</v>
      </c>
      <c r="BU97" s="195" t="str">
        <f>HYPERLINK("#일위대가목록!A31","K7011770-2 →")</f>
        <v>K7011770-2 →</v>
      </c>
      <c r="CA97" s="190">
        <v>2011105</v>
      </c>
      <c r="CB97" s="190">
        <v>2011105</v>
      </c>
      <c r="CC97" s="190">
        <v>0</v>
      </c>
      <c r="CD97" s="190">
        <v>0</v>
      </c>
      <c r="CE97" s="190">
        <v>0</v>
      </c>
      <c r="CF97" s="190">
        <v>0</v>
      </c>
      <c r="CG97" s="190">
        <v>2011105</v>
      </c>
      <c r="CH97" s="190">
        <v>2011105</v>
      </c>
      <c r="CI97" s="190" t="s">
        <v>1913</v>
      </c>
    </row>
    <row r="98" spans="1:87" s="190" customFormat="1" ht="20.100000000000001" customHeight="1" x14ac:dyDescent="0.15">
      <c r="A98" s="191" t="s">
        <v>689</v>
      </c>
      <c r="B98" s="191" t="s">
        <v>2026</v>
      </c>
      <c r="C98" s="192" t="s">
        <v>2471</v>
      </c>
      <c r="D98" s="193">
        <v>7.1149999999999993</v>
      </c>
      <c r="E98" s="193">
        <f t="shared" si="47"/>
        <v>136869</v>
      </c>
      <c r="F98" s="193">
        <f t="shared" si="37"/>
        <v>973822</v>
      </c>
      <c r="G98" s="193">
        <v>0</v>
      </c>
      <c r="H98" s="193">
        <f t="shared" si="48"/>
        <v>0</v>
      </c>
      <c r="I98" s="193">
        <v>0</v>
      </c>
      <c r="J98" s="193">
        <f t="shared" si="49"/>
        <v>0</v>
      </c>
      <c r="K98" s="193">
        <v>136869</v>
      </c>
      <c r="L98" s="193">
        <f t="shared" si="50"/>
        <v>973822</v>
      </c>
      <c r="M98" s="193"/>
      <c r="N98" s="193"/>
      <c r="O98" s="221">
        <f t="shared" si="33"/>
        <v>0</v>
      </c>
      <c r="P98" s="193"/>
      <c r="Q98" s="193">
        <f t="shared" si="34"/>
        <v>0</v>
      </c>
      <c r="R98" s="221">
        <f t="shared" si="35"/>
        <v>0</v>
      </c>
      <c r="S98" s="193">
        <f t="shared" si="51"/>
        <v>0</v>
      </c>
      <c r="T98" s="193">
        <f t="shared" si="52"/>
        <v>0</v>
      </c>
      <c r="U98" s="193">
        <f t="shared" si="53"/>
        <v>0</v>
      </c>
      <c r="V98" s="193"/>
      <c r="W98" s="193"/>
      <c r="X98" s="221">
        <f t="shared" si="36"/>
        <v>0</v>
      </c>
      <c r="Y98" s="194"/>
      <c r="Z98" s="190" t="s">
        <v>2859</v>
      </c>
      <c r="AB98" s="190" t="s">
        <v>2491</v>
      </c>
      <c r="AC98" s="190" t="s">
        <v>2859</v>
      </c>
      <c r="AD98" s="190" t="s">
        <v>957</v>
      </c>
      <c r="BU98" s="195" t="str">
        <f>HYPERLINK("#경비!A3","GS012 →")</f>
        <v>GS012 →</v>
      </c>
      <c r="CA98" s="190">
        <v>159270</v>
      </c>
      <c r="CB98" s="190">
        <v>1298369</v>
      </c>
      <c r="CC98" s="190">
        <v>0</v>
      </c>
      <c r="CD98" s="190">
        <v>0</v>
      </c>
      <c r="CE98" s="190">
        <v>0</v>
      </c>
      <c r="CF98" s="190">
        <v>0</v>
      </c>
      <c r="CG98" s="190">
        <v>159270</v>
      </c>
      <c r="CH98" s="190">
        <v>1298369</v>
      </c>
      <c r="CI98" s="190" t="s">
        <v>957</v>
      </c>
    </row>
    <row r="99" spans="1:87" s="190" customFormat="1" ht="20.100000000000001" customHeight="1" x14ac:dyDescent="0.15">
      <c r="A99" s="191" t="s">
        <v>1004</v>
      </c>
      <c r="B99" s="191" t="s">
        <v>2859</v>
      </c>
      <c r="C99" s="192" t="s">
        <v>2471</v>
      </c>
      <c r="D99" s="193">
        <v>7.1149999999999993</v>
      </c>
      <c r="E99" s="193">
        <f t="shared" si="47"/>
        <v>1481</v>
      </c>
      <c r="F99" s="193">
        <f t="shared" si="37"/>
        <v>10537</v>
      </c>
      <c r="G99" s="193">
        <v>0</v>
      </c>
      <c r="H99" s="193">
        <f t="shared" si="48"/>
        <v>0</v>
      </c>
      <c r="I99" s="193">
        <v>0</v>
      </c>
      <c r="J99" s="193">
        <f t="shared" si="49"/>
        <v>0</v>
      </c>
      <c r="K99" s="193">
        <v>1481</v>
      </c>
      <c r="L99" s="193">
        <f t="shared" si="50"/>
        <v>10537</v>
      </c>
      <c r="M99" s="193"/>
      <c r="N99" s="193"/>
      <c r="O99" s="221">
        <f t="shared" si="33"/>
        <v>0</v>
      </c>
      <c r="P99" s="193"/>
      <c r="Q99" s="193">
        <f t="shared" si="34"/>
        <v>0</v>
      </c>
      <c r="R99" s="221">
        <f t="shared" si="35"/>
        <v>0</v>
      </c>
      <c r="S99" s="193">
        <f t="shared" si="51"/>
        <v>0</v>
      </c>
      <c r="T99" s="193">
        <f t="shared" si="52"/>
        <v>0</v>
      </c>
      <c r="U99" s="193">
        <f t="shared" si="53"/>
        <v>0</v>
      </c>
      <c r="V99" s="193"/>
      <c r="W99" s="193"/>
      <c r="X99" s="221">
        <f t="shared" si="36"/>
        <v>0</v>
      </c>
      <c r="Y99" s="194"/>
      <c r="Z99" s="190" t="s">
        <v>2859</v>
      </c>
      <c r="AB99" s="190" t="s">
        <v>1745</v>
      </c>
      <c r="AC99" s="190" t="s">
        <v>2859</v>
      </c>
      <c r="AD99" s="190" t="s">
        <v>1687</v>
      </c>
      <c r="BU99" s="195" t="str">
        <f>HYPERLINK("#경비!A4","GS1000 →")</f>
        <v>GS1000 →</v>
      </c>
      <c r="CA99" s="190">
        <v>1723.91</v>
      </c>
      <c r="CB99" s="190">
        <v>14053</v>
      </c>
      <c r="CC99" s="190">
        <v>0</v>
      </c>
      <c r="CD99" s="190">
        <v>0</v>
      </c>
      <c r="CE99" s="190">
        <v>0</v>
      </c>
      <c r="CF99" s="190">
        <v>0</v>
      </c>
      <c r="CG99" s="190">
        <v>1723.91</v>
      </c>
      <c r="CH99" s="190">
        <v>14053</v>
      </c>
      <c r="CI99" s="190" t="s">
        <v>1687</v>
      </c>
    </row>
    <row r="100" spans="1:87" s="190" customFormat="1" ht="20.100000000000001" customHeight="1" x14ac:dyDescent="0.15">
      <c r="A100" s="191" t="s">
        <v>1657</v>
      </c>
      <c r="B100" s="191" t="s">
        <v>2859</v>
      </c>
      <c r="C100" s="192" t="s">
        <v>2471</v>
      </c>
      <c r="D100" s="193">
        <v>32.32</v>
      </c>
      <c r="E100" s="193">
        <f t="shared" si="47"/>
        <v>1481</v>
      </c>
      <c r="F100" s="193">
        <f t="shared" si="37"/>
        <v>47865</v>
      </c>
      <c r="G100" s="193">
        <v>0</v>
      </c>
      <c r="H100" s="193">
        <f t="shared" si="48"/>
        <v>0</v>
      </c>
      <c r="I100" s="193">
        <v>0</v>
      </c>
      <c r="J100" s="193">
        <f t="shared" si="49"/>
        <v>0</v>
      </c>
      <c r="K100" s="193">
        <v>1481</v>
      </c>
      <c r="L100" s="193">
        <f t="shared" si="50"/>
        <v>47865</v>
      </c>
      <c r="M100" s="193"/>
      <c r="N100" s="193"/>
      <c r="O100" s="221">
        <f t="shared" si="33"/>
        <v>0</v>
      </c>
      <c r="P100" s="193"/>
      <c r="Q100" s="193">
        <f t="shared" si="34"/>
        <v>0</v>
      </c>
      <c r="R100" s="221">
        <f t="shared" si="35"/>
        <v>0</v>
      </c>
      <c r="S100" s="193">
        <f t="shared" si="51"/>
        <v>0</v>
      </c>
      <c r="T100" s="193">
        <f t="shared" si="52"/>
        <v>0</v>
      </c>
      <c r="U100" s="193">
        <f t="shared" si="53"/>
        <v>0</v>
      </c>
      <c r="V100" s="193"/>
      <c r="W100" s="193"/>
      <c r="X100" s="221">
        <f t="shared" si="36"/>
        <v>0</v>
      </c>
      <c r="Y100" s="194"/>
      <c r="Z100" s="190" t="s">
        <v>2859</v>
      </c>
      <c r="AB100" s="190" t="s">
        <v>1030</v>
      </c>
      <c r="AC100" s="190" t="s">
        <v>2859</v>
      </c>
      <c r="AD100" s="190" t="s">
        <v>1687</v>
      </c>
      <c r="BU100" s="195" t="str">
        <f>HYPERLINK("#경비!A4","GS1000 →")</f>
        <v>GS1000 →</v>
      </c>
      <c r="CA100" s="190">
        <v>1723.91</v>
      </c>
      <c r="CB100" s="190">
        <v>78282</v>
      </c>
      <c r="CC100" s="190">
        <v>0</v>
      </c>
      <c r="CD100" s="190">
        <v>0</v>
      </c>
      <c r="CE100" s="190">
        <v>0</v>
      </c>
      <c r="CF100" s="190">
        <v>0</v>
      </c>
      <c r="CG100" s="190">
        <v>1723.91</v>
      </c>
      <c r="CH100" s="190">
        <v>78282</v>
      </c>
      <c r="CI100" s="190" t="s">
        <v>1687</v>
      </c>
    </row>
    <row r="101" spans="1:87" s="190" customFormat="1" ht="20.100000000000001" customHeight="1" x14ac:dyDescent="0.15">
      <c r="A101" s="191" t="s">
        <v>2599</v>
      </c>
      <c r="B101" s="191" t="s">
        <v>1146</v>
      </c>
      <c r="C101" s="192" t="s">
        <v>2293</v>
      </c>
      <c r="D101" s="193">
        <v>1</v>
      </c>
      <c r="E101" s="193">
        <f t="shared" si="47"/>
        <v>1074740</v>
      </c>
      <c r="F101" s="193">
        <f t="shared" si="37"/>
        <v>1074740</v>
      </c>
      <c r="G101" s="193">
        <v>0</v>
      </c>
      <c r="H101" s="193">
        <f t="shared" si="48"/>
        <v>0</v>
      </c>
      <c r="I101" s="193">
        <v>0</v>
      </c>
      <c r="J101" s="193">
        <f t="shared" si="49"/>
        <v>0</v>
      </c>
      <c r="K101" s="193">
        <v>1074740</v>
      </c>
      <c r="L101" s="193">
        <f t="shared" si="50"/>
        <v>1074740</v>
      </c>
      <c r="M101" s="193"/>
      <c r="N101" s="193"/>
      <c r="O101" s="221">
        <f t="shared" si="33"/>
        <v>0</v>
      </c>
      <c r="P101" s="193"/>
      <c r="Q101" s="193">
        <f t="shared" si="34"/>
        <v>0</v>
      </c>
      <c r="R101" s="221">
        <f t="shared" si="35"/>
        <v>0</v>
      </c>
      <c r="S101" s="193">
        <f t="shared" si="51"/>
        <v>0</v>
      </c>
      <c r="T101" s="193">
        <f t="shared" si="52"/>
        <v>0</v>
      </c>
      <c r="U101" s="193">
        <f t="shared" si="53"/>
        <v>0</v>
      </c>
      <c r="V101" s="193"/>
      <c r="W101" s="193"/>
      <c r="X101" s="221">
        <f t="shared" si="36"/>
        <v>0</v>
      </c>
      <c r="Y101" s="194"/>
      <c r="Z101" s="190" t="s">
        <v>2859</v>
      </c>
      <c r="AB101" s="190" t="s">
        <v>2435</v>
      </c>
      <c r="AC101" s="190" t="s">
        <v>2859</v>
      </c>
      <c r="AD101" s="190" t="s">
        <v>1223</v>
      </c>
      <c r="AF101" s="190" t="s">
        <v>2417</v>
      </c>
      <c r="BU101" s="195" t="str">
        <f>HYPERLINK("#일위대가목록!A37","SF00300 →")</f>
        <v>SF00300 →</v>
      </c>
      <c r="CA101" s="190">
        <v>1250635</v>
      </c>
      <c r="CB101" s="190">
        <v>1250635</v>
      </c>
      <c r="CC101" s="190">
        <v>0</v>
      </c>
      <c r="CD101" s="190">
        <v>0</v>
      </c>
      <c r="CE101" s="190">
        <v>0</v>
      </c>
      <c r="CF101" s="190">
        <v>0</v>
      </c>
      <c r="CG101" s="190">
        <v>1250635</v>
      </c>
      <c r="CH101" s="190">
        <v>1250635</v>
      </c>
      <c r="CI101" s="190" t="s">
        <v>759</v>
      </c>
    </row>
    <row r="102" spans="1:87" s="190" customFormat="1" ht="20.100000000000001" customHeight="1" x14ac:dyDescent="0.15">
      <c r="A102" s="191" t="s">
        <v>1602</v>
      </c>
      <c r="B102" s="191" t="s">
        <v>1146</v>
      </c>
      <c r="C102" s="192" t="s">
        <v>2293</v>
      </c>
      <c r="D102" s="193">
        <v>1</v>
      </c>
      <c r="E102" s="193">
        <f t="shared" si="47"/>
        <v>993164</v>
      </c>
      <c r="F102" s="193">
        <f t="shared" si="37"/>
        <v>993164</v>
      </c>
      <c r="G102" s="193">
        <v>0</v>
      </c>
      <c r="H102" s="193">
        <f t="shared" si="48"/>
        <v>0</v>
      </c>
      <c r="I102" s="193">
        <v>0</v>
      </c>
      <c r="J102" s="193">
        <f t="shared" si="49"/>
        <v>0</v>
      </c>
      <c r="K102" s="193">
        <v>993164</v>
      </c>
      <c r="L102" s="193">
        <f t="shared" si="50"/>
        <v>993164</v>
      </c>
      <c r="M102" s="193"/>
      <c r="N102" s="193"/>
      <c r="O102" s="221">
        <f t="shared" si="33"/>
        <v>0</v>
      </c>
      <c r="P102" s="193"/>
      <c r="Q102" s="193">
        <f t="shared" si="34"/>
        <v>0</v>
      </c>
      <c r="R102" s="221">
        <f t="shared" si="35"/>
        <v>0</v>
      </c>
      <c r="S102" s="193">
        <f t="shared" si="51"/>
        <v>0</v>
      </c>
      <c r="T102" s="193">
        <f t="shared" si="52"/>
        <v>0</v>
      </c>
      <c r="U102" s="193">
        <f t="shared" si="53"/>
        <v>0</v>
      </c>
      <c r="V102" s="193"/>
      <c r="W102" s="193"/>
      <c r="X102" s="221">
        <f t="shared" si="36"/>
        <v>0</v>
      </c>
      <c r="Y102" s="194"/>
      <c r="Z102" s="190" t="s">
        <v>2859</v>
      </c>
      <c r="AB102" s="190" t="s">
        <v>1695</v>
      </c>
      <c r="AC102" s="190" t="s">
        <v>2859</v>
      </c>
      <c r="AD102" s="190" t="s">
        <v>2673</v>
      </c>
      <c r="AF102" s="190" t="s">
        <v>2417</v>
      </c>
      <c r="BU102" s="195" t="str">
        <f>HYPERLINK("#일위대가목록!A38","SF00400 →")</f>
        <v>SF00400 →</v>
      </c>
      <c r="CA102" s="190">
        <v>1155708</v>
      </c>
      <c r="CB102" s="190">
        <v>1155708</v>
      </c>
      <c r="CC102" s="190">
        <v>0</v>
      </c>
      <c r="CD102" s="190">
        <v>0</v>
      </c>
      <c r="CE102" s="190">
        <v>0</v>
      </c>
      <c r="CF102" s="190">
        <v>0</v>
      </c>
      <c r="CG102" s="190">
        <v>1155708</v>
      </c>
      <c r="CH102" s="190">
        <v>1155708</v>
      </c>
      <c r="CI102" s="190" t="s">
        <v>2352</v>
      </c>
    </row>
    <row r="103" spans="1:87" s="190" customFormat="1" ht="20.100000000000001" customHeight="1" x14ac:dyDescent="0.15">
      <c r="A103" s="191" t="s">
        <v>1780</v>
      </c>
      <c r="B103" s="191" t="s">
        <v>2859</v>
      </c>
      <c r="C103" s="192" t="s">
        <v>2293</v>
      </c>
      <c r="D103" s="193"/>
      <c r="E103" s="193">
        <f t="shared" si="47"/>
        <v>10267019</v>
      </c>
      <c r="F103" s="193">
        <f t="shared" si="37"/>
        <v>0</v>
      </c>
      <c r="G103" s="193">
        <v>0</v>
      </c>
      <c r="H103" s="193">
        <f t="shared" si="48"/>
        <v>0</v>
      </c>
      <c r="I103" s="193">
        <v>0</v>
      </c>
      <c r="J103" s="193">
        <f t="shared" si="49"/>
        <v>0</v>
      </c>
      <c r="K103" s="193">
        <v>10267019</v>
      </c>
      <c r="L103" s="193">
        <f t="shared" si="50"/>
        <v>0</v>
      </c>
      <c r="M103" s="193"/>
      <c r="N103" s="193"/>
      <c r="O103" s="221">
        <f t="shared" si="33"/>
        <v>0</v>
      </c>
      <c r="P103" s="193"/>
      <c r="Q103" s="193">
        <f t="shared" si="34"/>
        <v>0</v>
      </c>
      <c r="R103" s="221">
        <f t="shared" si="35"/>
        <v>0</v>
      </c>
      <c r="S103" s="193">
        <f t="shared" si="51"/>
        <v>0</v>
      </c>
      <c r="T103" s="193">
        <f t="shared" si="52"/>
        <v>0</v>
      </c>
      <c r="U103" s="193">
        <f t="shared" si="53"/>
        <v>0</v>
      </c>
      <c r="V103" s="193"/>
      <c r="W103" s="193"/>
      <c r="X103" s="221">
        <f t="shared" si="36"/>
        <v>0</v>
      </c>
      <c r="Y103" s="194"/>
      <c r="Z103" s="190" t="s">
        <v>2182</v>
      </c>
      <c r="AB103" s="190" t="s">
        <v>214</v>
      </c>
      <c r="AC103" s="190" t="s">
        <v>2859</v>
      </c>
      <c r="AD103" s="190" t="s">
        <v>2391</v>
      </c>
      <c r="AF103" s="190" t="s">
        <v>1773</v>
      </c>
      <c r="BU103" s="195" t="str">
        <f>HYPERLINK("#일위대가목록!A72","WD25D000 →")</f>
        <v>WD25D000 →</v>
      </c>
      <c r="CA103" s="190">
        <v>11947341</v>
      </c>
      <c r="CB103" s="190">
        <v>11947341</v>
      </c>
      <c r="CC103" s="190">
        <v>0</v>
      </c>
      <c r="CD103" s="190">
        <v>0</v>
      </c>
      <c r="CE103" s="190">
        <v>0</v>
      </c>
      <c r="CF103" s="190">
        <v>0</v>
      </c>
      <c r="CG103" s="190">
        <v>11947341</v>
      </c>
      <c r="CH103" s="190">
        <v>11947341</v>
      </c>
      <c r="CI103" s="190" t="s">
        <v>618</v>
      </c>
    </row>
    <row r="104" spans="1:87" s="190" customFormat="1" ht="20.100000000000001" customHeight="1" x14ac:dyDescent="0.15">
      <c r="A104" s="191" t="s">
        <v>1274</v>
      </c>
      <c r="B104" s="191" t="s">
        <v>532</v>
      </c>
      <c r="C104" s="192" t="s">
        <v>1678</v>
      </c>
      <c r="D104" s="193"/>
      <c r="E104" s="193">
        <f t="shared" si="47"/>
        <v>62195</v>
      </c>
      <c r="F104" s="193">
        <f t="shared" si="37"/>
        <v>0</v>
      </c>
      <c r="G104" s="193">
        <v>0</v>
      </c>
      <c r="H104" s="193">
        <f t="shared" si="48"/>
        <v>0</v>
      </c>
      <c r="I104" s="193">
        <v>0</v>
      </c>
      <c r="J104" s="193">
        <f t="shared" si="49"/>
        <v>0</v>
      </c>
      <c r="K104" s="193">
        <v>62195</v>
      </c>
      <c r="L104" s="193">
        <f t="shared" si="50"/>
        <v>0</v>
      </c>
      <c r="M104" s="193"/>
      <c r="N104" s="193"/>
      <c r="O104" s="221">
        <f t="shared" si="33"/>
        <v>0</v>
      </c>
      <c r="P104" s="193"/>
      <c r="Q104" s="193">
        <f t="shared" si="34"/>
        <v>0</v>
      </c>
      <c r="R104" s="221">
        <f t="shared" si="35"/>
        <v>0</v>
      </c>
      <c r="S104" s="193">
        <f t="shared" si="51"/>
        <v>0</v>
      </c>
      <c r="T104" s="193">
        <f t="shared" si="52"/>
        <v>0</v>
      </c>
      <c r="U104" s="193">
        <f t="shared" si="53"/>
        <v>0</v>
      </c>
      <c r="V104" s="193"/>
      <c r="W104" s="193"/>
      <c r="X104" s="221">
        <f t="shared" si="36"/>
        <v>0</v>
      </c>
      <c r="Y104" s="194"/>
      <c r="Z104" s="190" t="s">
        <v>2859</v>
      </c>
      <c r="AB104" s="190" t="s">
        <v>945</v>
      </c>
      <c r="AC104" s="190" t="s">
        <v>2859</v>
      </c>
      <c r="AD104" s="190" t="s">
        <v>764</v>
      </c>
      <c r="AF104" s="190" t="s">
        <v>2417</v>
      </c>
      <c r="BU104" s="195" t="str">
        <f>HYPERLINK("#일위대가목록!A39","SF031050 →")</f>
        <v>SF031050 →</v>
      </c>
      <c r="CA104" s="190">
        <v>72375</v>
      </c>
      <c r="CB104" s="190">
        <v>53123250</v>
      </c>
      <c r="CC104" s="190">
        <v>0</v>
      </c>
      <c r="CD104" s="190">
        <v>0</v>
      </c>
      <c r="CE104" s="190">
        <v>0</v>
      </c>
      <c r="CF104" s="190">
        <v>0</v>
      </c>
      <c r="CG104" s="190">
        <v>72375</v>
      </c>
      <c r="CH104" s="190">
        <v>53123250</v>
      </c>
      <c r="CI104" s="190" t="s">
        <v>1201</v>
      </c>
    </row>
    <row r="105" spans="1:87" s="190" customFormat="1" ht="20.100000000000001" customHeight="1" x14ac:dyDescent="0.15">
      <c r="A105" s="191" t="s">
        <v>3205</v>
      </c>
      <c r="B105" s="191" t="s">
        <v>3204</v>
      </c>
      <c r="C105" s="192" t="s">
        <v>1678</v>
      </c>
      <c r="D105" s="193">
        <v>500</v>
      </c>
      <c r="E105" s="193">
        <f>G105+I105+K105</f>
        <v>90012</v>
      </c>
      <c r="F105" s="193">
        <f>H105+J105+L105</f>
        <v>45006000</v>
      </c>
      <c r="G105" s="193">
        <v>358</v>
      </c>
      <c r="H105" s="193">
        <f t="shared" ref="H105" si="54">TRUNC(G105*D105,0)</f>
        <v>179000</v>
      </c>
      <c r="I105" s="193">
        <v>34098</v>
      </c>
      <c r="J105" s="193">
        <f t="shared" ref="J105" si="55">TRUNC(I105*D105,0)</f>
        <v>17049000</v>
      </c>
      <c r="K105" s="193">
        <v>55556</v>
      </c>
      <c r="L105" s="193">
        <f>TRUNC(K105*D105,0)</f>
        <v>27778000</v>
      </c>
      <c r="M105" s="193"/>
      <c r="N105" s="193"/>
      <c r="O105" s="221">
        <f t="shared" si="33"/>
        <v>0</v>
      </c>
      <c r="P105" s="193">
        <v>370</v>
      </c>
      <c r="Q105" s="193">
        <f t="shared" si="34"/>
        <v>33304440</v>
      </c>
      <c r="R105" s="221">
        <f t="shared" si="35"/>
        <v>0.74</v>
      </c>
      <c r="S105" s="193">
        <f t="shared" si="51"/>
        <v>132460</v>
      </c>
      <c r="T105" s="193">
        <f t="shared" si="52"/>
        <v>12616260</v>
      </c>
      <c r="U105" s="193">
        <f t="shared" si="53"/>
        <v>20555720</v>
      </c>
      <c r="V105" s="193"/>
      <c r="W105" s="193"/>
      <c r="X105" s="221">
        <f t="shared" si="36"/>
        <v>0</v>
      </c>
      <c r="Y105" s="194"/>
      <c r="BU105" s="195"/>
    </row>
    <row r="106" spans="1:87" s="190" customFormat="1" ht="20.100000000000001" customHeight="1" x14ac:dyDescent="0.15">
      <c r="A106" s="191" t="s">
        <v>1180</v>
      </c>
      <c r="B106" s="191" t="s">
        <v>2859</v>
      </c>
      <c r="C106" s="192" t="s">
        <v>2859</v>
      </c>
      <c r="D106" s="193"/>
      <c r="E106" s="193">
        <f t="shared" si="47"/>
        <v>0</v>
      </c>
      <c r="F106" s="193">
        <f t="shared" si="37"/>
        <v>0</v>
      </c>
      <c r="G106" s="196"/>
      <c r="H106" s="193">
        <v>0</v>
      </c>
      <c r="I106" s="196"/>
      <c r="J106" s="193">
        <v>0</v>
      </c>
      <c r="K106" s="196"/>
      <c r="L106" s="193">
        <v>0</v>
      </c>
      <c r="M106" s="193"/>
      <c r="N106" s="193"/>
      <c r="O106" s="221">
        <f t="shared" si="33"/>
        <v>0</v>
      </c>
      <c r="P106" s="193"/>
      <c r="Q106" s="193">
        <f t="shared" si="34"/>
        <v>0</v>
      </c>
      <c r="R106" s="221">
        <f t="shared" si="35"/>
        <v>0</v>
      </c>
      <c r="S106" s="193">
        <f t="shared" si="51"/>
        <v>0</v>
      </c>
      <c r="T106" s="193">
        <f t="shared" si="52"/>
        <v>0</v>
      </c>
      <c r="U106" s="193">
        <f t="shared" si="53"/>
        <v>0</v>
      </c>
      <c r="V106" s="193"/>
      <c r="W106" s="193"/>
      <c r="X106" s="221">
        <f t="shared" si="36"/>
        <v>0</v>
      </c>
      <c r="Y106" s="194"/>
      <c r="Z106" s="190" t="s">
        <v>2859</v>
      </c>
      <c r="AB106" s="190" t="s">
        <v>1683</v>
      </c>
      <c r="AC106" s="190" t="s">
        <v>2859</v>
      </c>
      <c r="AD106" s="190" t="s">
        <v>2859</v>
      </c>
      <c r="CA106" s="190">
        <v>0</v>
      </c>
      <c r="CB106" s="190">
        <v>0</v>
      </c>
      <c r="CD106" s="190">
        <v>0</v>
      </c>
      <c r="CF106" s="190">
        <v>0</v>
      </c>
      <c r="CH106" s="190">
        <v>0</v>
      </c>
      <c r="CI106" s="190" t="s">
        <v>2859</v>
      </c>
    </row>
    <row r="107" spans="1:87" s="190" customFormat="1" ht="20.100000000000001" customHeight="1" x14ac:dyDescent="0.15">
      <c r="A107" s="206" t="s">
        <v>2392</v>
      </c>
      <c r="B107" s="198" t="s">
        <v>2859</v>
      </c>
      <c r="C107" s="199" t="s">
        <v>2293</v>
      </c>
      <c r="D107" s="188">
        <v>1</v>
      </c>
      <c r="E107" s="200"/>
      <c r="F107" s="188">
        <f t="shared" si="37"/>
        <v>87240000</v>
      </c>
      <c r="G107" s="200"/>
      <c r="H107" s="188">
        <f>TRUNC(H108+H109+H111+H112+H114+H115+H116+H118+H119+H120+H121+H123+H125+H126+H128+H130,0)</f>
        <v>86781280</v>
      </c>
      <c r="I107" s="200"/>
      <c r="J107" s="188">
        <f>TRUNC(J108+J109+J111+J112+J114+J115+J116+J118+J119+J120+J121+J123+J125+J126+J128+J130,0)</f>
        <v>0</v>
      </c>
      <c r="K107" s="200"/>
      <c r="L107" s="188">
        <f>TRUNC(L108+L109+L111+L112+L114+L115+L116+L118+L119+L120+L121+L123+L125+L126+L128+L130,0)</f>
        <v>458720</v>
      </c>
      <c r="M107" s="188"/>
      <c r="N107" s="188"/>
      <c r="O107" s="223">
        <f t="shared" si="33"/>
        <v>0</v>
      </c>
      <c r="P107" s="188"/>
      <c r="Q107" s="188">
        <f t="shared" si="34"/>
        <v>0</v>
      </c>
      <c r="R107" s="223">
        <f t="shared" si="35"/>
        <v>0</v>
      </c>
      <c r="S107" s="188">
        <f t="shared" ref="S107:U107" si="56">TRUNC(S108+S109+S111+S112+S114+S115+S116+S118+S119+S120+S121+S123+S125+S126+S128+S130,0)</f>
        <v>0</v>
      </c>
      <c r="T107" s="188">
        <f t="shared" si="56"/>
        <v>0</v>
      </c>
      <c r="U107" s="188">
        <f t="shared" si="56"/>
        <v>0</v>
      </c>
      <c r="V107" s="188"/>
      <c r="W107" s="188"/>
      <c r="X107" s="223">
        <f t="shared" si="36"/>
        <v>0</v>
      </c>
      <c r="Y107" s="189"/>
      <c r="Z107" s="190" t="s">
        <v>2859</v>
      </c>
      <c r="AA107" s="190" t="s">
        <v>2232</v>
      </c>
      <c r="CB107" s="190">
        <v>104870000</v>
      </c>
      <c r="CD107" s="190">
        <v>104311617</v>
      </c>
      <c r="CF107" s="190">
        <v>0</v>
      </c>
      <c r="CH107" s="190">
        <v>558383</v>
      </c>
      <c r="CI107" s="190" t="s">
        <v>2859</v>
      </c>
    </row>
    <row r="108" spans="1:87" s="190" customFormat="1" ht="20.100000000000001" customHeight="1" x14ac:dyDescent="0.15">
      <c r="A108" s="191" t="s">
        <v>1637</v>
      </c>
      <c r="B108" s="191" t="s">
        <v>277</v>
      </c>
      <c r="C108" s="192" t="s">
        <v>1085</v>
      </c>
      <c r="D108" s="193">
        <v>130</v>
      </c>
      <c r="E108" s="193">
        <f t="shared" ref="E108:E130" si="57">G108+I108+K108</f>
        <v>99810</v>
      </c>
      <c r="F108" s="193">
        <f t="shared" si="37"/>
        <v>12975300</v>
      </c>
      <c r="G108" s="193">
        <v>99810</v>
      </c>
      <c r="H108" s="193">
        <f>TRUNC(G108*D108,0)</f>
        <v>12975300</v>
      </c>
      <c r="I108" s="193">
        <v>0</v>
      </c>
      <c r="J108" s="193"/>
      <c r="K108" s="193">
        <v>0</v>
      </c>
      <c r="L108" s="193"/>
      <c r="M108" s="193"/>
      <c r="N108" s="193"/>
      <c r="O108" s="221">
        <f t="shared" si="33"/>
        <v>0</v>
      </c>
      <c r="P108" s="193"/>
      <c r="Q108" s="193">
        <f t="shared" si="34"/>
        <v>0</v>
      </c>
      <c r="R108" s="221">
        <f t="shared" si="35"/>
        <v>0</v>
      </c>
      <c r="S108" s="193">
        <f t="shared" ref="S108:S130" si="58">TRUNC(G108*P108,0)</f>
        <v>0</v>
      </c>
      <c r="T108" s="193">
        <f t="shared" ref="T108:T130" si="59">TRUNC(I108*P108,0)</f>
        <v>0</v>
      </c>
      <c r="U108" s="193">
        <f t="shared" ref="U108:U130" si="60">TRUNC(K108*P108,0)</f>
        <v>0</v>
      </c>
      <c r="V108" s="193"/>
      <c r="W108" s="193"/>
      <c r="X108" s="221">
        <f t="shared" si="36"/>
        <v>0</v>
      </c>
      <c r="Y108" s="194"/>
      <c r="Z108" s="190" t="s">
        <v>2859</v>
      </c>
      <c r="AB108" s="190" t="s">
        <v>322</v>
      </c>
      <c r="AC108" s="190" t="s">
        <v>2859</v>
      </c>
      <c r="AD108" s="190" t="s">
        <v>1286</v>
      </c>
      <c r="BU108" s="195" t="str">
        <f>HYPERLINK("#자재조서!A18","M0765245 →")</f>
        <v>M0765245 →</v>
      </c>
      <c r="CA108" s="190">
        <v>99810</v>
      </c>
      <c r="CB108" s="190">
        <v>13873590</v>
      </c>
      <c r="CC108" s="190">
        <v>99810</v>
      </c>
      <c r="CD108" s="190">
        <v>13873590</v>
      </c>
      <c r="CE108" s="190">
        <v>0</v>
      </c>
      <c r="CG108" s="190">
        <v>0</v>
      </c>
      <c r="CI108" s="190" t="s">
        <v>1286</v>
      </c>
    </row>
    <row r="109" spans="1:87" s="190" customFormat="1" ht="20.100000000000001" customHeight="1" x14ac:dyDescent="0.15">
      <c r="A109" s="191" t="s">
        <v>1637</v>
      </c>
      <c r="B109" s="191" t="s">
        <v>1287</v>
      </c>
      <c r="C109" s="192" t="s">
        <v>1085</v>
      </c>
      <c r="D109" s="193">
        <v>109</v>
      </c>
      <c r="E109" s="193">
        <f t="shared" si="57"/>
        <v>90880</v>
      </c>
      <c r="F109" s="193">
        <f t="shared" si="37"/>
        <v>9905920</v>
      </c>
      <c r="G109" s="193">
        <v>90880</v>
      </c>
      <c r="H109" s="193">
        <f>TRUNC(G109*D109,0)</f>
        <v>9905920</v>
      </c>
      <c r="I109" s="193">
        <v>0</v>
      </c>
      <c r="J109" s="193"/>
      <c r="K109" s="193">
        <v>0</v>
      </c>
      <c r="L109" s="193"/>
      <c r="M109" s="193"/>
      <c r="N109" s="193"/>
      <c r="O109" s="221">
        <f t="shared" si="33"/>
        <v>0</v>
      </c>
      <c r="P109" s="193"/>
      <c r="Q109" s="193">
        <f t="shared" si="34"/>
        <v>0</v>
      </c>
      <c r="R109" s="221">
        <f t="shared" si="35"/>
        <v>0</v>
      </c>
      <c r="S109" s="193">
        <f t="shared" si="58"/>
        <v>0</v>
      </c>
      <c r="T109" s="193">
        <f t="shared" si="59"/>
        <v>0</v>
      </c>
      <c r="U109" s="193">
        <f t="shared" si="60"/>
        <v>0</v>
      </c>
      <c r="V109" s="193"/>
      <c r="W109" s="193"/>
      <c r="X109" s="221">
        <f t="shared" si="36"/>
        <v>0</v>
      </c>
      <c r="Y109" s="194"/>
      <c r="Z109" s="190" t="s">
        <v>2859</v>
      </c>
      <c r="AB109" s="190" t="s">
        <v>2491</v>
      </c>
      <c r="AC109" s="190" t="s">
        <v>2859</v>
      </c>
      <c r="AD109" s="190" t="s">
        <v>584</v>
      </c>
      <c r="BU109" s="195" t="str">
        <f>HYPERLINK("#자재조서!A17","M0765215 →")</f>
        <v>M0765215 →</v>
      </c>
      <c r="CA109" s="190">
        <v>90880</v>
      </c>
      <c r="CB109" s="190">
        <v>17994240</v>
      </c>
      <c r="CC109" s="190">
        <v>90880</v>
      </c>
      <c r="CD109" s="190">
        <v>17994240</v>
      </c>
      <c r="CE109" s="190">
        <v>0</v>
      </c>
      <c r="CG109" s="190">
        <v>0</v>
      </c>
      <c r="CI109" s="190" t="s">
        <v>584</v>
      </c>
    </row>
    <row r="110" spans="1:87" s="190" customFormat="1" ht="20.100000000000001" customHeight="1" x14ac:dyDescent="0.15">
      <c r="A110" s="191" t="s">
        <v>1180</v>
      </c>
      <c r="B110" s="191" t="s">
        <v>2859</v>
      </c>
      <c r="C110" s="192" t="s">
        <v>2859</v>
      </c>
      <c r="D110" s="193"/>
      <c r="E110" s="193">
        <f t="shared" si="57"/>
        <v>0</v>
      </c>
      <c r="F110" s="193">
        <f t="shared" si="37"/>
        <v>0</v>
      </c>
      <c r="G110" s="196"/>
      <c r="H110" s="193">
        <v>0</v>
      </c>
      <c r="I110" s="196"/>
      <c r="J110" s="193">
        <v>0</v>
      </c>
      <c r="K110" s="196"/>
      <c r="L110" s="193">
        <v>0</v>
      </c>
      <c r="M110" s="193"/>
      <c r="N110" s="193"/>
      <c r="O110" s="221">
        <f t="shared" si="33"/>
        <v>0</v>
      </c>
      <c r="P110" s="193"/>
      <c r="Q110" s="193">
        <f t="shared" si="34"/>
        <v>0</v>
      </c>
      <c r="R110" s="221">
        <f t="shared" si="35"/>
        <v>0</v>
      </c>
      <c r="S110" s="193">
        <f t="shared" si="58"/>
        <v>0</v>
      </c>
      <c r="T110" s="193">
        <f t="shared" si="59"/>
        <v>0</v>
      </c>
      <c r="U110" s="193">
        <f t="shared" si="60"/>
        <v>0</v>
      </c>
      <c r="V110" s="193"/>
      <c r="W110" s="193"/>
      <c r="X110" s="221">
        <f t="shared" si="36"/>
        <v>0</v>
      </c>
      <c r="Y110" s="194"/>
      <c r="Z110" s="190" t="s">
        <v>2859</v>
      </c>
      <c r="AB110" s="190" t="s">
        <v>1745</v>
      </c>
      <c r="AC110" s="190" t="s">
        <v>2859</v>
      </c>
      <c r="AD110" s="190" t="s">
        <v>2859</v>
      </c>
      <c r="CA110" s="190">
        <v>0</v>
      </c>
      <c r="CB110" s="190">
        <v>0</v>
      </c>
      <c r="CD110" s="190">
        <v>0</v>
      </c>
      <c r="CF110" s="190">
        <v>0</v>
      </c>
      <c r="CH110" s="190">
        <v>0</v>
      </c>
      <c r="CI110" s="190" t="s">
        <v>2859</v>
      </c>
    </row>
    <row r="111" spans="1:87" s="190" customFormat="1" ht="20.100000000000001" customHeight="1" x14ac:dyDescent="0.15">
      <c r="A111" s="191" t="s">
        <v>1701</v>
      </c>
      <c r="B111" s="191" t="s">
        <v>2409</v>
      </c>
      <c r="C111" s="192" t="s">
        <v>2845</v>
      </c>
      <c r="D111" s="205">
        <v>6.9109999999999996</v>
      </c>
      <c r="E111" s="193">
        <f t="shared" si="57"/>
        <v>1019920</v>
      </c>
      <c r="F111" s="193">
        <f t="shared" si="37"/>
        <v>7048667</v>
      </c>
      <c r="G111" s="193">
        <v>1019920</v>
      </c>
      <c r="H111" s="193">
        <f>TRUNC(G111*D111,0)</f>
        <v>7048667</v>
      </c>
      <c r="I111" s="193">
        <v>0</v>
      </c>
      <c r="J111" s="193"/>
      <c r="K111" s="193">
        <v>0</v>
      </c>
      <c r="L111" s="193"/>
      <c r="M111" s="193"/>
      <c r="N111" s="193"/>
      <c r="O111" s="221">
        <f t="shared" si="33"/>
        <v>0</v>
      </c>
      <c r="P111" s="193"/>
      <c r="Q111" s="193">
        <f t="shared" si="34"/>
        <v>0</v>
      </c>
      <c r="R111" s="221">
        <f t="shared" si="35"/>
        <v>0</v>
      </c>
      <c r="S111" s="193">
        <f t="shared" si="58"/>
        <v>0</v>
      </c>
      <c r="T111" s="193">
        <f t="shared" si="59"/>
        <v>0</v>
      </c>
      <c r="U111" s="193">
        <f t="shared" si="60"/>
        <v>0</v>
      </c>
      <c r="V111" s="193"/>
      <c r="W111" s="193"/>
      <c r="X111" s="221">
        <f t="shared" si="36"/>
        <v>0</v>
      </c>
      <c r="Y111" s="194"/>
      <c r="Z111" s="190" t="s">
        <v>517</v>
      </c>
      <c r="AB111" s="190" t="s">
        <v>1030</v>
      </c>
      <c r="AC111" s="190" t="s">
        <v>2859</v>
      </c>
      <c r="AD111" s="190" t="s">
        <v>107</v>
      </c>
      <c r="BU111" s="195" t="str">
        <f>HYPERLINK("#자재조서!A7","M0015006 →")</f>
        <v>M0015006 →</v>
      </c>
      <c r="CA111" s="190">
        <v>1019920</v>
      </c>
      <c r="CB111" s="190">
        <v>8091025</v>
      </c>
      <c r="CC111" s="190">
        <v>1019920</v>
      </c>
      <c r="CD111" s="190">
        <v>8091025</v>
      </c>
      <c r="CE111" s="190">
        <v>0</v>
      </c>
      <c r="CG111" s="190">
        <v>0</v>
      </c>
      <c r="CI111" s="190" t="s">
        <v>107</v>
      </c>
    </row>
    <row r="112" spans="1:87" s="190" customFormat="1" ht="20.100000000000001" customHeight="1" x14ac:dyDescent="0.15">
      <c r="A112" s="191" t="s">
        <v>1701</v>
      </c>
      <c r="B112" s="191" t="s">
        <v>2815</v>
      </c>
      <c r="C112" s="192" t="s">
        <v>2845</v>
      </c>
      <c r="D112" s="204">
        <v>0.20399999999999999</v>
      </c>
      <c r="E112" s="193">
        <f t="shared" si="57"/>
        <v>1019920</v>
      </c>
      <c r="F112" s="193">
        <f t="shared" si="37"/>
        <v>208063</v>
      </c>
      <c r="G112" s="193">
        <v>1019920</v>
      </c>
      <c r="H112" s="193">
        <f>TRUNC(G112*D112,0)</f>
        <v>208063</v>
      </c>
      <c r="I112" s="193">
        <v>0</v>
      </c>
      <c r="J112" s="193"/>
      <c r="K112" s="193">
        <v>0</v>
      </c>
      <c r="L112" s="193"/>
      <c r="M112" s="193"/>
      <c r="N112" s="193"/>
      <c r="O112" s="221">
        <f t="shared" si="33"/>
        <v>0</v>
      </c>
      <c r="P112" s="193"/>
      <c r="Q112" s="193">
        <f t="shared" si="34"/>
        <v>0</v>
      </c>
      <c r="R112" s="221">
        <f t="shared" si="35"/>
        <v>0</v>
      </c>
      <c r="S112" s="193">
        <f t="shared" si="58"/>
        <v>0</v>
      </c>
      <c r="T112" s="193">
        <f t="shared" si="59"/>
        <v>0</v>
      </c>
      <c r="U112" s="193">
        <f t="shared" si="60"/>
        <v>0</v>
      </c>
      <c r="V112" s="193"/>
      <c r="W112" s="193"/>
      <c r="X112" s="221">
        <f t="shared" si="36"/>
        <v>0</v>
      </c>
      <c r="Y112" s="194"/>
      <c r="Z112" s="190" t="s">
        <v>1858</v>
      </c>
      <c r="AB112" s="190" t="s">
        <v>267</v>
      </c>
      <c r="AC112" s="190" t="s">
        <v>2859</v>
      </c>
      <c r="AD112" s="190" t="s">
        <v>1730</v>
      </c>
      <c r="BU112" s="195" t="str">
        <f>HYPERLINK("#자재조서!A8","M0015009 →")</f>
        <v>M0015009 →</v>
      </c>
      <c r="CA112" s="190">
        <v>1019920</v>
      </c>
      <c r="CB112" s="190">
        <v>223362</v>
      </c>
      <c r="CC112" s="190">
        <v>1019920</v>
      </c>
      <c r="CD112" s="190">
        <v>223362</v>
      </c>
      <c r="CE112" s="190">
        <v>0</v>
      </c>
      <c r="CG112" s="190">
        <v>0</v>
      </c>
      <c r="CI112" s="190" t="s">
        <v>1730</v>
      </c>
    </row>
    <row r="113" spans="1:87" s="190" customFormat="1" ht="20.100000000000001" customHeight="1" x14ac:dyDescent="0.15">
      <c r="A113" s="191" t="s">
        <v>1180</v>
      </c>
      <c r="B113" s="191" t="s">
        <v>2859</v>
      </c>
      <c r="C113" s="192" t="s">
        <v>2859</v>
      </c>
      <c r="D113" s="193"/>
      <c r="E113" s="193">
        <f t="shared" si="57"/>
        <v>0</v>
      </c>
      <c r="F113" s="193">
        <f t="shared" si="37"/>
        <v>0</v>
      </c>
      <c r="G113" s="196"/>
      <c r="H113" s="193">
        <v>0</v>
      </c>
      <c r="I113" s="196"/>
      <c r="J113" s="193">
        <v>0</v>
      </c>
      <c r="K113" s="196"/>
      <c r="L113" s="193">
        <v>0</v>
      </c>
      <c r="M113" s="193"/>
      <c r="N113" s="193"/>
      <c r="O113" s="221">
        <f t="shared" si="33"/>
        <v>0</v>
      </c>
      <c r="P113" s="193"/>
      <c r="Q113" s="193">
        <f t="shared" si="34"/>
        <v>0</v>
      </c>
      <c r="R113" s="221">
        <f t="shared" si="35"/>
        <v>0</v>
      </c>
      <c r="S113" s="193">
        <f t="shared" si="58"/>
        <v>0</v>
      </c>
      <c r="T113" s="193">
        <f t="shared" si="59"/>
        <v>0</v>
      </c>
      <c r="U113" s="193">
        <f t="shared" si="60"/>
        <v>0</v>
      </c>
      <c r="V113" s="193"/>
      <c r="W113" s="193"/>
      <c r="X113" s="221">
        <f t="shared" si="36"/>
        <v>0</v>
      </c>
      <c r="Y113" s="194"/>
      <c r="Z113" s="190" t="s">
        <v>2859</v>
      </c>
      <c r="AB113" s="190" t="s">
        <v>2435</v>
      </c>
      <c r="AC113" s="190" t="s">
        <v>2859</v>
      </c>
      <c r="AD113" s="190" t="s">
        <v>2859</v>
      </c>
      <c r="CA113" s="190">
        <v>0</v>
      </c>
      <c r="CB113" s="190">
        <v>0</v>
      </c>
      <c r="CD113" s="190">
        <v>0</v>
      </c>
      <c r="CF113" s="190">
        <v>0</v>
      </c>
      <c r="CH113" s="190">
        <v>0</v>
      </c>
      <c r="CI113" s="190" t="s">
        <v>2859</v>
      </c>
    </row>
    <row r="114" spans="1:87" s="190" customFormat="1" ht="20.100000000000001" customHeight="1" x14ac:dyDescent="0.15">
      <c r="A114" s="191" t="s">
        <v>2697</v>
      </c>
      <c r="B114" s="191" t="s">
        <v>1088</v>
      </c>
      <c r="C114" s="192" t="s">
        <v>1760</v>
      </c>
      <c r="D114" s="193">
        <v>18</v>
      </c>
      <c r="E114" s="193">
        <f t="shared" si="57"/>
        <v>42420</v>
      </c>
      <c r="F114" s="193">
        <f t="shared" si="37"/>
        <v>763560</v>
      </c>
      <c r="G114" s="193">
        <v>42420</v>
      </c>
      <c r="H114" s="193">
        <f>TRUNC(G114*D114,0)</f>
        <v>763560</v>
      </c>
      <c r="I114" s="193">
        <v>0</v>
      </c>
      <c r="J114" s="193"/>
      <c r="K114" s="193">
        <v>0</v>
      </c>
      <c r="L114" s="193"/>
      <c r="M114" s="193"/>
      <c r="N114" s="193"/>
      <c r="O114" s="221">
        <f t="shared" si="33"/>
        <v>0</v>
      </c>
      <c r="P114" s="193"/>
      <c r="Q114" s="193">
        <f t="shared" si="34"/>
        <v>0</v>
      </c>
      <c r="R114" s="221">
        <f t="shared" si="35"/>
        <v>0</v>
      </c>
      <c r="S114" s="193">
        <f t="shared" si="58"/>
        <v>0</v>
      </c>
      <c r="T114" s="193">
        <f t="shared" si="59"/>
        <v>0</v>
      </c>
      <c r="U114" s="193">
        <f t="shared" si="60"/>
        <v>0</v>
      </c>
      <c r="V114" s="193"/>
      <c r="W114" s="193"/>
      <c r="X114" s="221">
        <f t="shared" si="36"/>
        <v>0</v>
      </c>
      <c r="Y114" s="194"/>
      <c r="Z114" s="190" t="s">
        <v>2859</v>
      </c>
      <c r="AB114" s="190" t="s">
        <v>1695</v>
      </c>
      <c r="AC114" s="190" t="s">
        <v>2859</v>
      </c>
      <c r="AD114" s="190" t="s">
        <v>331</v>
      </c>
      <c r="BU114" s="195" t="str">
        <f>HYPERLINK("#자재조서!A38","M15750700 →")</f>
        <v>M15750700 →</v>
      </c>
      <c r="CA114" s="190">
        <v>42420</v>
      </c>
      <c r="CB114" s="190">
        <v>212100</v>
      </c>
      <c r="CC114" s="190">
        <v>42420</v>
      </c>
      <c r="CD114" s="190">
        <v>212100</v>
      </c>
      <c r="CE114" s="190">
        <v>0</v>
      </c>
      <c r="CG114" s="190">
        <v>0</v>
      </c>
      <c r="CI114" s="190" t="s">
        <v>331</v>
      </c>
    </row>
    <row r="115" spans="1:87" s="190" customFormat="1" ht="20.100000000000001" customHeight="1" x14ac:dyDescent="0.15">
      <c r="A115" s="191" t="s">
        <v>2697</v>
      </c>
      <c r="B115" s="191" t="s">
        <v>79</v>
      </c>
      <c r="C115" s="192" t="s">
        <v>1760</v>
      </c>
      <c r="D115" s="193">
        <v>35</v>
      </c>
      <c r="E115" s="193">
        <f t="shared" si="57"/>
        <v>69300</v>
      </c>
      <c r="F115" s="193">
        <f t="shared" si="37"/>
        <v>2425500</v>
      </c>
      <c r="G115" s="193">
        <v>69300</v>
      </c>
      <c r="H115" s="193">
        <f>TRUNC(G115*D115,0)</f>
        <v>2425500</v>
      </c>
      <c r="I115" s="193">
        <v>0</v>
      </c>
      <c r="J115" s="193"/>
      <c r="K115" s="193">
        <v>0</v>
      </c>
      <c r="L115" s="193"/>
      <c r="M115" s="193"/>
      <c r="N115" s="193"/>
      <c r="O115" s="221">
        <f t="shared" si="33"/>
        <v>0</v>
      </c>
      <c r="P115" s="193"/>
      <c r="Q115" s="193">
        <f t="shared" si="34"/>
        <v>0</v>
      </c>
      <c r="R115" s="221">
        <f t="shared" si="35"/>
        <v>0</v>
      </c>
      <c r="S115" s="193">
        <f t="shared" si="58"/>
        <v>0</v>
      </c>
      <c r="T115" s="193">
        <f t="shared" si="59"/>
        <v>0</v>
      </c>
      <c r="U115" s="193">
        <f t="shared" si="60"/>
        <v>0</v>
      </c>
      <c r="V115" s="193"/>
      <c r="W115" s="193"/>
      <c r="X115" s="221">
        <f t="shared" si="36"/>
        <v>0</v>
      </c>
      <c r="Y115" s="194"/>
      <c r="Z115" s="190" t="s">
        <v>2859</v>
      </c>
      <c r="AB115" s="190" t="s">
        <v>979</v>
      </c>
      <c r="AC115" s="190" t="s">
        <v>2859</v>
      </c>
      <c r="AD115" s="190" t="s">
        <v>220</v>
      </c>
      <c r="BU115" s="195" t="str">
        <f>HYPERLINK("#자재조서!A39","M15750900 →")</f>
        <v>M15750900 →</v>
      </c>
      <c r="CA115" s="190">
        <v>69300</v>
      </c>
      <c r="CB115" s="190">
        <v>1593900</v>
      </c>
      <c r="CC115" s="190">
        <v>69300</v>
      </c>
      <c r="CD115" s="190">
        <v>1593900</v>
      </c>
      <c r="CE115" s="190">
        <v>0</v>
      </c>
      <c r="CG115" s="190">
        <v>0</v>
      </c>
      <c r="CI115" s="190" t="s">
        <v>220</v>
      </c>
    </row>
    <row r="116" spans="1:87" s="190" customFormat="1" ht="20.100000000000001" customHeight="1" x14ac:dyDescent="0.15">
      <c r="A116" s="191" t="s">
        <v>2697</v>
      </c>
      <c r="B116" s="191" t="s">
        <v>151</v>
      </c>
      <c r="C116" s="192" t="s">
        <v>1760</v>
      </c>
      <c r="D116" s="193">
        <v>272</v>
      </c>
      <c r="E116" s="193">
        <f t="shared" si="57"/>
        <v>36220</v>
      </c>
      <c r="F116" s="193">
        <f t="shared" si="37"/>
        <v>9851840</v>
      </c>
      <c r="G116" s="193">
        <v>36220</v>
      </c>
      <c r="H116" s="193">
        <f>TRUNC(G116*D116,0)</f>
        <v>9851840</v>
      </c>
      <c r="I116" s="193">
        <v>0</v>
      </c>
      <c r="J116" s="193"/>
      <c r="K116" s="193">
        <v>0</v>
      </c>
      <c r="L116" s="193"/>
      <c r="M116" s="193"/>
      <c r="N116" s="193"/>
      <c r="O116" s="221">
        <f t="shared" si="33"/>
        <v>0</v>
      </c>
      <c r="P116" s="193"/>
      <c r="Q116" s="193">
        <f t="shared" si="34"/>
        <v>0</v>
      </c>
      <c r="R116" s="221">
        <f t="shared" si="35"/>
        <v>0</v>
      </c>
      <c r="S116" s="193">
        <f t="shared" si="58"/>
        <v>0</v>
      </c>
      <c r="T116" s="193">
        <f t="shared" si="59"/>
        <v>0</v>
      </c>
      <c r="U116" s="193">
        <f t="shared" si="60"/>
        <v>0</v>
      </c>
      <c r="V116" s="193"/>
      <c r="W116" s="193"/>
      <c r="X116" s="221">
        <f t="shared" si="36"/>
        <v>0</v>
      </c>
      <c r="Y116" s="194"/>
      <c r="Z116" s="190" t="s">
        <v>2859</v>
      </c>
      <c r="AB116" s="190" t="s">
        <v>223</v>
      </c>
      <c r="AC116" s="190" t="s">
        <v>2859</v>
      </c>
      <c r="AD116" s="190" t="s">
        <v>770</v>
      </c>
      <c r="BU116" s="195" t="str">
        <f>HYPERLINK("#자재조서!A37","M15750400 →")</f>
        <v>M15750400 →</v>
      </c>
      <c r="CA116" s="190">
        <v>36220</v>
      </c>
      <c r="CB116" s="190">
        <v>14343120</v>
      </c>
      <c r="CC116" s="190">
        <v>36220</v>
      </c>
      <c r="CD116" s="190">
        <v>14343120</v>
      </c>
      <c r="CE116" s="190">
        <v>0</v>
      </c>
      <c r="CG116" s="190">
        <v>0</v>
      </c>
      <c r="CI116" s="190" t="s">
        <v>770</v>
      </c>
    </row>
    <row r="117" spans="1:87" s="190" customFormat="1" ht="20.100000000000001" customHeight="1" x14ac:dyDescent="0.15">
      <c r="A117" s="191" t="s">
        <v>1180</v>
      </c>
      <c r="B117" s="191" t="s">
        <v>2859</v>
      </c>
      <c r="C117" s="192" t="s">
        <v>2859</v>
      </c>
      <c r="D117" s="193"/>
      <c r="E117" s="193">
        <f t="shared" si="57"/>
        <v>0</v>
      </c>
      <c r="F117" s="193">
        <f t="shared" si="37"/>
        <v>0</v>
      </c>
      <c r="G117" s="196"/>
      <c r="H117" s="193">
        <v>0</v>
      </c>
      <c r="I117" s="196"/>
      <c r="J117" s="193">
        <v>0</v>
      </c>
      <c r="K117" s="196"/>
      <c r="L117" s="193">
        <v>0</v>
      </c>
      <c r="M117" s="193"/>
      <c r="N117" s="193"/>
      <c r="O117" s="221">
        <f t="shared" si="33"/>
        <v>0</v>
      </c>
      <c r="P117" s="193"/>
      <c r="Q117" s="193">
        <f t="shared" si="34"/>
        <v>0</v>
      </c>
      <c r="R117" s="221">
        <f t="shared" si="35"/>
        <v>0</v>
      </c>
      <c r="S117" s="193">
        <f t="shared" si="58"/>
        <v>0</v>
      </c>
      <c r="T117" s="193">
        <f t="shared" si="59"/>
        <v>0</v>
      </c>
      <c r="U117" s="193">
        <f t="shared" si="60"/>
        <v>0</v>
      </c>
      <c r="V117" s="193"/>
      <c r="W117" s="193"/>
      <c r="X117" s="221">
        <f t="shared" si="36"/>
        <v>0</v>
      </c>
      <c r="Y117" s="194"/>
      <c r="Z117" s="190" t="s">
        <v>2859</v>
      </c>
      <c r="AB117" s="190" t="s">
        <v>1683</v>
      </c>
      <c r="AC117" s="190" t="s">
        <v>2859</v>
      </c>
      <c r="AD117" s="190" t="s">
        <v>2859</v>
      </c>
      <c r="CA117" s="190">
        <v>0</v>
      </c>
      <c r="CB117" s="190">
        <v>0</v>
      </c>
      <c r="CD117" s="190">
        <v>0</v>
      </c>
      <c r="CF117" s="190">
        <v>0</v>
      </c>
      <c r="CH117" s="190">
        <v>0</v>
      </c>
      <c r="CI117" s="190" t="s">
        <v>2859</v>
      </c>
    </row>
    <row r="118" spans="1:87" s="190" customFormat="1" ht="20.100000000000001" customHeight="1" x14ac:dyDescent="0.15">
      <c r="A118" s="191" t="s">
        <v>2265</v>
      </c>
      <c r="B118" s="191" t="s">
        <v>40</v>
      </c>
      <c r="C118" s="192" t="s">
        <v>190</v>
      </c>
      <c r="D118" s="193">
        <v>8</v>
      </c>
      <c r="E118" s="193">
        <f t="shared" si="57"/>
        <v>54770</v>
      </c>
      <c r="F118" s="193">
        <f t="shared" si="37"/>
        <v>438160</v>
      </c>
      <c r="G118" s="193">
        <v>54770</v>
      </c>
      <c r="H118" s="193">
        <f>TRUNC(G118*D118,0)</f>
        <v>438160</v>
      </c>
      <c r="I118" s="193">
        <v>0</v>
      </c>
      <c r="J118" s="193"/>
      <c r="K118" s="193">
        <v>0</v>
      </c>
      <c r="L118" s="193"/>
      <c r="M118" s="193"/>
      <c r="N118" s="193"/>
      <c r="O118" s="221">
        <f t="shared" si="33"/>
        <v>0</v>
      </c>
      <c r="P118" s="193"/>
      <c r="Q118" s="193">
        <f t="shared" si="34"/>
        <v>0</v>
      </c>
      <c r="R118" s="221">
        <f t="shared" si="35"/>
        <v>0</v>
      </c>
      <c r="S118" s="193">
        <f t="shared" si="58"/>
        <v>0</v>
      </c>
      <c r="T118" s="193">
        <f t="shared" si="59"/>
        <v>0</v>
      </c>
      <c r="U118" s="193">
        <f t="shared" si="60"/>
        <v>0</v>
      </c>
      <c r="V118" s="193"/>
      <c r="W118" s="193"/>
      <c r="X118" s="221">
        <f t="shared" si="36"/>
        <v>0</v>
      </c>
      <c r="Y118" s="194"/>
      <c r="Z118" s="190" t="s">
        <v>2859</v>
      </c>
      <c r="AB118" s="190" t="s">
        <v>2400</v>
      </c>
      <c r="AC118" s="190" t="s">
        <v>2859</v>
      </c>
      <c r="AD118" s="190" t="s">
        <v>1097</v>
      </c>
      <c r="BU118" s="195" t="str">
        <f>HYPERLINK("#자재조서!A40","M1749009 →")</f>
        <v>M1749009 →</v>
      </c>
      <c r="CA118" s="190">
        <v>54770</v>
      </c>
      <c r="CB118" s="190">
        <v>2464650</v>
      </c>
      <c r="CC118" s="190">
        <v>54770</v>
      </c>
      <c r="CD118" s="190">
        <v>2464650</v>
      </c>
      <c r="CE118" s="190">
        <v>0</v>
      </c>
      <c r="CG118" s="190">
        <v>0</v>
      </c>
      <c r="CI118" s="190" t="s">
        <v>1097</v>
      </c>
    </row>
    <row r="119" spans="1:87" s="190" customFormat="1" ht="20.100000000000001" customHeight="1" x14ac:dyDescent="0.15">
      <c r="A119" s="191" t="s">
        <v>2265</v>
      </c>
      <c r="B119" s="191" t="s">
        <v>1933</v>
      </c>
      <c r="C119" s="192" t="s">
        <v>190</v>
      </c>
      <c r="D119" s="193">
        <v>53</v>
      </c>
      <c r="E119" s="193">
        <f t="shared" si="57"/>
        <v>75210</v>
      </c>
      <c r="F119" s="193">
        <f t="shared" si="37"/>
        <v>3986130</v>
      </c>
      <c r="G119" s="193">
        <v>75210</v>
      </c>
      <c r="H119" s="193">
        <f>TRUNC(G119*D119,0)</f>
        <v>3986130</v>
      </c>
      <c r="I119" s="193">
        <v>0</v>
      </c>
      <c r="J119" s="193"/>
      <c r="K119" s="193">
        <v>0</v>
      </c>
      <c r="L119" s="193"/>
      <c r="M119" s="193"/>
      <c r="N119" s="193"/>
      <c r="O119" s="221">
        <f t="shared" si="33"/>
        <v>0</v>
      </c>
      <c r="P119" s="193"/>
      <c r="Q119" s="193">
        <f t="shared" si="34"/>
        <v>0</v>
      </c>
      <c r="R119" s="221">
        <f t="shared" si="35"/>
        <v>0</v>
      </c>
      <c r="S119" s="193">
        <f t="shared" si="58"/>
        <v>0</v>
      </c>
      <c r="T119" s="193">
        <f t="shared" si="59"/>
        <v>0</v>
      </c>
      <c r="U119" s="193">
        <f t="shared" si="60"/>
        <v>0</v>
      </c>
      <c r="V119" s="193"/>
      <c r="W119" s="193"/>
      <c r="X119" s="221">
        <f t="shared" si="36"/>
        <v>0</v>
      </c>
      <c r="Y119" s="194"/>
      <c r="Z119" s="190" t="s">
        <v>2859</v>
      </c>
      <c r="AB119" s="190" t="s">
        <v>176</v>
      </c>
      <c r="AC119" s="190" t="s">
        <v>2859</v>
      </c>
      <c r="AD119" s="190" t="s">
        <v>1818</v>
      </c>
      <c r="BU119" s="195" t="str">
        <f>HYPERLINK("#자재조서!A41","M1749014 →")</f>
        <v>M1749014 →</v>
      </c>
      <c r="CA119" s="190">
        <v>75210</v>
      </c>
      <c r="CB119" s="190">
        <v>4738230</v>
      </c>
      <c r="CC119" s="190">
        <v>75210</v>
      </c>
      <c r="CD119" s="190">
        <v>4738230</v>
      </c>
      <c r="CE119" s="190">
        <v>0</v>
      </c>
      <c r="CG119" s="190">
        <v>0</v>
      </c>
      <c r="CI119" s="190" t="s">
        <v>1818</v>
      </c>
    </row>
    <row r="120" spans="1:87" s="190" customFormat="1" ht="20.100000000000001" customHeight="1" x14ac:dyDescent="0.15">
      <c r="A120" s="191" t="s">
        <v>2265</v>
      </c>
      <c r="B120" s="191" t="s">
        <v>1471</v>
      </c>
      <c r="C120" s="192" t="s">
        <v>190</v>
      </c>
      <c r="D120" s="193">
        <v>14</v>
      </c>
      <c r="E120" s="193">
        <f t="shared" si="57"/>
        <v>95980</v>
      </c>
      <c r="F120" s="193">
        <f t="shared" si="37"/>
        <v>1343720</v>
      </c>
      <c r="G120" s="193">
        <v>95980</v>
      </c>
      <c r="H120" s="193">
        <f>TRUNC(G120*D120,0)</f>
        <v>1343720</v>
      </c>
      <c r="I120" s="193">
        <v>0</v>
      </c>
      <c r="J120" s="193"/>
      <c r="K120" s="193">
        <v>0</v>
      </c>
      <c r="L120" s="193"/>
      <c r="M120" s="193"/>
      <c r="N120" s="193"/>
      <c r="O120" s="221">
        <f t="shared" si="33"/>
        <v>0</v>
      </c>
      <c r="P120" s="193"/>
      <c r="Q120" s="193">
        <f t="shared" si="34"/>
        <v>0</v>
      </c>
      <c r="R120" s="221">
        <f t="shared" si="35"/>
        <v>0</v>
      </c>
      <c r="S120" s="193">
        <f t="shared" si="58"/>
        <v>0</v>
      </c>
      <c r="T120" s="193">
        <f t="shared" si="59"/>
        <v>0</v>
      </c>
      <c r="U120" s="193">
        <f t="shared" si="60"/>
        <v>0</v>
      </c>
      <c r="V120" s="193"/>
      <c r="W120" s="193"/>
      <c r="X120" s="221">
        <f t="shared" si="36"/>
        <v>0</v>
      </c>
      <c r="Y120" s="194"/>
      <c r="Z120" s="190" t="s">
        <v>2859</v>
      </c>
      <c r="AB120" s="190" t="s">
        <v>897</v>
      </c>
      <c r="AC120" s="190" t="s">
        <v>2859</v>
      </c>
      <c r="AD120" s="190" t="s">
        <v>563</v>
      </c>
      <c r="BU120" s="195" t="str">
        <f>HYPERLINK("#자재조서!A42","M1749015 →")</f>
        <v>M1749015 →</v>
      </c>
      <c r="CA120" s="190">
        <v>95980</v>
      </c>
      <c r="CB120" s="190">
        <v>2207540</v>
      </c>
      <c r="CC120" s="190">
        <v>95980</v>
      </c>
      <c r="CD120" s="190">
        <v>2207540</v>
      </c>
      <c r="CE120" s="190">
        <v>0</v>
      </c>
      <c r="CG120" s="190">
        <v>0</v>
      </c>
      <c r="CI120" s="190" t="s">
        <v>563</v>
      </c>
    </row>
    <row r="121" spans="1:87" s="190" customFormat="1" ht="20.100000000000001" customHeight="1" x14ac:dyDescent="0.15">
      <c r="A121" s="191" t="s">
        <v>2265</v>
      </c>
      <c r="B121" s="191" t="s">
        <v>2836</v>
      </c>
      <c r="C121" s="192" t="s">
        <v>190</v>
      </c>
      <c r="D121" s="193">
        <v>3</v>
      </c>
      <c r="E121" s="193">
        <f t="shared" si="57"/>
        <v>315150</v>
      </c>
      <c r="F121" s="193">
        <f t="shared" si="37"/>
        <v>945450</v>
      </c>
      <c r="G121" s="193">
        <v>315150</v>
      </c>
      <c r="H121" s="193">
        <f>TRUNC(G121*D121,0)</f>
        <v>945450</v>
      </c>
      <c r="I121" s="193">
        <v>0</v>
      </c>
      <c r="J121" s="193"/>
      <c r="K121" s="193">
        <v>0</v>
      </c>
      <c r="L121" s="193"/>
      <c r="M121" s="193"/>
      <c r="N121" s="193"/>
      <c r="O121" s="221">
        <f t="shared" si="33"/>
        <v>0</v>
      </c>
      <c r="P121" s="193"/>
      <c r="Q121" s="193">
        <f t="shared" si="34"/>
        <v>0</v>
      </c>
      <c r="R121" s="221">
        <f t="shared" si="35"/>
        <v>0</v>
      </c>
      <c r="S121" s="193">
        <f t="shared" si="58"/>
        <v>0</v>
      </c>
      <c r="T121" s="193">
        <f t="shared" si="59"/>
        <v>0</v>
      </c>
      <c r="U121" s="193">
        <f t="shared" si="60"/>
        <v>0</v>
      </c>
      <c r="V121" s="193"/>
      <c r="W121" s="193"/>
      <c r="X121" s="221">
        <f t="shared" si="36"/>
        <v>0</v>
      </c>
      <c r="Y121" s="194"/>
      <c r="Z121" s="190" t="s">
        <v>2859</v>
      </c>
      <c r="AB121" s="190" t="s">
        <v>1646</v>
      </c>
      <c r="AC121" s="190" t="s">
        <v>2859</v>
      </c>
      <c r="AD121" s="190" t="s">
        <v>598</v>
      </c>
      <c r="BU121" s="195" t="str">
        <f>HYPERLINK("#자재조서!A43","M1749030 →")</f>
        <v>M1749030 →</v>
      </c>
      <c r="CA121" s="190">
        <v>315150</v>
      </c>
      <c r="CB121" s="190">
        <v>630300</v>
      </c>
      <c r="CC121" s="190">
        <v>315150</v>
      </c>
      <c r="CD121" s="190">
        <v>630300</v>
      </c>
      <c r="CE121" s="190">
        <v>0</v>
      </c>
      <c r="CG121" s="190">
        <v>0</v>
      </c>
      <c r="CI121" s="190" t="s">
        <v>598</v>
      </c>
    </row>
    <row r="122" spans="1:87" s="190" customFormat="1" ht="20.100000000000001" customHeight="1" x14ac:dyDescent="0.15">
      <c r="A122" s="191" t="s">
        <v>1180</v>
      </c>
      <c r="B122" s="191" t="s">
        <v>2859</v>
      </c>
      <c r="C122" s="192" t="s">
        <v>2859</v>
      </c>
      <c r="D122" s="193"/>
      <c r="E122" s="193">
        <f t="shared" si="57"/>
        <v>0</v>
      </c>
      <c r="F122" s="193">
        <f t="shared" si="37"/>
        <v>0</v>
      </c>
      <c r="G122" s="196"/>
      <c r="H122" s="193">
        <v>0</v>
      </c>
      <c r="I122" s="196"/>
      <c r="J122" s="193">
        <v>0</v>
      </c>
      <c r="K122" s="196"/>
      <c r="L122" s="193">
        <v>0</v>
      </c>
      <c r="M122" s="193"/>
      <c r="N122" s="193"/>
      <c r="O122" s="221">
        <f t="shared" si="33"/>
        <v>0</v>
      </c>
      <c r="P122" s="193"/>
      <c r="Q122" s="193">
        <f t="shared" si="34"/>
        <v>0</v>
      </c>
      <c r="R122" s="221">
        <f t="shared" si="35"/>
        <v>0</v>
      </c>
      <c r="S122" s="193">
        <f t="shared" si="58"/>
        <v>0</v>
      </c>
      <c r="T122" s="193">
        <f t="shared" si="59"/>
        <v>0</v>
      </c>
      <c r="U122" s="193">
        <f t="shared" si="60"/>
        <v>0</v>
      </c>
      <c r="V122" s="193"/>
      <c r="W122" s="193"/>
      <c r="X122" s="221">
        <f t="shared" si="36"/>
        <v>0</v>
      </c>
      <c r="Y122" s="194"/>
      <c r="Z122" s="190" t="s">
        <v>2859</v>
      </c>
      <c r="AB122" s="190" t="s">
        <v>2335</v>
      </c>
      <c r="AC122" s="190" t="s">
        <v>2859</v>
      </c>
      <c r="AD122" s="190" t="s">
        <v>2859</v>
      </c>
      <c r="CA122" s="190">
        <v>0</v>
      </c>
      <c r="CB122" s="190">
        <v>0</v>
      </c>
      <c r="CD122" s="190">
        <v>0</v>
      </c>
      <c r="CF122" s="190">
        <v>0</v>
      </c>
      <c r="CH122" s="190">
        <v>0</v>
      </c>
      <c r="CI122" s="190" t="s">
        <v>2859</v>
      </c>
    </row>
    <row r="123" spans="1:87" s="190" customFormat="1" ht="20.100000000000001" customHeight="1" x14ac:dyDescent="0.15">
      <c r="A123" s="191" t="s">
        <v>573</v>
      </c>
      <c r="B123" s="191" t="s">
        <v>2390</v>
      </c>
      <c r="C123" s="192" t="s">
        <v>1212</v>
      </c>
      <c r="D123" s="193">
        <v>92</v>
      </c>
      <c r="E123" s="193">
        <f t="shared" si="57"/>
        <v>36000</v>
      </c>
      <c r="F123" s="193">
        <f t="shared" si="37"/>
        <v>3312000</v>
      </c>
      <c r="G123" s="193">
        <v>36000</v>
      </c>
      <c r="H123" s="193">
        <f>TRUNC(G123*D123,0)</f>
        <v>3312000</v>
      </c>
      <c r="I123" s="193">
        <v>0</v>
      </c>
      <c r="J123" s="193"/>
      <c r="K123" s="193">
        <v>0</v>
      </c>
      <c r="L123" s="193"/>
      <c r="M123" s="193"/>
      <c r="N123" s="193"/>
      <c r="O123" s="221">
        <f t="shared" si="33"/>
        <v>0</v>
      </c>
      <c r="P123" s="193"/>
      <c r="Q123" s="193">
        <f t="shared" si="34"/>
        <v>0</v>
      </c>
      <c r="R123" s="221">
        <f t="shared" si="35"/>
        <v>0</v>
      </c>
      <c r="S123" s="193">
        <f t="shared" si="58"/>
        <v>0</v>
      </c>
      <c r="T123" s="193">
        <f t="shared" si="59"/>
        <v>0</v>
      </c>
      <c r="U123" s="193">
        <f t="shared" si="60"/>
        <v>0</v>
      </c>
      <c r="V123" s="193"/>
      <c r="W123" s="193"/>
      <c r="X123" s="221">
        <f t="shared" si="36"/>
        <v>0</v>
      </c>
      <c r="Y123" s="194"/>
      <c r="Z123" s="190" t="s">
        <v>2859</v>
      </c>
      <c r="AB123" s="190" t="s">
        <v>308</v>
      </c>
      <c r="AC123" s="190" t="s">
        <v>2859</v>
      </c>
      <c r="AD123" s="190" t="s">
        <v>526</v>
      </c>
      <c r="BU123" s="195" t="str">
        <f>HYPERLINK("#자재조서!A66","MP-T70 →")</f>
        <v>MP-T70 →</v>
      </c>
      <c r="CA123" s="190">
        <v>36000</v>
      </c>
      <c r="CB123" s="190">
        <v>3240000</v>
      </c>
      <c r="CC123" s="190">
        <v>36000</v>
      </c>
      <c r="CD123" s="190">
        <v>3240000</v>
      </c>
      <c r="CE123" s="190">
        <v>0</v>
      </c>
      <c r="CG123" s="190">
        <v>0</v>
      </c>
      <c r="CI123" s="190" t="s">
        <v>526</v>
      </c>
    </row>
    <row r="124" spans="1:87" s="190" customFormat="1" ht="20.100000000000001" customHeight="1" x14ac:dyDescent="0.15">
      <c r="A124" s="191" t="s">
        <v>1180</v>
      </c>
      <c r="B124" s="191" t="s">
        <v>2859</v>
      </c>
      <c r="C124" s="192" t="s">
        <v>2859</v>
      </c>
      <c r="D124" s="193"/>
      <c r="E124" s="193">
        <f t="shared" si="57"/>
        <v>0</v>
      </c>
      <c r="F124" s="193">
        <f t="shared" si="37"/>
        <v>0</v>
      </c>
      <c r="G124" s="196"/>
      <c r="H124" s="193">
        <v>0</v>
      </c>
      <c r="I124" s="196"/>
      <c r="J124" s="193">
        <v>0</v>
      </c>
      <c r="K124" s="196"/>
      <c r="L124" s="193">
        <v>0</v>
      </c>
      <c r="M124" s="193"/>
      <c r="N124" s="193"/>
      <c r="O124" s="221">
        <f t="shared" si="33"/>
        <v>0</v>
      </c>
      <c r="P124" s="193"/>
      <c r="Q124" s="193">
        <f t="shared" si="34"/>
        <v>0</v>
      </c>
      <c r="R124" s="221">
        <f t="shared" si="35"/>
        <v>0</v>
      </c>
      <c r="S124" s="193">
        <f t="shared" si="58"/>
        <v>0</v>
      </c>
      <c r="T124" s="193">
        <f t="shared" si="59"/>
        <v>0</v>
      </c>
      <c r="U124" s="193">
        <f t="shared" si="60"/>
        <v>0</v>
      </c>
      <c r="V124" s="193"/>
      <c r="W124" s="193"/>
      <c r="X124" s="221">
        <f t="shared" si="36"/>
        <v>0</v>
      </c>
      <c r="Y124" s="194"/>
      <c r="Z124" s="190" t="s">
        <v>2859</v>
      </c>
      <c r="AB124" s="190" t="s">
        <v>1044</v>
      </c>
      <c r="AC124" s="190" t="s">
        <v>2859</v>
      </c>
      <c r="AD124" s="190" t="s">
        <v>2859</v>
      </c>
      <c r="CA124" s="190">
        <v>0</v>
      </c>
      <c r="CB124" s="190">
        <v>0</v>
      </c>
      <c r="CD124" s="190">
        <v>0</v>
      </c>
      <c r="CF124" s="190">
        <v>0</v>
      </c>
      <c r="CH124" s="190">
        <v>0</v>
      </c>
      <c r="CI124" s="190" t="s">
        <v>2859</v>
      </c>
    </row>
    <row r="125" spans="1:87" s="190" customFormat="1" ht="20.100000000000001" customHeight="1" x14ac:dyDescent="0.15">
      <c r="A125" s="191" t="s">
        <v>807</v>
      </c>
      <c r="B125" s="191" t="s">
        <v>2345</v>
      </c>
      <c r="C125" s="192" t="s">
        <v>2471</v>
      </c>
      <c r="D125" s="193">
        <v>113</v>
      </c>
      <c r="E125" s="193">
        <f t="shared" si="57"/>
        <v>100940</v>
      </c>
      <c r="F125" s="193">
        <f t="shared" si="37"/>
        <v>11406220</v>
      </c>
      <c r="G125" s="193">
        <v>100940</v>
      </c>
      <c r="H125" s="193">
        <f>TRUNC(G125*D125,0)</f>
        <v>11406220</v>
      </c>
      <c r="I125" s="193">
        <v>0</v>
      </c>
      <c r="J125" s="193"/>
      <c r="K125" s="193">
        <v>0</v>
      </c>
      <c r="L125" s="193"/>
      <c r="M125" s="193"/>
      <c r="N125" s="193"/>
      <c r="O125" s="221">
        <f t="shared" si="33"/>
        <v>0</v>
      </c>
      <c r="P125" s="193"/>
      <c r="Q125" s="193">
        <f t="shared" si="34"/>
        <v>0</v>
      </c>
      <c r="R125" s="221">
        <f t="shared" si="35"/>
        <v>0</v>
      </c>
      <c r="S125" s="193">
        <f t="shared" si="58"/>
        <v>0</v>
      </c>
      <c r="T125" s="193">
        <f t="shared" si="59"/>
        <v>0</v>
      </c>
      <c r="U125" s="193">
        <f t="shared" si="60"/>
        <v>0</v>
      </c>
      <c r="V125" s="193"/>
      <c r="W125" s="193"/>
      <c r="X125" s="221">
        <f t="shared" si="36"/>
        <v>0</v>
      </c>
      <c r="Y125" s="194"/>
      <c r="Z125" s="190" t="s">
        <v>1074</v>
      </c>
      <c r="AB125" s="190" t="s">
        <v>836</v>
      </c>
      <c r="AC125" s="190" t="s">
        <v>2859</v>
      </c>
      <c r="AD125" s="190" t="s">
        <v>2667</v>
      </c>
      <c r="BU125" s="195" t="str">
        <f>HYPERLINK("#자재조서!A26","M1155009-1 →")</f>
        <v>M1155009-1 →</v>
      </c>
      <c r="CA125" s="190">
        <v>100940</v>
      </c>
      <c r="CB125" s="190">
        <v>11809980</v>
      </c>
      <c r="CC125" s="190">
        <v>100940</v>
      </c>
      <c r="CD125" s="190">
        <v>11809980</v>
      </c>
      <c r="CE125" s="190">
        <v>0</v>
      </c>
      <c r="CG125" s="190">
        <v>0</v>
      </c>
      <c r="CI125" s="190" t="s">
        <v>2667</v>
      </c>
    </row>
    <row r="126" spans="1:87" s="190" customFormat="1" ht="20.100000000000001" customHeight="1" x14ac:dyDescent="0.15">
      <c r="A126" s="191" t="s">
        <v>807</v>
      </c>
      <c r="B126" s="191" t="s">
        <v>2528</v>
      </c>
      <c r="C126" s="192" t="s">
        <v>2471</v>
      </c>
      <c r="D126" s="193">
        <v>225</v>
      </c>
      <c r="E126" s="193">
        <f t="shared" si="57"/>
        <v>79870</v>
      </c>
      <c r="F126" s="193">
        <f t="shared" si="37"/>
        <v>17970750</v>
      </c>
      <c r="G126" s="193">
        <v>79870</v>
      </c>
      <c r="H126" s="193">
        <f>TRUNC(G126*D126,0)</f>
        <v>17970750</v>
      </c>
      <c r="I126" s="193">
        <v>0</v>
      </c>
      <c r="J126" s="193"/>
      <c r="K126" s="193">
        <v>0</v>
      </c>
      <c r="L126" s="193"/>
      <c r="M126" s="193"/>
      <c r="N126" s="193"/>
      <c r="O126" s="221">
        <f t="shared" si="33"/>
        <v>0</v>
      </c>
      <c r="P126" s="193"/>
      <c r="Q126" s="193">
        <f t="shared" si="34"/>
        <v>0</v>
      </c>
      <c r="R126" s="221">
        <f t="shared" si="35"/>
        <v>0</v>
      </c>
      <c r="S126" s="193">
        <f t="shared" si="58"/>
        <v>0</v>
      </c>
      <c r="T126" s="193">
        <f t="shared" si="59"/>
        <v>0</v>
      </c>
      <c r="U126" s="193">
        <f t="shared" si="60"/>
        <v>0</v>
      </c>
      <c r="V126" s="193"/>
      <c r="W126" s="193"/>
      <c r="X126" s="221">
        <f t="shared" si="36"/>
        <v>0</v>
      </c>
      <c r="Y126" s="194"/>
      <c r="Z126" s="190" t="s">
        <v>2846</v>
      </c>
      <c r="AB126" s="190" t="s">
        <v>132</v>
      </c>
      <c r="AC126" s="190" t="s">
        <v>2859</v>
      </c>
      <c r="AD126" s="190" t="s">
        <v>2579</v>
      </c>
      <c r="BU126" s="195" t="str">
        <f>HYPERLINK("#자재조서!A27","M1158003-1 →")</f>
        <v>M1158003-1 →</v>
      </c>
      <c r="CA126" s="190">
        <v>79870</v>
      </c>
      <c r="CB126" s="190">
        <v>18689580</v>
      </c>
      <c r="CC126" s="190">
        <v>79870</v>
      </c>
      <c r="CD126" s="190">
        <v>18689580</v>
      </c>
      <c r="CE126" s="190">
        <v>0</v>
      </c>
      <c r="CG126" s="190">
        <v>0</v>
      </c>
      <c r="CI126" s="190" t="s">
        <v>2579</v>
      </c>
    </row>
    <row r="127" spans="1:87" s="190" customFormat="1" ht="20.100000000000001" customHeight="1" x14ac:dyDescent="0.15">
      <c r="A127" s="191" t="s">
        <v>1180</v>
      </c>
      <c r="B127" s="191" t="s">
        <v>2859</v>
      </c>
      <c r="C127" s="192" t="s">
        <v>2859</v>
      </c>
      <c r="D127" s="193"/>
      <c r="E127" s="193">
        <f t="shared" si="57"/>
        <v>0</v>
      </c>
      <c r="F127" s="193">
        <f t="shared" si="37"/>
        <v>0</v>
      </c>
      <c r="G127" s="196"/>
      <c r="H127" s="193">
        <v>0</v>
      </c>
      <c r="I127" s="196"/>
      <c r="J127" s="193">
        <v>0</v>
      </c>
      <c r="K127" s="196"/>
      <c r="L127" s="193">
        <v>0</v>
      </c>
      <c r="M127" s="193"/>
      <c r="N127" s="193"/>
      <c r="O127" s="221">
        <f t="shared" si="33"/>
        <v>0</v>
      </c>
      <c r="P127" s="193"/>
      <c r="Q127" s="193">
        <f t="shared" si="34"/>
        <v>0</v>
      </c>
      <c r="R127" s="221">
        <f t="shared" si="35"/>
        <v>0</v>
      </c>
      <c r="S127" s="193">
        <f t="shared" si="58"/>
        <v>0</v>
      </c>
      <c r="T127" s="193">
        <f t="shared" si="59"/>
        <v>0</v>
      </c>
      <c r="U127" s="193">
        <f t="shared" si="60"/>
        <v>0</v>
      </c>
      <c r="V127" s="193"/>
      <c r="W127" s="193"/>
      <c r="X127" s="221">
        <f t="shared" si="36"/>
        <v>0</v>
      </c>
      <c r="Y127" s="194"/>
      <c r="Z127" s="190" t="s">
        <v>2859</v>
      </c>
      <c r="AB127" s="190" t="s">
        <v>2285</v>
      </c>
      <c r="AC127" s="190" t="s">
        <v>2859</v>
      </c>
      <c r="AD127" s="190" t="s">
        <v>2859</v>
      </c>
      <c r="CA127" s="190">
        <v>0</v>
      </c>
      <c r="CB127" s="190">
        <v>0</v>
      </c>
      <c r="CD127" s="190">
        <v>0</v>
      </c>
      <c r="CF127" s="190">
        <v>0</v>
      </c>
      <c r="CH127" s="190">
        <v>0</v>
      </c>
      <c r="CI127" s="190" t="s">
        <v>2859</v>
      </c>
    </row>
    <row r="128" spans="1:87" s="190" customFormat="1" ht="20.100000000000001" customHeight="1" x14ac:dyDescent="0.15">
      <c r="A128" s="191" t="s">
        <v>1959</v>
      </c>
      <c r="B128" s="191" t="s">
        <v>999</v>
      </c>
      <c r="C128" s="192" t="s">
        <v>773</v>
      </c>
      <c r="D128" s="193">
        <v>1</v>
      </c>
      <c r="E128" s="193">
        <f t="shared" si="57"/>
        <v>4200000</v>
      </c>
      <c r="F128" s="193">
        <f t="shared" si="37"/>
        <v>4200000</v>
      </c>
      <c r="G128" s="193">
        <v>4200000</v>
      </c>
      <c r="H128" s="193">
        <f>TRUNC(G128*D128,0)</f>
        <v>4200000</v>
      </c>
      <c r="I128" s="193">
        <v>0</v>
      </c>
      <c r="J128" s="193"/>
      <c r="K128" s="193">
        <v>0</v>
      </c>
      <c r="L128" s="193"/>
      <c r="M128" s="193"/>
      <c r="N128" s="193"/>
      <c r="O128" s="221">
        <f t="shared" si="33"/>
        <v>0</v>
      </c>
      <c r="P128" s="193"/>
      <c r="Q128" s="193">
        <f t="shared" si="34"/>
        <v>0</v>
      </c>
      <c r="R128" s="221">
        <f t="shared" si="35"/>
        <v>0</v>
      </c>
      <c r="S128" s="193">
        <f t="shared" si="58"/>
        <v>0</v>
      </c>
      <c r="T128" s="193">
        <f t="shared" si="59"/>
        <v>0</v>
      </c>
      <c r="U128" s="193">
        <f t="shared" si="60"/>
        <v>0</v>
      </c>
      <c r="V128" s="193"/>
      <c r="W128" s="193"/>
      <c r="X128" s="221">
        <f t="shared" si="36"/>
        <v>0</v>
      </c>
      <c r="Y128" s="194"/>
      <c r="Z128" s="190" t="s">
        <v>2859</v>
      </c>
      <c r="AB128" s="190" t="s">
        <v>1601</v>
      </c>
      <c r="AC128" s="190" t="s">
        <v>2859</v>
      </c>
      <c r="AD128" s="190" t="s">
        <v>99</v>
      </c>
      <c r="BU128" s="195" t="str">
        <f>HYPERLINK("#자재조서!A74","MZZ007000 →")</f>
        <v>MZZ007000 →</v>
      </c>
      <c r="CA128" s="190">
        <v>4200000</v>
      </c>
      <c r="CB128" s="190">
        <v>4200000</v>
      </c>
      <c r="CC128" s="190">
        <v>4200000</v>
      </c>
      <c r="CD128" s="190">
        <v>4200000</v>
      </c>
      <c r="CE128" s="190">
        <v>0</v>
      </c>
      <c r="CG128" s="190">
        <v>0</v>
      </c>
      <c r="CI128" s="190" t="s">
        <v>99</v>
      </c>
    </row>
    <row r="129" spans="1:87" s="190" customFormat="1" ht="20.100000000000001" customHeight="1" x14ac:dyDescent="0.15">
      <c r="A129" s="191" t="s">
        <v>1180</v>
      </c>
      <c r="B129" s="191" t="s">
        <v>2859</v>
      </c>
      <c r="C129" s="192" t="s">
        <v>2859</v>
      </c>
      <c r="D129" s="193"/>
      <c r="E129" s="193">
        <f t="shared" si="57"/>
        <v>0</v>
      </c>
      <c r="F129" s="193">
        <f t="shared" si="37"/>
        <v>0</v>
      </c>
      <c r="G129" s="196"/>
      <c r="H129" s="193">
        <v>0</v>
      </c>
      <c r="I129" s="196"/>
      <c r="J129" s="193">
        <v>0</v>
      </c>
      <c r="K129" s="196"/>
      <c r="L129" s="193">
        <v>0</v>
      </c>
      <c r="M129" s="193"/>
      <c r="N129" s="193"/>
      <c r="O129" s="221">
        <f t="shared" si="33"/>
        <v>0</v>
      </c>
      <c r="P129" s="193"/>
      <c r="Q129" s="193">
        <f t="shared" si="34"/>
        <v>0</v>
      </c>
      <c r="R129" s="221">
        <f t="shared" si="35"/>
        <v>0</v>
      </c>
      <c r="S129" s="193">
        <f t="shared" si="58"/>
        <v>0</v>
      </c>
      <c r="T129" s="193">
        <f t="shared" si="59"/>
        <v>0</v>
      </c>
      <c r="U129" s="193">
        <f t="shared" si="60"/>
        <v>0</v>
      </c>
      <c r="V129" s="193"/>
      <c r="W129" s="193"/>
      <c r="X129" s="221">
        <f t="shared" si="36"/>
        <v>0</v>
      </c>
      <c r="Y129" s="194"/>
      <c r="Z129" s="190" t="s">
        <v>2859</v>
      </c>
      <c r="AB129" s="190" t="s">
        <v>800</v>
      </c>
      <c r="AC129" s="190" t="s">
        <v>2859</v>
      </c>
      <c r="AD129" s="190" t="s">
        <v>2859</v>
      </c>
      <c r="AM129" s="207" t="s">
        <v>907</v>
      </c>
      <c r="AN129" s="208">
        <f>ROUND(((내역서!H108+내역서!J108+내역서!L108)+(내역서!H109+내역서!J109+내역서!L109)+(내역서!H111+내역서!J111+내역서!L111)+(내역서!H112+내역서!J112+내역서!L112)+(내역서!H114+내역서!J114+내역서!L114)+(내역서!H115+내역서!J115+내역서!L115)+(내역서!H116+내역서!J116+내역서!L116)+(내역서!H118+내역서!J118+내역서!L118)+(내역서!H119+내역서!J119+내역서!L119)+(내역서!H120+내역서!J120+내역서!L120)+(내역서!H121+내역서!J121+내역서!L121)+(내역서!H123+내역서!J123+내역서!L123)+(내역서!H125+내역서!J125+내역서!L125)+(내역서!H126+내역서!J126+내역서!L126)+(내역서!H128+내역서!J128+내역서!L128))*0.54/100-4899,2)</f>
        <v>463719.91</v>
      </c>
      <c r="AO129" s="207" t="s">
        <v>1545</v>
      </c>
      <c r="AP129" s="209">
        <f>$AN129</f>
        <v>463719.91</v>
      </c>
      <c r="AQ129" s="210" t="s">
        <v>2646</v>
      </c>
      <c r="AR129" s="208">
        <f>ROUND(ROUND(((내역서!H108+내역서!J108+내역서!L108)+(내역서!H109+내역서!J109+내역서!L109)+(내역서!H111+내역서!J111+내역서!L111)+(내역서!H112+내역서!J112+내역서!L112)+(내역서!H114+내역서!J114+내역서!L114)+(내역서!H115+내역서!J115+내역서!L115)+(내역서!H116+내역서!J116+내역서!L116)+(내역서!H118+내역서!J118+내역서!L118)+(내역서!H119+내역서!J119+내역서!L119)+(내역서!H120+내역서!J120+내역서!L120)+(내역서!H121+내역서!J121+내역서!L121)+(내역서!H123+내역서!J123+내역서!L123)+(내역서!H125+내역서!J125+내역서!L125)+(내역서!H126+내역서!J126+내역서!L126)+(내역서!H128+내역서!J128+내역서!L128))*0.54/100-4899,2),2)</f>
        <v>463719.91</v>
      </c>
      <c r="AS129" s="210" t="s">
        <v>1033</v>
      </c>
      <c r="AT129" s="209">
        <f>$AR129</f>
        <v>463719.91</v>
      </c>
      <c r="CA129" s="190">
        <v>0</v>
      </c>
      <c r="CB129" s="190">
        <v>0</v>
      </c>
      <c r="CD129" s="190">
        <v>0</v>
      </c>
      <c r="CF129" s="190">
        <v>0</v>
      </c>
      <c r="CH129" s="190">
        <v>0</v>
      </c>
      <c r="CI129" s="190" t="s">
        <v>2859</v>
      </c>
    </row>
    <row r="130" spans="1:87" s="190" customFormat="1" ht="20.100000000000001" customHeight="1" x14ac:dyDescent="0.15">
      <c r="A130" s="191" t="s">
        <v>2514</v>
      </c>
      <c r="B130" s="191" t="s">
        <v>1799</v>
      </c>
      <c r="C130" s="192" t="s">
        <v>2293</v>
      </c>
      <c r="D130" s="193">
        <v>1</v>
      </c>
      <c r="E130" s="193">
        <f t="shared" si="57"/>
        <v>0</v>
      </c>
      <c r="F130" s="193">
        <f t="shared" si="37"/>
        <v>458720</v>
      </c>
      <c r="G130" s="196"/>
      <c r="H130" s="193">
        <v>0</v>
      </c>
      <c r="I130" s="196"/>
      <c r="J130" s="193">
        <v>0</v>
      </c>
      <c r="K130" s="196"/>
      <c r="L130" s="193">
        <f>TRUNC((ROUND(((H108+J108+L108)+(H109+J109+L109)+(H111+J111+L111)+(H112+J112+L112)+(H114+J114+L114)+(H115+J115+L115)+(H116+J116+L116)+(H118+J118+L118)+(H119+J119+L119)+(H120+J120+L120)+(H121+J121+L121)+(H123+J123+L123)+(H125+J125+L125)+(H126+J126+L126)+(H128+J128+L128))*0.54/100-353,2)),0)-9545</f>
        <v>458720</v>
      </c>
      <c r="M130" s="193"/>
      <c r="N130" s="193"/>
      <c r="O130" s="221">
        <f t="shared" si="33"/>
        <v>0</v>
      </c>
      <c r="P130" s="193"/>
      <c r="Q130" s="193">
        <f t="shared" si="34"/>
        <v>0</v>
      </c>
      <c r="R130" s="221">
        <f t="shared" si="35"/>
        <v>0</v>
      </c>
      <c r="S130" s="193">
        <f t="shared" si="58"/>
        <v>0</v>
      </c>
      <c r="T130" s="193">
        <f t="shared" si="59"/>
        <v>0</v>
      </c>
      <c r="U130" s="193">
        <f t="shared" si="60"/>
        <v>0</v>
      </c>
      <c r="V130" s="193"/>
      <c r="W130" s="193"/>
      <c r="X130" s="221">
        <f t="shared" si="36"/>
        <v>0</v>
      </c>
      <c r="Y130" s="194"/>
      <c r="Z130" s="190" t="s">
        <v>2859</v>
      </c>
      <c r="AB130" s="190" t="s">
        <v>97</v>
      </c>
      <c r="AC130" s="190" t="s">
        <v>2859</v>
      </c>
      <c r="AD130" s="190" t="s">
        <v>2417</v>
      </c>
      <c r="AJ130" s="190" t="s">
        <v>896</v>
      </c>
      <c r="CA130" s="190">
        <v>0</v>
      </c>
      <c r="CB130" s="190">
        <v>558383</v>
      </c>
      <c r="CD130" s="190">
        <v>0</v>
      </c>
      <c r="CF130" s="190">
        <v>0</v>
      </c>
      <c r="CH130" s="190">
        <v>558383</v>
      </c>
      <c r="CI130" s="190" t="s">
        <v>2859</v>
      </c>
    </row>
  </sheetData>
  <mergeCells count="13">
    <mergeCell ref="A1:Y1"/>
    <mergeCell ref="A4:B4"/>
    <mergeCell ref="Y2:Y3"/>
    <mergeCell ref="D2:D3"/>
    <mergeCell ref="E2:F2"/>
    <mergeCell ref="P2:R2"/>
    <mergeCell ref="S2:U2"/>
    <mergeCell ref="V2:X2"/>
    <mergeCell ref="A2:A3"/>
    <mergeCell ref="B2:B3"/>
    <mergeCell ref="C2:C3"/>
    <mergeCell ref="G2:L2"/>
    <mergeCell ref="M2:O2"/>
  </mergeCells>
  <phoneticPr fontId="5" type="noConversion"/>
  <printOptions horizontalCentered="1"/>
  <pageMargins left="0.19685039370078741" right="0.11811023622047245" top="0.59055118110236227" bottom="0.39370078740157483" header="0.19685039370078741" footer="0.19685039370078741"/>
  <pageSetup paperSize="9" scale="67" orientation="landscape" r:id="rId1"/>
  <headerFooter alignWithMargins="0"/>
  <rowBreaks count="1" manualBreakCount="1">
    <brk id="74" max="24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C447B-1A56-408C-A630-8034ADFC337F}">
  <sheetPr>
    <tabColor rgb="FFFF0000"/>
  </sheetPr>
  <dimension ref="A1:Y29"/>
  <sheetViews>
    <sheetView showZeros="0" view="pageBreakPreview" zoomScaleNormal="100" zoomScaleSheetLayoutView="100" workbookViewId="0">
      <selection activeCell="F8" sqref="F8"/>
    </sheetView>
  </sheetViews>
  <sheetFormatPr defaultRowHeight="12.75" customHeight="1" x14ac:dyDescent="0.15"/>
  <cols>
    <col min="1" max="1" width="27.83203125" style="64" customWidth="1"/>
    <col min="2" max="2" width="19.6640625" style="64" customWidth="1"/>
    <col min="3" max="3" width="8.6640625" style="64" customWidth="1"/>
    <col min="4" max="4" width="7.1640625" style="138" customWidth="1"/>
    <col min="5" max="8" width="13.33203125" style="64" customWidth="1"/>
    <col min="9" max="9" width="8.5" style="64" customWidth="1"/>
    <col min="10" max="23" width="0" style="64" hidden="1" customWidth="1"/>
    <col min="24" max="256" width="9.1640625" style="64"/>
    <col min="257" max="257" width="34.33203125" style="64" customWidth="1"/>
    <col min="258" max="258" width="22.83203125" style="64" customWidth="1"/>
    <col min="259" max="259" width="11.5" style="64" customWidth="1"/>
    <col min="260" max="260" width="9.1640625" style="64"/>
    <col min="261" max="264" width="22.83203125" style="64" customWidth="1"/>
    <col min="265" max="265" width="11.5" style="64" customWidth="1"/>
    <col min="266" max="279" width="0" style="64" hidden="1" customWidth="1"/>
    <col min="280" max="512" width="9.1640625" style="64"/>
    <col min="513" max="513" width="34.33203125" style="64" customWidth="1"/>
    <col min="514" max="514" width="22.83203125" style="64" customWidth="1"/>
    <col min="515" max="515" width="11.5" style="64" customWidth="1"/>
    <col min="516" max="516" width="9.1640625" style="64"/>
    <col min="517" max="520" width="22.83203125" style="64" customWidth="1"/>
    <col min="521" max="521" width="11.5" style="64" customWidth="1"/>
    <col min="522" max="535" width="0" style="64" hidden="1" customWidth="1"/>
    <col min="536" max="768" width="9.1640625" style="64"/>
    <col min="769" max="769" width="34.33203125" style="64" customWidth="1"/>
    <col min="770" max="770" width="22.83203125" style="64" customWidth="1"/>
    <col min="771" max="771" width="11.5" style="64" customWidth="1"/>
    <col min="772" max="772" width="9.1640625" style="64"/>
    <col min="773" max="776" width="22.83203125" style="64" customWidth="1"/>
    <col min="777" max="777" width="11.5" style="64" customWidth="1"/>
    <col min="778" max="791" width="0" style="64" hidden="1" customWidth="1"/>
    <col min="792" max="1024" width="9.1640625" style="64"/>
    <col min="1025" max="1025" width="34.33203125" style="64" customWidth="1"/>
    <col min="1026" max="1026" width="22.83203125" style="64" customWidth="1"/>
    <col min="1027" max="1027" width="11.5" style="64" customWidth="1"/>
    <col min="1028" max="1028" width="9.1640625" style="64"/>
    <col min="1029" max="1032" width="22.83203125" style="64" customWidth="1"/>
    <col min="1033" max="1033" width="11.5" style="64" customWidth="1"/>
    <col min="1034" max="1047" width="0" style="64" hidden="1" customWidth="1"/>
    <col min="1048" max="1280" width="9.1640625" style="64"/>
    <col min="1281" max="1281" width="34.33203125" style="64" customWidth="1"/>
    <col min="1282" max="1282" width="22.83203125" style="64" customWidth="1"/>
    <col min="1283" max="1283" width="11.5" style="64" customWidth="1"/>
    <col min="1284" max="1284" width="9.1640625" style="64"/>
    <col min="1285" max="1288" width="22.83203125" style="64" customWidth="1"/>
    <col min="1289" max="1289" width="11.5" style="64" customWidth="1"/>
    <col min="1290" max="1303" width="0" style="64" hidden="1" customWidth="1"/>
    <col min="1304" max="1536" width="9.1640625" style="64"/>
    <col min="1537" max="1537" width="34.33203125" style="64" customWidth="1"/>
    <col min="1538" max="1538" width="22.83203125" style="64" customWidth="1"/>
    <col min="1539" max="1539" width="11.5" style="64" customWidth="1"/>
    <col min="1540" max="1540" width="9.1640625" style="64"/>
    <col min="1541" max="1544" width="22.83203125" style="64" customWidth="1"/>
    <col min="1545" max="1545" width="11.5" style="64" customWidth="1"/>
    <col min="1546" max="1559" width="0" style="64" hidden="1" customWidth="1"/>
    <col min="1560" max="1792" width="9.1640625" style="64"/>
    <col min="1793" max="1793" width="34.33203125" style="64" customWidth="1"/>
    <col min="1794" max="1794" width="22.83203125" style="64" customWidth="1"/>
    <col min="1795" max="1795" width="11.5" style="64" customWidth="1"/>
    <col min="1796" max="1796" width="9.1640625" style="64"/>
    <col min="1797" max="1800" width="22.83203125" style="64" customWidth="1"/>
    <col min="1801" max="1801" width="11.5" style="64" customWidth="1"/>
    <col min="1802" max="1815" width="0" style="64" hidden="1" customWidth="1"/>
    <col min="1816" max="2048" width="9.1640625" style="64"/>
    <col min="2049" max="2049" width="34.33203125" style="64" customWidth="1"/>
    <col min="2050" max="2050" width="22.83203125" style="64" customWidth="1"/>
    <col min="2051" max="2051" width="11.5" style="64" customWidth="1"/>
    <col min="2052" max="2052" width="9.1640625" style="64"/>
    <col min="2053" max="2056" width="22.83203125" style="64" customWidth="1"/>
    <col min="2057" max="2057" width="11.5" style="64" customWidth="1"/>
    <col min="2058" max="2071" width="0" style="64" hidden="1" customWidth="1"/>
    <col min="2072" max="2304" width="9.1640625" style="64"/>
    <col min="2305" max="2305" width="34.33203125" style="64" customWidth="1"/>
    <col min="2306" max="2306" width="22.83203125" style="64" customWidth="1"/>
    <col min="2307" max="2307" width="11.5" style="64" customWidth="1"/>
    <col min="2308" max="2308" width="9.1640625" style="64"/>
    <col min="2309" max="2312" width="22.83203125" style="64" customWidth="1"/>
    <col min="2313" max="2313" width="11.5" style="64" customWidth="1"/>
    <col min="2314" max="2327" width="0" style="64" hidden="1" customWidth="1"/>
    <col min="2328" max="2560" width="9.1640625" style="64"/>
    <col min="2561" max="2561" width="34.33203125" style="64" customWidth="1"/>
    <col min="2562" max="2562" width="22.83203125" style="64" customWidth="1"/>
    <col min="2563" max="2563" width="11.5" style="64" customWidth="1"/>
    <col min="2564" max="2564" width="9.1640625" style="64"/>
    <col min="2565" max="2568" width="22.83203125" style="64" customWidth="1"/>
    <col min="2569" max="2569" width="11.5" style="64" customWidth="1"/>
    <col min="2570" max="2583" width="0" style="64" hidden="1" customWidth="1"/>
    <col min="2584" max="2816" width="9.1640625" style="64"/>
    <col min="2817" max="2817" width="34.33203125" style="64" customWidth="1"/>
    <col min="2818" max="2818" width="22.83203125" style="64" customWidth="1"/>
    <col min="2819" max="2819" width="11.5" style="64" customWidth="1"/>
    <col min="2820" max="2820" width="9.1640625" style="64"/>
    <col min="2821" max="2824" width="22.83203125" style="64" customWidth="1"/>
    <col min="2825" max="2825" width="11.5" style="64" customWidth="1"/>
    <col min="2826" max="2839" width="0" style="64" hidden="1" customWidth="1"/>
    <col min="2840" max="3072" width="9.1640625" style="64"/>
    <col min="3073" max="3073" width="34.33203125" style="64" customWidth="1"/>
    <col min="3074" max="3074" width="22.83203125" style="64" customWidth="1"/>
    <col min="3075" max="3075" width="11.5" style="64" customWidth="1"/>
    <col min="3076" max="3076" width="9.1640625" style="64"/>
    <col min="3077" max="3080" width="22.83203125" style="64" customWidth="1"/>
    <col min="3081" max="3081" width="11.5" style="64" customWidth="1"/>
    <col min="3082" max="3095" width="0" style="64" hidden="1" customWidth="1"/>
    <col min="3096" max="3328" width="9.1640625" style="64"/>
    <col min="3329" max="3329" width="34.33203125" style="64" customWidth="1"/>
    <col min="3330" max="3330" width="22.83203125" style="64" customWidth="1"/>
    <col min="3331" max="3331" width="11.5" style="64" customWidth="1"/>
    <col min="3332" max="3332" width="9.1640625" style="64"/>
    <col min="3333" max="3336" width="22.83203125" style="64" customWidth="1"/>
    <col min="3337" max="3337" width="11.5" style="64" customWidth="1"/>
    <col min="3338" max="3351" width="0" style="64" hidden="1" customWidth="1"/>
    <col min="3352" max="3584" width="9.1640625" style="64"/>
    <col min="3585" max="3585" width="34.33203125" style="64" customWidth="1"/>
    <col min="3586" max="3586" width="22.83203125" style="64" customWidth="1"/>
    <col min="3587" max="3587" width="11.5" style="64" customWidth="1"/>
    <col min="3588" max="3588" width="9.1640625" style="64"/>
    <col min="3589" max="3592" width="22.83203125" style="64" customWidth="1"/>
    <col min="3593" max="3593" width="11.5" style="64" customWidth="1"/>
    <col min="3594" max="3607" width="0" style="64" hidden="1" customWidth="1"/>
    <col min="3608" max="3840" width="9.1640625" style="64"/>
    <col min="3841" max="3841" width="34.33203125" style="64" customWidth="1"/>
    <col min="3842" max="3842" width="22.83203125" style="64" customWidth="1"/>
    <col min="3843" max="3843" width="11.5" style="64" customWidth="1"/>
    <col min="3844" max="3844" width="9.1640625" style="64"/>
    <col min="3845" max="3848" width="22.83203125" style="64" customWidth="1"/>
    <col min="3849" max="3849" width="11.5" style="64" customWidth="1"/>
    <col min="3850" max="3863" width="0" style="64" hidden="1" customWidth="1"/>
    <col min="3864" max="4096" width="9.1640625" style="64"/>
    <col min="4097" max="4097" width="34.33203125" style="64" customWidth="1"/>
    <col min="4098" max="4098" width="22.83203125" style="64" customWidth="1"/>
    <col min="4099" max="4099" width="11.5" style="64" customWidth="1"/>
    <col min="4100" max="4100" width="9.1640625" style="64"/>
    <col min="4101" max="4104" width="22.83203125" style="64" customWidth="1"/>
    <col min="4105" max="4105" width="11.5" style="64" customWidth="1"/>
    <col min="4106" max="4119" width="0" style="64" hidden="1" customWidth="1"/>
    <col min="4120" max="4352" width="9.1640625" style="64"/>
    <col min="4353" max="4353" width="34.33203125" style="64" customWidth="1"/>
    <col min="4354" max="4354" width="22.83203125" style="64" customWidth="1"/>
    <col min="4355" max="4355" width="11.5" style="64" customWidth="1"/>
    <col min="4356" max="4356" width="9.1640625" style="64"/>
    <col min="4357" max="4360" width="22.83203125" style="64" customWidth="1"/>
    <col min="4361" max="4361" width="11.5" style="64" customWidth="1"/>
    <col min="4362" max="4375" width="0" style="64" hidden="1" customWidth="1"/>
    <col min="4376" max="4608" width="9.1640625" style="64"/>
    <col min="4609" max="4609" width="34.33203125" style="64" customWidth="1"/>
    <col min="4610" max="4610" width="22.83203125" style="64" customWidth="1"/>
    <col min="4611" max="4611" width="11.5" style="64" customWidth="1"/>
    <col min="4612" max="4612" width="9.1640625" style="64"/>
    <col min="4613" max="4616" width="22.83203125" style="64" customWidth="1"/>
    <col min="4617" max="4617" width="11.5" style="64" customWidth="1"/>
    <col min="4618" max="4631" width="0" style="64" hidden="1" customWidth="1"/>
    <col min="4632" max="4864" width="9.1640625" style="64"/>
    <col min="4865" max="4865" width="34.33203125" style="64" customWidth="1"/>
    <col min="4866" max="4866" width="22.83203125" style="64" customWidth="1"/>
    <col min="4867" max="4867" width="11.5" style="64" customWidth="1"/>
    <col min="4868" max="4868" width="9.1640625" style="64"/>
    <col min="4869" max="4872" width="22.83203125" style="64" customWidth="1"/>
    <col min="4873" max="4873" width="11.5" style="64" customWidth="1"/>
    <col min="4874" max="4887" width="0" style="64" hidden="1" customWidth="1"/>
    <col min="4888" max="5120" width="9.1640625" style="64"/>
    <col min="5121" max="5121" width="34.33203125" style="64" customWidth="1"/>
    <col min="5122" max="5122" width="22.83203125" style="64" customWidth="1"/>
    <col min="5123" max="5123" width="11.5" style="64" customWidth="1"/>
    <col min="5124" max="5124" width="9.1640625" style="64"/>
    <col min="5125" max="5128" width="22.83203125" style="64" customWidth="1"/>
    <col min="5129" max="5129" width="11.5" style="64" customWidth="1"/>
    <col min="5130" max="5143" width="0" style="64" hidden="1" customWidth="1"/>
    <col min="5144" max="5376" width="9.1640625" style="64"/>
    <col min="5377" max="5377" width="34.33203125" style="64" customWidth="1"/>
    <col min="5378" max="5378" width="22.83203125" style="64" customWidth="1"/>
    <col min="5379" max="5379" width="11.5" style="64" customWidth="1"/>
    <col min="5380" max="5380" width="9.1640625" style="64"/>
    <col min="5381" max="5384" width="22.83203125" style="64" customWidth="1"/>
    <col min="5385" max="5385" width="11.5" style="64" customWidth="1"/>
    <col min="5386" max="5399" width="0" style="64" hidden="1" customWidth="1"/>
    <col min="5400" max="5632" width="9.1640625" style="64"/>
    <col min="5633" max="5633" width="34.33203125" style="64" customWidth="1"/>
    <col min="5634" max="5634" width="22.83203125" style="64" customWidth="1"/>
    <col min="5635" max="5635" width="11.5" style="64" customWidth="1"/>
    <col min="5636" max="5636" width="9.1640625" style="64"/>
    <col min="5637" max="5640" width="22.83203125" style="64" customWidth="1"/>
    <col min="5641" max="5641" width="11.5" style="64" customWidth="1"/>
    <col min="5642" max="5655" width="0" style="64" hidden="1" customWidth="1"/>
    <col min="5656" max="5888" width="9.1640625" style="64"/>
    <col min="5889" max="5889" width="34.33203125" style="64" customWidth="1"/>
    <col min="5890" max="5890" width="22.83203125" style="64" customWidth="1"/>
    <col min="5891" max="5891" width="11.5" style="64" customWidth="1"/>
    <col min="5892" max="5892" width="9.1640625" style="64"/>
    <col min="5893" max="5896" width="22.83203125" style="64" customWidth="1"/>
    <col min="5897" max="5897" width="11.5" style="64" customWidth="1"/>
    <col min="5898" max="5911" width="0" style="64" hidden="1" customWidth="1"/>
    <col min="5912" max="6144" width="9.1640625" style="64"/>
    <col min="6145" max="6145" width="34.33203125" style="64" customWidth="1"/>
    <col min="6146" max="6146" width="22.83203125" style="64" customWidth="1"/>
    <col min="6147" max="6147" width="11.5" style="64" customWidth="1"/>
    <col min="6148" max="6148" width="9.1640625" style="64"/>
    <col min="6149" max="6152" width="22.83203125" style="64" customWidth="1"/>
    <col min="6153" max="6153" width="11.5" style="64" customWidth="1"/>
    <col min="6154" max="6167" width="0" style="64" hidden="1" customWidth="1"/>
    <col min="6168" max="6400" width="9.1640625" style="64"/>
    <col min="6401" max="6401" width="34.33203125" style="64" customWidth="1"/>
    <col min="6402" max="6402" width="22.83203125" style="64" customWidth="1"/>
    <col min="6403" max="6403" width="11.5" style="64" customWidth="1"/>
    <col min="6404" max="6404" width="9.1640625" style="64"/>
    <col min="6405" max="6408" width="22.83203125" style="64" customWidth="1"/>
    <col min="6409" max="6409" width="11.5" style="64" customWidth="1"/>
    <col min="6410" max="6423" width="0" style="64" hidden="1" customWidth="1"/>
    <col min="6424" max="6656" width="9.1640625" style="64"/>
    <col min="6657" max="6657" width="34.33203125" style="64" customWidth="1"/>
    <col min="6658" max="6658" width="22.83203125" style="64" customWidth="1"/>
    <col min="6659" max="6659" width="11.5" style="64" customWidth="1"/>
    <col min="6660" max="6660" width="9.1640625" style="64"/>
    <col min="6661" max="6664" width="22.83203125" style="64" customWidth="1"/>
    <col min="6665" max="6665" width="11.5" style="64" customWidth="1"/>
    <col min="6666" max="6679" width="0" style="64" hidden="1" customWidth="1"/>
    <col min="6680" max="6912" width="9.1640625" style="64"/>
    <col min="6913" max="6913" width="34.33203125" style="64" customWidth="1"/>
    <col min="6914" max="6914" width="22.83203125" style="64" customWidth="1"/>
    <col min="6915" max="6915" width="11.5" style="64" customWidth="1"/>
    <col min="6916" max="6916" width="9.1640625" style="64"/>
    <col min="6917" max="6920" width="22.83203125" style="64" customWidth="1"/>
    <col min="6921" max="6921" width="11.5" style="64" customWidth="1"/>
    <col min="6922" max="6935" width="0" style="64" hidden="1" customWidth="1"/>
    <col min="6936" max="7168" width="9.1640625" style="64"/>
    <col min="7169" max="7169" width="34.33203125" style="64" customWidth="1"/>
    <col min="7170" max="7170" width="22.83203125" style="64" customWidth="1"/>
    <col min="7171" max="7171" width="11.5" style="64" customWidth="1"/>
    <col min="7172" max="7172" width="9.1640625" style="64"/>
    <col min="7173" max="7176" width="22.83203125" style="64" customWidth="1"/>
    <col min="7177" max="7177" width="11.5" style="64" customWidth="1"/>
    <col min="7178" max="7191" width="0" style="64" hidden="1" customWidth="1"/>
    <col min="7192" max="7424" width="9.1640625" style="64"/>
    <col min="7425" max="7425" width="34.33203125" style="64" customWidth="1"/>
    <col min="7426" max="7426" width="22.83203125" style="64" customWidth="1"/>
    <col min="7427" max="7427" width="11.5" style="64" customWidth="1"/>
    <col min="7428" max="7428" width="9.1640625" style="64"/>
    <col min="7429" max="7432" width="22.83203125" style="64" customWidth="1"/>
    <col min="7433" max="7433" width="11.5" style="64" customWidth="1"/>
    <col min="7434" max="7447" width="0" style="64" hidden="1" customWidth="1"/>
    <col min="7448" max="7680" width="9.1640625" style="64"/>
    <col min="7681" max="7681" width="34.33203125" style="64" customWidth="1"/>
    <col min="7682" max="7682" width="22.83203125" style="64" customWidth="1"/>
    <col min="7683" max="7683" width="11.5" style="64" customWidth="1"/>
    <col min="7684" max="7684" width="9.1640625" style="64"/>
    <col min="7685" max="7688" width="22.83203125" style="64" customWidth="1"/>
    <col min="7689" max="7689" width="11.5" style="64" customWidth="1"/>
    <col min="7690" max="7703" width="0" style="64" hidden="1" customWidth="1"/>
    <col min="7704" max="7936" width="9.1640625" style="64"/>
    <col min="7937" max="7937" width="34.33203125" style="64" customWidth="1"/>
    <col min="7938" max="7938" width="22.83203125" style="64" customWidth="1"/>
    <col min="7939" max="7939" width="11.5" style="64" customWidth="1"/>
    <col min="7940" max="7940" width="9.1640625" style="64"/>
    <col min="7941" max="7944" width="22.83203125" style="64" customWidth="1"/>
    <col min="7945" max="7945" width="11.5" style="64" customWidth="1"/>
    <col min="7946" max="7959" width="0" style="64" hidden="1" customWidth="1"/>
    <col min="7960" max="8192" width="9.1640625" style="64"/>
    <col min="8193" max="8193" width="34.33203125" style="64" customWidth="1"/>
    <col min="8194" max="8194" width="22.83203125" style="64" customWidth="1"/>
    <col min="8195" max="8195" width="11.5" style="64" customWidth="1"/>
    <col min="8196" max="8196" width="9.1640625" style="64"/>
    <col min="8197" max="8200" width="22.83203125" style="64" customWidth="1"/>
    <col min="8201" max="8201" width="11.5" style="64" customWidth="1"/>
    <col min="8202" max="8215" width="0" style="64" hidden="1" customWidth="1"/>
    <col min="8216" max="8448" width="9.1640625" style="64"/>
    <col min="8449" max="8449" width="34.33203125" style="64" customWidth="1"/>
    <col min="8450" max="8450" width="22.83203125" style="64" customWidth="1"/>
    <col min="8451" max="8451" width="11.5" style="64" customWidth="1"/>
    <col min="8452" max="8452" width="9.1640625" style="64"/>
    <col min="8453" max="8456" width="22.83203125" style="64" customWidth="1"/>
    <col min="8457" max="8457" width="11.5" style="64" customWidth="1"/>
    <col min="8458" max="8471" width="0" style="64" hidden="1" customWidth="1"/>
    <col min="8472" max="8704" width="9.1640625" style="64"/>
    <col min="8705" max="8705" width="34.33203125" style="64" customWidth="1"/>
    <col min="8706" max="8706" width="22.83203125" style="64" customWidth="1"/>
    <col min="8707" max="8707" width="11.5" style="64" customWidth="1"/>
    <col min="8708" max="8708" width="9.1640625" style="64"/>
    <col min="8709" max="8712" width="22.83203125" style="64" customWidth="1"/>
    <col min="8713" max="8713" width="11.5" style="64" customWidth="1"/>
    <col min="8714" max="8727" width="0" style="64" hidden="1" customWidth="1"/>
    <col min="8728" max="8960" width="9.1640625" style="64"/>
    <col min="8961" max="8961" width="34.33203125" style="64" customWidth="1"/>
    <col min="8962" max="8962" width="22.83203125" style="64" customWidth="1"/>
    <col min="8963" max="8963" width="11.5" style="64" customWidth="1"/>
    <col min="8964" max="8964" width="9.1640625" style="64"/>
    <col min="8965" max="8968" width="22.83203125" style="64" customWidth="1"/>
    <col min="8969" max="8969" width="11.5" style="64" customWidth="1"/>
    <col min="8970" max="8983" width="0" style="64" hidden="1" customWidth="1"/>
    <col min="8984" max="9216" width="9.1640625" style="64"/>
    <col min="9217" max="9217" width="34.33203125" style="64" customWidth="1"/>
    <col min="9218" max="9218" width="22.83203125" style="64" customWidth="1"/>
    <col min="9219" max="9219" width="11.5" style="64" customWidth="1"/>
    <col min="9220" max="9220" width="9.1640625" style="64"/>
    <col min="9221" max="9224" width="22.83203125" style="64" customWidth="1"/>
    <col min="9225" max="9225" width="11.5" style="64" customWidth="1"/>
    <col min="9226" max="9239" width="0" style="64" hidden="1" customWidth="1"/>
    <col min="9240" max="9472" width="9.1640625" style="64"/>
    <col min="9473" max="9473" width="34.33203125" style="64" customWidth="1"/>
    <col min="9474" max="9474" width="22.83203125" style="64" customWidth="1"/>
    <col min="9475" max="9475" width="11.5" style="64" customWidth="1"/>
    <col min="9476" max="9476" width="9.1640625" style="64"/>
    <col min="9477" max="9480" width="22.83203125" style="64" customWidth="1"/>
    <col min="9481" max="9481" width="11.5" style="64" customWidth="1"/>
    <col min="9482" max="9495" width="0" style="64" hidden="1" customWidth="1"/>
    <col min="9496" max="9728" width="9.1640625" style="64"/>
    <col min="9729" max="9729" width="34.33203125" style="64" customWidth="1"/>
    <col min="9730" max="9730" width="22.83203125" style="64" customWidth="1"/>
    <col min="9731" max="9731" width="11.5" style="64" customWidth="1"/>
    <col min="9732" max="9732" width="9.1640625" style="64"/>
    <col min="9733" max="9736" width="22.83203125" style="64" customWidth="1"/>
    <col min="9737" max="9737" width="11.5" style="64" customWidth="1"/>
    <col min="9738" max="9751" width="0" style="64" hidden="1" customWidth="1"/>
    <col min="9752" max="9984" width="9.1640625" style="64"/>
    <col min="9985" max="9985" width="34.33203125" style="64" customWidth="1"/>
    <col min="9986" max="9986" width="22.83203125" style="64" customWidth="1"/>
    <col min="9987" max="9987" width="11.5" style="64" customWidth="1"/>
    <col min="9988" max="9988" width="9.1640625" style="64"/>
    <col min="9989" max="9992" width="22.83203125" style="64" customWidth="1"/>
    <col min="9993" max="9993" width="11.5" style="64" customWidth="1"/>
    <col min="9994" max="10007" width="0" style="64" hidden="1" customWidth="1"/>
    <col min="10008" max="10240" width="9.1640625" style="64"/>
    <col min="10241" max="10241" width="34.33203125" style="64" customWidth="1"/>
    <col min="10242" max="10242" width="22.83203125" style="64" customWidth="1"/>
    <col min="10243" max="10243" width="11.5" style="64" customWidth="1"/>
    <col min="10244" max="10244" width="9.1640625" style="64"/>
    <col min="10245" max="10248" width="22.83203125" style="64" customWidth="1"/>
    <col min="10249" max="10249" width="11.5" style="64" customWidth="1"/>
    <col min="10250" max="10263" width="0" style="64" hidden="1" customWidth="1"/>
    <col min="10264" max="10496" width="9.1640625" style="64"/>
    <col min="10497" max="10497" width="34.33203125" style="64" customWidth="1"/>
    <col min="10498" max="10498" width="22.83203125" style="64" customWidth="1"/>
    <col min="10499" max="10499" width="11.5" style="64" customWidth="1"/>
    <col min="10500" max="10500" width="9.1640625" style="64"/>
    <col min="10501" max="10504" width="22.83203125" style="64" customWidth="1"/>
    <col min="10505" max="10505" width="11.5" style="64" customWidth="1"/>
    <col min="10506" max="10519" width="0" style="64" hidden="1" customWidth="1"/>
    <col min="10520" max="10752" width="9.1640625" style="64"/>
    <col min="10753" max="10753" width="34.33203125" style="64" customWidth="1"/>
    <col min="10754" max="10754" width="22.83203125" style="64" customWidth="1"/>
    <col min="10755" max="10755" width="11.5" style="64" customWidth="1"/>
    <col min="10756" max="10756" width="9.1640625" style="64"/>
    <col min="10757" max="10760" width="22.83203125" style="64" customWidth="1"/>
    <col min="10761" max="10761" width="11.5" style="64" customWidth="1"/>
    <col min="10762" max="10775" width="0" style="64" hidden="1" customWidth="1"/>
    <col min="10776" max="11008" width="9.1640625" style="64"/>
    <col min="11009" max="11009" width="34.33203125" style="64" customWidth="1"/>
    <col min="11010" max="11010" width="22.83203125" style="64" customWidth="1"/>
    <col min="11011" max="11011" width="11.5" style="64" customWidth="1"/>
    <col min="11012" max="11012" width="9.1640625" style="64"/>
    <col min="11013" max="11016" width="22.83203125" style="64" customWidth="1"/>
    <col min="11017" max="11017" width="11.5" style="64" customWidth="1"/>
    <col min="11018" max="11031" width="0" style="64" hidden="1" customWidth="1"/>
    <col min="11032" max="11264" width="9.1640625" style="64"/>
    <col min="11265" max="11265" width="34.33203125" style="64" customWidth="1"/>
    <col min="11266" max="11266" width="22.83203125" style="64" customWidth="1"/>
    <col min="11267" max="11267" width="11.5" style="64" customWidth="1"/>
    <col min="11268" max="11268" width="9.1640625" style="64"/>
    <col min="11269" max="11272" width="22.83203125" style="64" customWidth="1"/>
    <col min="11273" max="11273" width="11.5" style="64" customWidth="1"/>
    <col min="11274" max="11287" width="0" style="64" hidden="1" customWidth="1"/>
    <col min="11288" max="11520" width="9.1640625" style="64"/>
    <col min="11521" max="11521" width="34.33203125" style="64" customWidth="1"/>
    <col min="11522" max="11522" width="22.83203125" style="64" customWidth="1"/>
    <col min="11523" max="11523" width="11.5" style="64" customWidth="1"/>
    <col min="11524" max="11524" width="9.1640625" style="64"/>
    <col min="11525" max="11528" width="22.83203125" style="64" customWidth="1"/>
    <col min="11529" max="11529" width="11.5" style="64" customWidth="1"/>
    <col min="11530" max="11543" width="0" style="64" hidden="1" customWidth="1"/>
    <col min="11544" max="11776" width="9.1640625" style="64"/>
    <col min="11777" max="11777" width="34.33203125" style="64" customWidth="1"/>
    <col min="11778" max="11778" width="22.83203125" style="64" customWidth="1"/>
    <col min="11779" max="11779" width="11.5" style="64" customWidth="1"/>
    <col min="11780" max="11780" width="9.1640625" style="64"/>
    <col min="11781" max="11784" width="22.83203125" style="64" customWidth="1"/>
    <col min="11785" max="11785" width="11.5" style="64" customWidth="1"/>
    <col min="11786" max="11799" width="0" style="64" hidden="1" customWidth="1"/>
    <col min="11800" max="12032" width="9.1640625" style="64"/>
    <col min="12033" max="12033" width="34.33203125" style="64" customWidth="1"/>
    <col min="12034" max="12034" width="22.83203125" style="64" customWidth="1"/>
    <col min="12035" max="12035" width="11.5" style="64" customWidth="1"/>
    <col min="12036" max="12036" width="9.1640625" style="64"/>
    <col min="12037" max="12040" width="22.83203125" style="64" customWidth="1"/>
    <col min="12041" max="12041" width="11.5" style="64" customWidth="1"/>
    <col min="12042" max="12055" width="0" style="64" hidden="1" customWidth="1"/>
    <col min="12056" max="12288" width="9.1640625" style="64"/>
    <col min="12289" max="12289" width="34.33203125" style="64" customWidth="1"/>
    <col min="12290" max="12290" width="22.83203125" style="64" customWidth="1"/>
    <col min="12291" max="12291" width="11.5" style="64" customWidth="1"/>
    <col min="12292" max="12292" width="9.1640625" style="64"/>
    <col min="12293" max="12296" width="22.83203125" style="64" customWidth="1"/>
    <col min="12297" max="12297" width="11.5" style="64" customWidth="1"/>
    <col min="12298" max="12311" width="0" style="64" hidden="1" customWidth="1"/>
    <col min="12312" max="12544" width="9.1640625" style="64"/>
    <col min="12545" max="12545" width="34.33203125" style="64" customWidth="1"/>
    <col min="12546" max="12546" width="22.83203125" style="64" customWidth="1"/>
    <col min="12547" max="12547" width="11.5" style="64" customWidth="1"/>
    <col min="12548" max="12548" width="9.1640625" style="64"/>
    <col min="12549" max="12552" width="22.83203125" style="64" customWidth="1"/>
    <col min="12553" max="12553" width="11.5" style="64" customWidth="1"/>
    <col min="12554" max="12567" width="0" style="64" hidden="1" customWidth="1"/>
    <col min="12568" max="12800" width="9.1640625" style="64"/>
    <col min="12801" max="12801" width="34.33203125" style="64" customWidth="1"/>
    <col min="12802" max="12802" width="22.83203125" style="64" customWidth="1"/>
    <col min="12803" max="12803" width="11.5" style="64" customWidth="1"/>
    <col min="12804" max="12804" width="9.1640625" style="64"/>
    <col min="12805" max="12808" width="22.83203125" style="64" customWidth="1"/>
    <col min="12809" max="12809" width="11.5" style="64" customWidth="1"/>
    <col min="12810" max="12823" width="0" style="64" hidden="1" customWidth="1"/>
    <col min="12824" max="13056" width="9.1640625" style="64"/>
    <col min="13057" max="13057" width="34.33203125" style="64" customWidth="1"/>
    <col min="13058" max="13058" width="22.83203125" style="64" customWidth="1"/>
    <col min="13059" max="13059" width="11.5" style="64" customWidth="1"/>
    <col min="13060" max="13060" width="9.1640625" style="64"/>
    <col min="13061" max="13064" width="22.83203125" style="64" customWidth="1"/>
    <col min="13065" max="13065" width="11.5" style="64" customWidth="1"/>
    <col min="13066" max="13079" width="0" style="64" hidden="1" customWidth="1"/>
    <col min="13080" max="13312" width="9.1640625" style="64"/>
    <col min="13313" max="13313" width="34.33203125" style="64" customWidth="1"/>
    <col min="13314" max="13314" width="22.83203125" style="64" customWidth="1"/>
    <col min="13315" max="13315" width="11.5" style="64" customWidth="1"/>
    <col min="13316" max="13316" width="9.1640625" style="64"/>
    <col min="13317" max="13320" width="22.83203125" style="64" customWidth="1"/>
    <col min="13321" max="13321" width="11.5" style="64" customWidth="1"/>
    <col min="13322" max="13335" width="0" style="64" hidden="1" customWidth="1"/>
    <col min="13336" max="13568" width="9.1640625" style="64"/>
    <col min="13569" max="13569" width="34.33203125" style="64" customWidth="1"/>
    <col min="13570" max="13570" width="22.83203125" style="64" customWidth="1"/>
    <col min="13571" max="13571" width="11.5" style="64" customWidth="1"/>
    <col min="13572" max="13572" width="9.1640625" style="64"/>
    <col min="13573" max="13576" width="22.83203125" style="64" customWidth="1"/>
    <col min="13577" max="13577" width="11.5" style="64" customWidth="1"/>
    <col min="13578" max="13591" width="0" style="64" hidden="1" customWidth="1"/>
    <col min="13592" max="13824" width="9.1640625" style="64"/>
    <col min="13825" max="13825" width="34.33203125" style="64" customWidth="1"/>
    <col min="13826" max="13826" width="22.83203125" style="64" customWidth="1"/>
    <col min="13827" max="13827" width="11.5" style="64" customWidth="1"/>
    <col min="13828" max="13828" width="9.1640625" style="64"/>
    <col min="13829" max="13832" width="22.83203125" style="64" customWidth="1"/>
    <col min="13833" max="13833" width="11.5" style="64" customWidth="1"/>
    <col min="13834" max="13847" width="0" style="64" hidden="1" customWidth="1"/>
    <col min="13848" max="14080" width="9.1640625" style="64"/>
    <col min="14081" max="14081" width="34.33203125" style="64" customWidth="1"/>
    <col min="14082" max="14082" width="22.83203125" style="64" customWidth="1"/>
    <col min="14083" max="14083" width="11.5" style="64" customWidth="1"/>
    <col min="14084" max="14084" width="9.1640625" style="64"/>
    <col min="14085" max="14088" width="22.83203125" style="64" customWidth="1"/>
    <col min="14089" max="14089" width="11.5" style="64" customWidth="1"/>
    <col min="14090" max="14103" width="0" style="64" hidden="1" customWidth="1"/>
    <col min="14104" max="14336" width="9.1640625" style="64"/>
    <col min="14337" max="14337" width="34.33203125" style="64" customWidth="1"/>
    <col min="14338" max="14338" width="22.83203125" style="64" customWidth="1"/>
    <col min="14339" max="14339" width="11.5" style="64" customWidth="1"/>
    <col min="14340" max="14340" width="9.1640625" style="64"/>
    <col min="14341" max="14344" width="22.83203125" style="64" customWidth="1"/>
    <col min="14345" max="14345" width="11.5" style="64" customWidth="1"/>
    <col min="14346" max="14359" width="0" style="64" hidden="1" customWidth="1"/>
    <col min="14360" max="14592" width="9.1640625" style="64"/>
    <col min="14593" max="14593" width="34.33203125" style="64" customWidth="1"/>
    <col min="14594" max="14594" width="22.83203125" style="64" customWidth="1"/>
    <col min="14595" max="14595" width="11.5" style="64" customWidth="1"/>
    <col min="14596" max="14596" width="9.1640625" style="64"/>
    <col min="14597" max="14600" width="22.83203125" style="64" customWidth="1"/>
    <col min="14601" max="14601" width="11.5" style="64" customWidth="1"/>
    <col min="14602" max="14615" width="0" style="64" hidden="1" customWidth="1"/>
    <col min="14616" max="14848" width="9.1640625" style="64"/>
    <col min="14849" max="14849" width="34.33203125" style="64" customWidth="1"/>
    <col min="14850" max="14850" width="22.83203125" style="64" customWidth="1"/>
    <col min="14851" max="14851" width="11.5" style="64" customWidth="1"/>
    <col min="14852" max="14852" width="9.1640625" style="64"/>
    <col min="14853" max="14856" width="22.83203125" style="64" customWidth="1"/>
    <col min="14857" max="14857" width="11.5" style="64" customWidth="1"/>
    <col min="14858" max="14871" width="0" style="64" hidden="1" customWidth="1"/>
    <col min="14872" max="15104" width="9.1640625" style="64"/>
    <col min="15105" max="15105" width="34.33203125" style="64" customWidth="1"/>
    <col min="15106" max="15106" width="22.83203125" style="64" customWidth="1"/>
    <col min="15107" max="15107" width="11.5" style="64" customWidth="1"/>
    <col min="15108" max="15108" width="9.1640625" style="64"/>
    <col min="15109" max="15112" width="22.83203125" style="64" customWidth="1"/>
    <col min="15113" max="15113" width="11.5" style="64" customWidth="1"/>
    <col min="15114" max="15127" width="0" style="64" hidden="1" customWidth="1"/>
    <col min="15128" max="15360" width="9.1640625" style="64"/>
    <col min="15361" max="15361" width="34.33203125" style="64" customWidth="1"/>
    <col min="15362" max="15362" width="22.83203125" style="64" customWidth="1"/>
    <col min="15363" max="15363" width="11.5" style="64" customWidth="1"/>
    <col min="15364" max="15364" width="9.1640625" style="64"/>
    <col min="15365" max="15368" width="22.83203125" style="64" customWidth="1"/>
    <col min="15369" max="15369" width="11.5" style="64" customWidth="1"/>
    <col min="15370" max="15383" width="0" style="64" hidden="1" customWidth="1"/>
    <col min="15384" max="15616" width="9.1640625" style="64"/>
    <col min="15617" max="15617" width="34.33203125" style="64" customWidth="1"/>
    <col min="15618" max="15618" width="22.83203125" style="64" customWidth="1"/>
    <col min="15619" max="15619" width="11.5" style="64" customWidth="1"/>
    <col min="15620" max="15620" width="9.1640625" style="64"/>
    <col min="15621" max="15624" width="22.83203125" style="64" customWidth="1"/>
    <col min="15625" max="15625" width="11.5" style="64" customWidth="1"/>
    <col min="15626" max="15639" width="0" style="64" hidden="1" customWidth="1"/>
    <col min="15640" max="15872" width="9.1640625" style="64"/>
    <col min="15873" max="15873" width="34.33203125" style="64" customWidth="1"/>
    <col min="15874" max="15874" width="22.83203125" style="64" customWidth="1"/>
    <col min="15875" max="15875" width="11.5" style="64" customWidth="1"/>
    <col min="15876" max="15876" width="9.1640625" style="64"/>
    <col min="15877" max="15880" width="22.83203125" style="64" customWidth="1"/>
    <col min="15881" max="15881" width="11.5" style="64" customWidth="1"/>
    <col min="15882" max="15895" width="0" style="64" hidden="1" customWidth="1"/>
    <col min="15896" max="16128" width="9.1640625" style="64"/>
    <col min="16129" max="16129" width="34.33203125" style="64" customWidth="1"/>
    <col min="16130" max="16130" width="22.83203125" style="64" customWidth="1"/>
    <col min="16131" max="16131" width="11.5" style="64" customWidth="1"/>
    <col min="16132" max="16132" width="9.1640625" style="64"/>
    <col min="16133" max="16136" width="22.83203125" style="64" customWidth="1"/>
    <col min="16137" max="16137" width="11.5" style="64" customWidth="1"/>
    <col min="16138" max="16151" width="0" style="64" hidden="1" customWidth="1"/>
    <col min="16152" max="16384" width="9.1640625" style="64"/>
  </cols>
  <sheetData>
    <row r="1" spans="1:25" ht="58.15" customHeight="1" x14ac:dyDescent="0.15">
      <c r="A1" s="422" t="s">
        <v>3188</v>
      </c>
      <c r="B1" s="422"/>
      <c r="C1" s="422"/>
      <c r="D1" s="422"/>
      <c r="E1" s="422"/>
      <c r="F1" s="422"/>
      <c r="G1" s="422"/>
      <c r="H1" s="422"/>
      <c r="I1" s="422"/>
    </row>
    <row r="2" spans="1:25" ht="30" customHeight="1" x14ac:dyDescent="0.15">
      <c r="A2" s="135" t="s">
        <v>445</v>
      </c>
      <c r="B2" s="135" t="s">
        <v>1092</v>
      </c>
      <c r="C2" s="135" t="s">
        <v>73</v>
      </c>
      <c r="D2" s="135" t="s">
        <v>2682</v>
      </c>
      <c r="E2" s="135" t="s">
        <v>2786</v>
      </c>
      <c r="F2" s="135" t="s">
        <v>1942</v>
      </c>
      <c r="G2" s="135" t="s">
        <v>1175</v>
      </c>
      <c r="H2" s="135" t="s">
        <v>171</v>
      </c>
      <c r="I2" s="135" t="s">
        <v>716</v>
      </c>
      <c r="T2" s="65" t="s">
        <v>1765</v>
      </c>
      <c r="U2" s="65" t="s">
        <v>2437</v>
      </c>
      <c r="V2" s="65" t="s">
        <v>2373</v>
      </c>
      <c r="W2" s="65" t="s">
        <v>900</v>
      </c>
      <c r="Y2" s="65" t="s">
        <v>602</v>
      </c>
    </row>
    <row r="3" spans="1:25" ht="30" hidden="1" customHeight="1" x14ac:dyDescent="0.15">
      <c r="A3" s="66" t="s">
        <v>2991</v>
      </c>
      <c r="B3" s="66" t="s">
        <v>553</v>
      </c>
      <c r="C3" s="66">
        <v>1</v>
      </c>
      <c r="D3" s="65" t="s">
        <v>2822</v>
      </c>
      <c r="E3" s="67">
        <f t="shared" ref="E3:E11" si="0">F3+G3+H3</f>
        <v>4950</v>
      </c>
      <c r="F3" s="67">
        <f>[4]일위대가_산근!C4</f>
        <v>292</v>
      </c>
      <c r="G3" s="67">
        <f>[4]일위대가_산근!D4</f>
        <v>4277</v>
      </c>
      <c r="H3" s="67">
        <f>[4]일위대가_산근!E4</f>
        <v>381</v>
      </c>
      <c r="I3" s="66" t="s">
        <v>2859</v>
      </c>
      <c r="J3" s="64" t="s">
        <v>2859</v>
      </c>
      <c r="K3" s="64" t="s">
        <v>2992</v>
      </c>
      <c r="L3" s="64" t="s">
        <v>2417</v>
      </c>
      <c r="T3" s="67">
        <v>275</v>
      </c>
      <c r="U3" s="67">
        <v>4277</v>
      </c>
      <c r="V3" s="67">
        <v>381</v>
      </c>
      <c r="W3" s="67">
        <v>4933</v>
      </c>
      <c r="Y3" s="68" t="b">
        <f t="shared" ref="Y3:Y6" si="1">EXACT($E3,$W3)</f>
        <v>0</v>
      </c>
    </row>
    <row r="4" spans="1:25" ht="30" hidden="1" customHeight="1" x14ac:dyDescent="0.15">
      <c r="A4" s="66" t="s">
        <v>2993</v>
      </c>
      <c r="B4" s="66" t="s">
        <v>2436</v>
      </c>
      <c r="C4" s="66">
        <v>1</v>
      </c>
      <c r="D4" s="65" t="s">
        <v>2822</v>
      </c>
      <c r="E4" s="67">
        <f t="shared" si="0"/>
        <v>1561</v>
      </c>
      <c r="F4" s="67">
        <f>[4]일위대가_산근!C35</f>
        <v>278</v>
      </c>
      <c r="G4" s="67">
        <f>[4]일위대가_산근!D35</f>
        <v>920</v>
      </c>
      <c r="H4" s="67">
        <f>[4]일위대가_산근!E35</f>
        <v>363</v>
      </c>
      <c r="I4" s="66" t="s">
        <v>2859</v>
      </c>
      <c r="J4" s="64" t="s">
        <v>2859</v>
      </c>
      <c r="K4" s="64" t="s">
        <v>2994</v>
      </c>
      <c r="L4" s="64" t="s">
        <v>2417</v>
      </c>
      <c r="T4" s="67">
        <v>261</v>
      </c>
      <c r="U4" s="67">
        <v>920</v>
      </c>
      <c r="V4" s="67">
        <v>363</v>
      </c>
      <c r="W4" s="67">
        <v>1544</v>
      </c>
      <c r="Y4" s="68" t="b">
        <f t="shared" si="1"/>
        <v>0</v>
      </c>
    </row>
    <row r="5" spans="1:25" ht="30" hidden="1" customHeight="1" x14ac:dyDescent="0.15">
      <c r="A5" s="66" t="s">
        <v>2995</v>
      </c>
      <c r="B5" s="66" t="s">
        <v>2996</v>
      </c>
      <c r="C5" s="66">
        <v>1</v>
      </c>
      <c r="D5" s="65" t="s">
        <v>2822</v>
      </c>
      <c r="E5" s="67">
        <f t="shared" si="0"/>
        <v>6988</v>
      </c>
      <c r="F5" s="67">
        <f>[4]일위대가_산근!C60</f>
        <v>440</v>
      </c>
      <c r="G5" s="67">
        <f>[4]일위대가_산근!D60</f>
        <v>6160</v>
      </c>
      <c r="H5" s="67">
        <f>[4]일위대가_산근!E60</f>
        <v>388</v>
      </c>
      <c r="I5" s="66" t="s">
        <v>2859</v>
      </c>
      <c r="J5" s="64" t="s">
        <v>2859</v>
      </c>
      <c r="K5" s="64" t="s">
        <v>2997</v>
      </c>
      <c r="L5" s="64" t="s">
        <v>2417</v>
      </c>
      <c r="T5" s="67">
        <v>396</v>
      </c>
      <c r="U5" s="67">
        <v>6160</v>
      </c>
      <c r="V5" s="67">
        <v>370</v>
      </c>
      <c r="W5" s="67">
        <v>6926</v>
      </c>
      <c r="Y5" s="68" t="b">
        <f t="shared" si="1"/>
        <v>0</v>
      </c>
    </row>
    <row r="6" spans="1:25" ht="30" hidden="1" customHeight="1" x14ac:dyDescent="0.15">
      <c r="A6" s="66" t="s">
        <v>2998</v>
      </c>
      <c r="B6" s="66" t="s">
        <v>2999</v>
      </c>
      <c r="C6" s="66">
        <v>1</v>
      </c>
      <c r="D6" s="65" t="s">
        <v>2822</v>
      </c>
      <c r="E6" s="67">
        <f t="shared" si="0"/>
        <v>10702</v>
      </c>
      <c r="F6" s="67">
        <f>[4]일위대가_산근!C93</f>
        <v>1075</v>
      </c>
      <c r="G6" s="67">
        <f>[4]일위대가_산근!D93</f>
        <v>8587</v>
      </c>
      <c r="H6" s="67">
        <f>[4]일위대가_산근!E93</f>
        <v>1040</v>
      </c>
      <c r="I6" s="66" t="s">
        <v>2859</v>
      </c>
      <c r="J6" s="64" t="s">
        <v>2859</v>
      </c>
      <c r="K6" s="64" t="s">
        <v>3000</v>
      </c>
      <c r="L6" s="64" t="s">
        <v>2417</v>
      </c>
      <c r="T6" s="67">
        <v>1013</v>
      </c>
      <c r="U6" s="67">
        <v>8589</v>
      </c>
      <c r="V6" s="67">
        <v>1041</v>
      </c>
      <c r="W6" s="67">
        <v>10643</v>
      </c>
      <c r="Y6" s="68" t="b">
        <f t="shared" si="1"/>
        <v>0</v>
      </c>
    </row>
    <row r="7" spans="1:25" ht="30" customHeight="1" x14ac:dyDescent="0.15">
      <c r="A7" s="130" t="str">
        <f>'일위대가_호표(신규)'!A3</f>
        <v>No.1  PE관 설치</v>
      </c>
      <c r="B7" s="131" t="str">
        <f>'일위대가_호표(신규)'!B3</f>
        <v>Φ200</v>
      </c>
      <c r="C7" s="132"/>
      <c r="D7" s="136"/>
      <c r="E7" s="133">
        <f t="shared" si="0"/>
        <v>25314</v>
      </c>
      <c r="F7" s="133">
        <f>'일위대가_호표(신규)'!H9</f>
        <v>18130</v>
      </c>
      <c r="G7" s="133">
        <f>'일위대가_호표(신규)'!J9</f>
        <v>6976</v>
      </c>
      <c r="H7" s="133">
        <f>'일위대가_호표(신규)'!L9</f>
        <v>208</v>
      </c>
      <c r="I7" s="132"/>
      <c r="T7" s="67"/>
      <c r="U7" s="67"/>
      <c r="V7" s="67"/>
      <c r="W7" s="67"/>
      <c r="Y7" s="68"/>
    </row>
    <row r="8" spans="1:25" ht="30" customHeight="1" x14ac:dyDescent="0.15">
      <c r="A8" s="130" t="str">
        <f>'일위대가_호표(신규)'!A11</f>
        <v>No.2  스틸그레이팅 설치</v>
      </c>
      <c r="B8" s="130" t="str">
        <f>'일위대가_호표(신규)'!B11</f>
        <v>무소음닥타일</v>
      </c>
      <c r="C8" s="130">
        <f>'일위대가_호표(신규)'!C11</f>
        <v>1</v>
      </c>
      <c r="D8" s="137" t="str">
        <f>'일위대가_호표(신규)'!D11</f>
        <v>M2</v>
      </c>
      <c r="E8" s="133">
        <f t="shared" si="0"/>
        <v>285978</v>
      </c>
      <c r="F8" s="133">
        <f>'일위대가_호표(신규)'!H14</f>
        <v>272360</v>
      </c>
      <c r="G8" s="133">
        <f>'일위대가_호표(신규)'!J14</f>
        <v>13618</v>
      </c>
      <c r="H8" s="133">
        <f>'일위대가_호표(신규)'!L14</f>
        <v>0</v>
      </c>
      <c r="I8" s="132"/>
      <c r="T8" s="67"/>
      <c r="U8" s="67"/>
      <c r="V8" s="67"/>
      <c r="W8" s="67"/>
      <c r="Y8" s="68"/>
    </row>
    <row r="9" spans="1:25" ht="30" customHeight="1" x14ac:dyDescent="0.15">
      <c r="A9" s="130" t="str">
        <f>'일위대가_호표(신규)'!A16</f>
        <v>No.3  유공관설치</v>
      </c>
      <c r="B9" s="130" t="str">
        <f>'일위대가_호표(신규)'!B16</f>
        <v>W310</v>
      </c>
      <c r="C9" s="130">
        <f>'일위대가_호표(신규)'!C16</f>
        <v>1</v>
      </c>
      <c r="D9" s="137" t="str">
        <f>'일위대가_호표(신규)'!D16</f>
        <v>m</v>
      </c>
      <c r="E9" s="133">
        <f t="shared" si="0"/>
        <v>31404</v>
      </c>
      <c r="F9" s="133">
        <f>'일위대가_호표(신규)'!H24</f>
        <v>21691</v>
      </c>
      <c r="G9" s="133">
        <f>'일위대가_호표(신규)'!J24</f>
        <v>9515</v>
      </c>
      <c r="H9" s="133">
        <f>'일위대가_호표(신규)'!L24</f>
        <v>198</v>
      </c>
      <c r="I9" s="132"/>
      <c r="T9" s="67"/>
      <c r="U9" s="67"/>
      <c r="V9" s="67"/>
      <c r="W9" s="67"/>
      <c r="Y9" s="68"/>
    </row>
    <row r="10" spans="1:25" ht="30" customHeight="1" x14ac:dyDescent="0.15">
      <c r="A10" s="130" t="str">
        <f>'일위대가_호표(신규)'!A26</f>
        <v>No.4  P.V.C관 접합 및 부설</v>
      </c>
      <c r="B10" s="130" t="str">
        <f>'일위대가_호표(신규)'!B26</f>
        <v>고무링접합,150m적용</v>
      </c>
      <c r="C10" s="130">
        <f>'일위대가_호표(신규)'!C26</f>
        <v>1</v>
      </c>
      <c r="D10" s="137" t="str">
        <f>'일위대가_호표(신규)'!D26</f>
        <v>m</v>
      </c>
      <c r="E10" s="133">
        <f t="shared" si="0"/>
        <v>7175</v>
      </c>
      <c r="F10" s="134">
        <f>'일위대가_호표(신규)'!H29</f>
        <v>0</v>
      </c>
      <c r="G10" s="134">
        <f>'일위대가_호표(신규)'!J29</f>
        <v>7175</v>
      </c>
      <c r="H10" s="134">
        <f>'일위대가_호표(신규)'!L29</f>
        <v>0</v>
      </c>
      <c r="I10" s="130"/>
    </row>
    <row r="11" spans="1:25" ht="30" customHeight="1" x14ac:dyDescent="0.15">
      <c r="A11" s="130" t="str">
        <f>'일위대가_호표(신규)'!A31</f>
        <v>No.5  가설방음벽(RPP)</v>
      </c>
      <c r="B11" s="130" t="str">
        <f>'일위대가_호표(신규)'!B31</f>
        <v>방음벽3m+방진망1m</v>
      </c>
      <c r="C11" s="130">
        <v>1</v>
      </c>
      <c r="D11" s="137" t="s">
        <v>3213</v>
      </c>
      <c r="E11" s="133">
        <f t="shared" si="0"/>
        <v>91887</v>
      </c>
      <c r="F11" s="134">
        <f>'일위대가_호표(신규)'!H33</f>
        <v>358</v>
      </c>
      <c r="G11" s="134">
        <f>'일위대가_호표(신규)'!J33</f>
        <v>36530</v>
      </c>
      <c r="H11" s="134">
        <f>'일위대가_호표(신규)'!L33</f>
        <v>54999</v>
      </c>
      <c r="I11" s="130"/>
    </row>
    <row r="12" spans="1:25" ht="30" customHeight="1" x14ac:dyDescent="0.15">
      <c r="A12" s="130"/>
      <c r="B12" s="130"/>
      <c r="C12" s="130"/>
      <c r="D12" s="137"/>
      <c r="E12" s="133"/>
      <c r="F12" s="134"/>
      <c r="G12" s="134"/>
      <c r="H12" s="134"/>
      <c r="I12" s="130"/>
    </row>
    <row r="13" spans="1:25" ht="30" customHeight="1" x14ac:dyDescent="0.15">
      <c r="A13" s="130"/>
      <c r="B13" s="130"/>
      <c r="C13" s="130"/>
      <c r="D13" s="137"/>
      <c r="E13" s="133"/>
      <c r="F13" s="134"/>
      <c r="G13" s="134"/>
      <c r="H13" s="134"/>
      <c r="I13" s="130"/>
    </row>
    <row r="14" spans="1:25" ht="30" customHeight="1" x14ac:dyDescent="0.15">
      <c r="A14" s="130"/>
      <c r="B14" s="130"/>
      <c r="C14" s="130"/>
      <c r="D14" s="137"/>
      <c r="E14" s="133"/>
      <c r="F14" s="134"/>
      <c r="G14" s="134"/>
      <c r="H14" s="134"/>
      <c r="I14" s="130"/>
    </row>
    <row r="15" spans="1:25" ht="30" customHeight="1" x14ac:dyDescent="0.15">
      <c r="A15" s="130"/>
      <c r="B15" s="130"/>
      <c r="C15" s="130"/>
      <c r="D15" s="137"/>
      <c r="E15" s="133"/>
      <c r="F15" s="134"/>
      <c r="G15" s="134"/>
      <c r="H15" s="134"/>
      <c r="I15" s="130"/>
    </row>
    <row r="16" spans="1:25" ht="30" customHeight="1" x14ac:dyDescent="0.15">
      <c r="A16" s="130"/>
      <c r="B16" s="130"/>
      <c r="C16" s="130"/>
      <c r="D16" s="137"/>
      <c r="E16" s="133"/>
      <c r="F16" s="134"/>
      <c r="G16" s="134"/>
      <c r="H16" s="134"/>
      <c r="I16" s="130"/>
    </row>
    <row r="17" spans="1:9" ht="30" customHeight="1" x14ac:dyDescent="0.15">
      <c r="A17" s="130"/>
      <c r="B17" s="130"/>
      <c r="C17" s="130"/>
      <c r="D17" s="137"/>
      <c r="E17" s="133"/>
      <c r="F17" s="134"/>
      <c r="G17" s="134"/>
      <c r="H17" s="134"/>
      <c r="I17" s="130"/>
    </row>
    <row r="18" spans="1:9" ht="30" customHeight="1" x14ac:dyDescent="0.15">
      <c r="A18" s="130"/>
      <c r="B18" s="130"/>
      <c r="C18" s="130"/>
      <c r="D18" s="137"/>
      <c r="E18" s="133"/>
      <c r="F18" s="134"/>
      <c r="G18" s="134"/>
      <c r="H18" s="134"/>
      <c r="I18" s="130"/>
    </row>
    <row r="19" spans="1:9" ht="30" customHeight="1" x14ac:dyDescent="0.15">
      <c r="A19" s="130"/>
      <c r="B19" s="130"/>
      <c r="C19" s="130"/>
      <c r="D19" s="137"/>
      <c r="E19" s="133"/>
      <c r="F19" s="134"/>
      <c r="G19" s="134"/>
      <c r="H19" s="134"/>
      <c r="I19" s="130"/>
    </row>
    <row r="20" spans="1:9" ht="30" customHeight="1" x14ac:dyDescent="0.15">
      <c r="A20" s="130"/>
      <c r="B20" s="130"/>
      <c r="C20" s="130"/>
      <c r="D20" s="137"/>
      <c r="E20" s="133"/>
      <c r="F20" s="134"/>
      <c r="G20" s="134"/>
      <c r="H20" s="134"/>
      <c r="I20" s="130"/>
    </row>
    <row r="21" spans="1:9" ht="30" customHeight="1" x14ac:dyDescent="0.15">
      <c r="A21" s="130"/>
      <c r="B21" s="130"/>
      <c r="C21" s="130"/>
      <c r="D21" s="137"/>
      <c r="E21" s="133"/>
      <c r="F21" s="134"/>
      <c r="G21" s="134"/>
      <c r="H21" s="134"/>
      <c r="I21" s="130"/>
    </row>
    <row r="22" spans="1:9" ht="30" customHeight="1" x14ac:dyDescent="0.15">
      <c r="A22" s="130"/>
      <c r="B22" s="130"/>
      <c r="C22" s="130"/>
      <c r="D22" s="137"/>
      <c r="E22" s="133"/>
      <c r="F22" s="134"/>
      <c r="G22" s="134"/>
      <c r="H22" s="134"/>
      <c r="I22" s="130"/>
    </row>
    <row r="23" spans="1:9" ht="30" customHeight="1" x14ac:dyDescent="0.15">
      <c r="A23" s="130"/>
      <c r="B23" s="130"/>
      <c r="C23" s="130"/>
      <c r="D23" s="137"/>
      <c r="E23" s="133"/>
      <c r="F23" s="134"/>
      <c r="G23" s="134"/>
      <c r="H23" s="134"/>
      <c r="I23" s="130"/>
    </row>
    <row r="24" spans="1:9" ht="30" customHeight="1" x14ac:dyDescent="0.15">
      <c r="A24" s="130"/>
      <c r="B24" s="130"/>
      <c r="C24" s="130"/>
      <c r="D24" s="137"/>
      <c r="E24" s="133"/>
      <c r="F24" s="134"/>
      <c r="G24" s="134"/>
      <c r="H24" s="134"/>
      <c r="I24" s="130"/>
    </row>
    <row r="25" spans="1:9" ht="30" customHeight="1" x14ac:dyDescent="0.15">
      <c r="A25" s="130"/>
      <c r="B25" s="130"/>
      <c r="C25" s="130"/>
      <c r="D25" s="137"/>
      <c r="E25" s="133"/>
      <c r="F25" s="134"/>
      <c r="G25" s="134"/>
      <c r="H25" s="134"/>
      <c r="I25" s="130"/>
    </row>
    <row r="26" spans="1:9" ht="30" customHeight="1" x14ac:dyDescent="0.15">
      <c r="A26" s="130"/>
      <c r="B26" s="130"/>
      <c r="C26" s="130"/>
      <c r="D26" s="137"/>
      <c r="E26" s="133"/>
      <c r="F26" s="134"/>
      <c r="G26" s="134"/>
      <c r="H26" s="134"/>
      <c r="I26" s="130"/>
    </row>
    <row r="27" spans="1:9" ht="30" customHeight="1" x14ac:dyDescent="0.15">
      <c r="A27" s="130"/>
      <c r="B27" s="130"/>
      <c r="C27" s="130"/>
      <c r="D27" s="137"/>
      <c r="E27" s="133"/>
      <c r="F27" s="134"/>
      <c r="G27" s="134"/>
      <c r="H27" s="134"/>
      <c r="I27" s="130"/>
    </row>
    <row r="28" spans="1:9" ht="30" customHeight="1" x14ac:dyDescent="0.15">
      <c r="A28" s="130"/>
      <c r="B28" s="130"/>
      <c r="C28" s="130"/>
      <c r="D28" s="137"/>
      <c r="E28" s="133"/>
      <c r="F28" s="134"/>
      <c r="G28" s="134"/>
      <c r="H28" s="134"/>
      <c r="I28" s="130"/>
    </row>
    <row r="29" spans="1:9" ht="30" customHeight="1" x14ac:dyDescent="0.15">
      <c r="A29" s="130"/>
      <c r="B29" s="130"/>
      <c r="C29" s="130"/>
      <c r="D29" s="137"/>
      <c r="E29" s="133"/>
      <c r="F29" s="134"/>
      <c r="G29" s="134"/>
      <c r="H29" s="134"/>
      <c r="I29" s="130"/>
    </row>
  </sheetData>
  <mergeCells count="1">
    <mergeCell ref="A1:I1"/>
  </mergeCells>
  <phoneticPr fontId="5" type="noConversion"/>
  <printOptions horizontalCentered="1"/>
  <pageMargins left="0.31496062992125984" right="0.31496062992125984" top="0.98425196850393704" bottom="0.59055118110236227" header="0.51181102362204722" footer="0.51181102362204722"/>
  <pageSetup paperSize="9" scale="95" orientation="portrait" r:id="rId1"/>
  <headerFooter alignWithMargins="0"/>
  <colBreaks count="1" manualBreakCount="1">
    <brk id="23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4D511-5519-49A7-B056-5BEB70E7863C}">
  <sheetPr>
    <tabColor rgb="FFFF0000"/>
  </sheetPr>
  <dimension ref="A1:AD70"/>
  <sheetViews>
    <sheetView view="pageBreakPreview" zoomScaleNormal="100" zoomScaleSheetLayoutView="100" workbookViewId="0">
      <pane ySplit="2" topLeftCell="A24" activePane="bottomLeft" state="frozen"/>
      <selection activeCell="F8" sqref="F8"/>
      <selection pane="bottomLeft" activeCell="F8" sqref="F8"/>
    </sheetView>
  </sheetViews>
  <sheetFormatPr defaultRowHeight="12.75" customHeight="1" x14ac:dyDescent="0.15"/>
  <cols>
    <col min="1" max="1" width="28.5" style="64" customWidth="1"/>
    <col min="2" max="2" width="22.83203125" style="64" customWidth="1"/>
    <col min="3" max="3" width="9.1640625" style="138" customWidth="1"/>
    <col min="4" max="4" width="4.5" style="64" customWidth="1"/>
    <col min="5" max="5" width="13.33203125" style="64" customWidth="1"/>
    <col min="6" max="6" width="14.83203125" style="64" customWidth="1"/>
    <col min="7" max="7" width="13.33203125" style="64" customWidth="1"/>
    <col min="8" max="8" width="14.83203125" style="64" customWidth="1"/>
    <col min="9" max="9" width="13.33203125" style="64" customWidth="1"/>
    <col min="10" max="10" width="14.83203125" style="64" customWidth="1"/>
    <col min="11" max="11" width="13.33203125" style="64" customWidth="1"/>
    <col min="12" max="12" width="12.33203125" style="64" customWidth="1"/>
    <col min="13" max="13" width="11.5" style="64" customWidth="1"/>
    <col min="14" max="59" width="0" style="64" hidden="1" customWidth="1"/>
    <col min="60" max="256" width="9.1640625" style="64"/>
    <col min="257" max="257" width="28.5" style="64" customWidth="1"/>
    <col min="258" max="258" width="22.83203125" style="64" customWidth="1"/>
    <col min="259" max="259" width="9.1640625" style="64"/>
    <col min="260" max="260" width="4.5" style="64" customWidth="1"/>
    <col min="261" max="266" width="14.83203125" style="64" customWidth="1"/>
    <col min="267" max="268" width="16" style="64" customWidth="1"/>
    <col min="269" max="269" width="11.5" style="64" customWidth="1"/>
    <col min="270" max="315" width="0" style="64" hidden="1" customWidth="1"/>
    <col min="316" max="512" width="9.1640625" style="64"/>
    <col min="513" max="513" width="28.5" style="64" customWidth="1"/>
    <col min="514" max="514" width="22.83203125" style="64" customWidth="1"/>
    <col min="515" max="515" width="9.1640625" style="64"/>
    <col min="516" max="516" width="4.5" style="64" customWidth="1"/>
    <col min="517" max="522" width="14.83203125" style="64" customWidth="1"/>
    <col min="523" max="524" width="16" style="64" customWidth="1"/>
    <col min="525" max="525" width="11.5" style="64" customWidth="1"/>
    <col min="526" max="571" width="0" style="64" hidden="1" customWidth="1"/>
    <col min="572" max="768" width="9.1640625" style="64"/>
    <col min="769" max="769" width="28.5" style="64" customWidth="1"/>
    <col min="770" max="770" width="22.83203125" style="64" customWidth="1"/>
    <col min="771" max="771" width="9.1640625" style="64"/>
    <col min="772" max="772" width="4.5" style="64" customWidth="1"/>
    <col min="773" max="778" width="14.83203125" style="64" customWidth="1"/>
    <col min="779" max="780" width="16" style="64" customWidth="1"/>
    <col min="781" max="781" width="11.5" style="64" customWidth="1"/>
    <col min="782" max="827" width="0" style="64" hidden="1" customWidth="1"/>
    <col min="828" max="1024" width="9.1640625" style="64"/>
    <col min="1025" max="1025" width="28.5" style="64" customWidth="1"/>
    <col min="1026" max="1026" width="22.83203125" style="64" customWidth="1"/>
    <col min="1027" max="1027" width="9.1640625" style="64"/>
    <col min="1028" max="1028" width="4.5" style="64" customWidth="1"/>
    <col min="1029" max="1034" width="14.83203125" style="64" customWidth="1"/>
    <col min="1035" max="1036" width="16" style="64" customWidth="1"/>
    <col min="1037" max="1037" width="11.5" style="64" customWidth="1"/>
    <col min="1038" max="1083" width="0" style="64" hidden="1" customWidth="1"/>
    <col min="1084" max="1280" width="9.1640625" style="64"/>
    <col min="1281" max="1281" width="28.5" style="64" customWidth="1"/>
    <col min="1282" max="1282" width="22.83203125" style="64" customWidth="1"/>
    <col min="1283" max="1283" width="9.1640625" style="64"/>
    <col min="1284" max="1284" width="4.5" style="64" customWidth="1"/>
    <col min="1285" max="1290" width="14.83203125" style="64" customWidth="1"/>
    <col min="1291" max="1292" width="16" style="64" customWidth="1"/>
    <col min="1293" max="1293" width="11.5" style="64" customWidth="1"/>
    <col min="1294" max="1339" width="0" style="64" hidden="1" customWidth="1"/>
    <col min="1340" max="1536" width="9.1640625" style="64"/>
    <col min="1537" max="1537" width="28.5" style="64" customWidth="1"/>
    <col min="1538" max="1538" width="22.83203125" style="64" customWidth="1"/>
    <col min="1539" max="1539" width="9.1640625" style="64"/>
    <col min="1540" max="1540" width="4.5" style="64" customWidth="1"/>
    <col min="1541" max="1546" width="14.83203125" style="64" customWidth="1"/>
    <col min="1547" max="1548" width="16" style="64" customWidth="1"/>
    <col min="1549" max="1549" width="11.5" style="64" customWidth="1"/>
    <col min="1550" max="1595" width="0" style="64" hidden="1" customWidth="1"/>
    <col min="1596" max="1792" width="9.1640625" style="64"/>
    <col min="1793" max="1793" width="28.5" style="64" customWidth="1"/>
    <col min="1794" max="1794" width="22.83203125" style="64" customWidth="1"/>
    <col min="1795" max="1795" width="9.1640625" style="64"/>
    <col min="1796" max="1796" width="4.5" style="64" customWidth="1"/>
    <col min="1797" max="1802" width="14.83203125" style="64" customWidth="1"/>
    <col min="1803" max="1804" width="16" style="64" customWidth="1"/>
    <col min="1805" max="1805" width="11.5" style="64" customWidth="1"/>
    <col min="1806" max="1851" width="0" style="64" hidden="1" customWidth="1"/>
    <col min="1852" max="2048" width="9.1640625" style="64"/>
    <col min="2049" max="2049" width="28.5" style="64" customWidth="1"/>
    <col min="2050" max="2050" width="22.83203125" style="64" customWidth="1"/>
    <col min="2051" max="2051" width="9.1640625" style="64"/>
    <col min="2052" max="2052" width="4.5" style="64" customWidth="1"/>
    <col min="2053" max="2058" width="14.83203125" style="64" customWidth="1"/>
    <col min="2059" max="2060" width="16" style="64" customWidth="1"/>
    <col min="2061" max="2061" width="11.5" style="64" customWidth="1"/>
    <col min="2062" max="2107" width="0" style="64" hidden="1" customWidth="1"/>
    <col min="2108" max="2304" width="9.1640625" style="64"/>
    <col min="2305" max="2305" width="28.5" style="64" customWidth="1"/>
    <col min="2306" max="2306" width="22.83203125" style="64" customWidth="1"/>
    <col min="2307" max="2307" width="9.1640625" style="64"/>
    <col min="2308" max="2308" width="4.5" style="64" customWidth="1"/>
    <col min="2309" max="2314" width="14.83203125" style="64" customWidth="1"/>
    <col min="2315" max="2316" width="16" style="64" customWidth="1"/>
    <col min="2317" max="2317" width="11.5" style="64" customWidth="1"/>
    <col min="2318" max="2363" width="0" style="64" hidden="1" customWidth="1"/>
    <col min="2364" max="2560" width="9.1640625" style="64"/>
    <col min="2561" max="2561" width="28.5" style="64" customWidth="1"/>
    <col min="2562" max="2562" width="22.83203125" style="64" customWidth="1"/>
    <col min="2563" max="2563" width="9.1640625" style="64"/>
    <col min="2564" max="2564" width="4.5" style="64" customWidth="1"/>
    <col min="2565" max="2570" width="14.83203125" style="64" customWidth="1"/>
    <col min="2571" max="2572" width="16" style="64" customWidth="1"/>
    <col min="2573" max="2573" width="11.5" style="64" customWidth="1"/>
    <col min="2574" max="2619" width="0" style="64" hidden="1" customWidth="1"/>
    <col min="2620" max="2816" width="9.1640625" style="64"/>
    <col min="2817" max="2817" width="28.5" style="64" customWidth="1"/>
    <col min="2818" max="2818" width="22.83203125" style="64" customWidth="1"/>
    <col min="2819" max="2819" width="9.1640625" style="64"/>
    <col min="2820" max="2820" width="4.5" style="64" customWidth="1"/>
    <col min="2821" max="2826" width="14.83203125" style="64" customWidth="1"/>
    <col min="2827" max="2828" width="16" style="64" customWidth="1"/>
    <col min="2829" max="2829" width="11.5" style="64" customWidth="1"/>
    <col min="2830" max="2875" width="0" style="64" hidden="1" customWidth="1"/>
    <col min="2876" max="3072" width="9.1640625" style="64"/>
    <col min="3073" max="3073" width="28.5" style="64" customWidth="1"/>
    <col min="3074" max="3074" width="22.83203125" style="64" customWidth="1"/>
    <col min="3075" max="3075" width="9.1640625" style="64"/>
    <col min="3076" max="3076" width="4.5" style="64" customWidth="1"/>
    <col min="3077" max="3082" width="14.83203125" style="64" customWidth="1"/>
    <col min="3083" max="3084" width="16" style="64" customWidth="1"/>
    <col min="3085" max="3085" width="11.5" style="64" customWidth="1"/>
    <col min="3086" max="3131" width="0" style="64" hidden="1" customWidth="1"/>
    <col min="3132" max="3328" width="9.1640625" style="64"/>
    <col min="3329" max="3329" width="28.5" style="64" customWidth="1"/>
    <col min="3330" max="3330" width="22.83203125" style="64" customWidth="1"/>
    <col min="3331" max="3331" width="9.1640625" style="64"/>
    <col min="3332" max="3332" width="4.5" style="64" customWidth="1"/>
    <col min="3333" max="3338" width="14.83203125" style="64" customWidth="1"/>
    <col min="3339" max="3340" width="16" style="64" customWidth="1"/>
    <col min="3341" max="3341" width="11.5" style="64" customWidth="1"/>
    <col min="3342" max="3387" width="0" style="64" hidden="1" customWidth="1"/>
    <col min="3388" max="3584" width="9.1640625" style="64"/>
    <col min="3585" max="3585" width="28.5" style="64" customWidth="1"/>
    <col min="3586" max="3586" width="22.83203125" style="64" customWidth="1"/>
    <col min="3587" max="3587" width="9.1640625" style="64"/>
    <col min="3588" max="3588" width="4.5" style="64" customWidth="1"/>
    <col min="3589" max="3594" width="14.83203125" style="64" customWidth="1"/>
    <col min="3595" max="3596" width="16" style="64" customWidth="1"/>
    <col min="3597" max="3597" width="11.5" style="64" customWidth="1"/>
    <col min="3598" max="3643" width="0" style="64" hidden="1" customWidth="1"/>
    <col min="3644" max="3840" width="9.1640625" style="64"/>
    <col min="3841" max="3841" width="28.5" style="64" customWidth="1"/>
    <col min="3842" max="3842" width="22.83203125" style="64" customWidth="1"/>
    <col min="3843" max="3843" width="9.1640625" style="64"/>
    <col min="3844" max="3844" width="4.5" style="64" customWidth="1"/>
    <col min="3845" max="3850" width="14.83203125" style="64" customWidth="1"/>
    <col min="3851" max="3852" width="16" style="64" customWidth="1"/>
    <col min="3853" max="3853" width="11.5" style="64" customWidth="1"/>
    <col min="3854" max="3899" width="0" style="64" hidden="1" customWidth="1"/>
    <col min="3900" max="4096" width="9.1640625" style="64"/>
    <col min="4097" max="4097" width="28.5" style="64" customWidth="1"/>
    <col min="4098" max="4098" width="22.83203125" style="64" customWidth="1"/>
    <col min="4099" max="4099" width="9.1640625" style="64"/>
    <col min="4100" max="4100" width="4.5" style="64" customWidth="1"/>
    <col min="4101" max="4106" width="14.83203125" style="64" customWidth="1"/>
    <col min="4107" max="4108" width="16" style="64" customWidth="1"/>
    <col min="4109" max="4109" width="11.5" style="64" customWidth="1"/>
    <col min="4110" max="4155" width="0" style="64" hidden="1" customWidth="1"/>
    <col min="4156" max="4352" width="9.1640625" style="64"/>
    <col min="4353" max="4353" width="28.5" style="64" customWidth="1"/>
    <col min="4354" max="4354" width="22.83203125" style="64" customWidth="1"/>
    <col min="4355" max="4355" width="9.1640625" style="64"/>
    <col min="4356" max="4356" width="4.5" style="64" customWidth="1"/>
    <col min="4357" max="4362" width="14.83203125" style="64" customWidth="1"/>
    <col min="4363" max="4364" width="16" style="64" customWidth="1"/>
    <col min="4365" max="4365" width="11.5" style="64" customWidth="1"/>
    <col min="4366" max="4411" width="0" style="64" hidden="1" customWidth="1"/>
    <col min="4412" max="4608" width="9.1640625" style="64"/>
    <col min="4609" max="4609" width="28.5" style="64" customWidth="1"/>
    <col min="4610" max="4610" width="22.83203125" style="64" customWidth="1"/>
    <col min="4611" max="4611" width="9.1640625" style="64"/>
    <col min="4612" max="4612" width="4.5" style="64" customWidth="1"/>
    <col min="4613" max="4618" width="14.83203125" style="64" customWidth="1"/>
    <col min="4619" max="4620" width="16" style="64" customWidth="1"/>
    <col min="4621" max="4621" width="11.5" style="64" customWidth="1"/>
    <col min="4622" max="4667" width="0" style="64" hidden="1" customWidth="1"/>
    <col min="4668" max="4864" width="9.1640625" style="64"/>
    <col min="4865" max="4865" width="28.5" style="64" customWidth="1"/>
    <col min="4866" max="4866" width="22.83203125" style="64" customWidth="1"/>
    <col min="4867" max="4867" width="9.1640625" style="64"/>
    <col min="4868" max="4868" width="4.5" style="64" customWidth="1"/>
    <col min="4869" max="4874" width="14.83203125" style="64" customWidth="1"/>
    <col min="4875" max="4876" width="16" style="64" customWidth="1"/>
    <col min="4877" max="4877" width="11.5" style="64" customWidth="1"/>
    <col min="4878" max="4923" width="0" style="64" hidden="1" customWidth="1"/>
    <col min="4924" max="5120" width="9.1640625" style="64"/>
    <col min="5121" max="5121" width="28.5" style="64" customWidth="1"/>
    <col min="5122" max="5122" width="22.83203125" style="64" customWidth="1"/>
    <col min="5123" max="5123" width="9.1640625" style="64"/>
    <col min="5124" max="5124" width="4.5" style="64" customWidth="1"/>
    <col min="5125" max="5130" width="14.83203125" style="64" customWidth="1"/>
    <col min="5131" max="5132" width="16" style="64" customWidth="1"/>
    <col min="5133" max="5133" width="11.5" style="64" customWidth="1"/>
    <col min="5134" max="5179" width="0" style="64" hidden="1" customWidth="1"/>
    <col min="5180" max="5376" width="9.1640625" style="64"/>
    <col min="5377" max="5377" width="28.5" style="64" customWidth="1"/>
    <col min="5378" max="5378" width="22.83203125" style="64" customWidth="1"/>
    <col min="5379" max="5379" width="9.1640625" style="64"/>
    <col min="5380" max="5380" width="4.5" style="64" customWidth="1"/>
    <col min="5381" max="5386" width="14.83203125" style="64" customWidth="1"/>
    <col min="5387" max="5388" width="16" style="64" customWidth="1"/>
    <col min="5389" max="5389" width="11.5" style="64" customWidth="1"/>
    <col min="5390" max="5435" width="0" style="64" hidden="1" customWidth="1"/>
    <col min="5436" max="5632" width="9.1640625" style="64"/>
    <col min="5633" max="5633" width="28.5" style="64" customWidth="1"/>
    <col min="5634" max="5634" width="22.83203125" style="64" customWidth="1"/>
    <col min="5635" max="5635" width="9.1640625" style="64"/>
    <col min="5636" max="5636" width="4.5" style="64" customWidth="1"/>
    <col min="5637" max="5642" width="14.83203125" style="64" customWidth="1"/>
    <col min="5643" max="5644" width="16" style="64" customWidth="1"/>
    <col min="5645" max="5645" width="11.5" style="64" customWidth="1"/>
    <col min="5646" max="5691" width="0" style="64" hidden="1" customWidth="1"/>
    <col min="5692" max="5888" width="9.1640625" style="64"/>
    <col min="5889" max="5889" width="28.5" style="64" customWidth="1"/>
    <col min="5890" max="5890" width="22.83203125" style="64" customWidth="1"/>
    <col min="5891" max="5891" width="9.1640625" style="64"/>
    <col min="5892" max="5892" width="4.5" style="64" customWidth="1"/>
    <col min="5893" max="5898" width="14.83203125" style="64" customWidth="1"/>
    <col min="5899" max="5900" width="16" style="64" customWidth="1"/>
    <col min="5901" max="5901" width="11.5" style="64" customWidth="1"/>
    <col min="5902" max="5947" width="0" style="64" hidden="1" customWidth="1"/>
    <col min="5948" max="6144" width="9.1640625" style="64"/>
    <col min="6145" max="6145" width="28.5" style="64" customWidth="1"/>
    <col min="6146" max="6146" width="22.83203125" style="64" customWidth="1"/>
    <col min="6147" max="6147" width="9.1640625" style="64"/>
    <col min="6148" max="6148" width="4.5" style="64" customWidth="1"/>
    <col min="6149" max="6154" width="14.83203125" style="64" customWidth="1"/>
    <col min="6155" max="6156" width="16" style="64" customWidth="1"/>
    <col min="6157" max="6157" width="11.5" style="64" customWidth="1"/>
    <col min="6158" max="6203" width="0" style="64" hidden="1" customWidth="1"/>
    <col min="6204" max="6400" width="9.1640625" style="64"/>
    <col min="6401" max="6401" width="28.5" style="64" customWidth="1"/>
    <col min="6402" max="6402" width="22.83203125" style="64" customWidth="1"/>
    <col min="6403" max="6403" width="9.1640625" style="64"/>
    <col min="6404" max="6404" width="4.5" style="64" customWidth="1"/>
    <col min="6405" max="6410" width="14.83203125" style="64" customWidth="1"/>
    <col min="6411" max="6412" width="16" style="64" customWidth="1"/>
    <col min="6413" max="6413" width="11.5" style="64" customWidth="1"/>
    <col min="6414" max="6459" width="0" style="64" hidden="1" customWidth="1"/>
    <col min="6460" max="6656" width="9.1640625" style="64"/>
    <col min="6657" max="6657" width="28.5" style="64" customWidth="1"/>
    <col min="6658" max="6658" width="22.83203125" style="64" customWidth="1"/>
    <col min="6659" max="6659" width="9.1640625" style="64"/>
    <col min="6660" max="6660" width="4.5" style="64" customWidth="1"/>
    <col min="6661" max="6666" width="14.83203125" style="64" customWidth="1"/>
    <col min="6667" max="6668" width="16" style="64" customWidth="1"/>
    <col min="6669" max="6669" width="11.5" style="64" customWidth="1"/>
    <col min="6670" max="6715" width="0" style="64" hidden="1" customWidth="1"/>
    <col min="6716" max="6912" width="9.1640625" style="64"/>
    <col min="6913" max="6913" width="28.5" style="64" customWidth="1"/>
    <col min="6914" max="6914" width="22.83203125" style="64" customWidth="1"/>
    <col min="6915" max="6915" width="9.1640625" style="64"/>
    <col min="6916" max="6916" width="4.5" style="64" customWidth="1"/>
    <col min="6917" max="6922" width="14.83203125" style="64" customWidth="1"/>
    <col min="6923" max="6924" width="16" style="64" customWidth="1"/>
    <col min="6925" max="6925" width="11.5" style="64" customWidth="1"/>
    <col min="6926" max="6971" width="0" style="64" hidden="1" customWidth="1"/>
    <col min="6972" max="7168" width="9.1640625" style="64"/>
    <col min="7169" max="7169" width="28.5" style="64" customWidth="1"/>
    <col min="7170" max="7170" width="22.83203125" style="64" customWidth="1"/>
    <col min="7171" max="7171" width="9.1640625" style="64"/>
    <col min="7172" max="7172" width="4.5" style="64" customWidth="1"/>
    <col min="7173" max="7178" width="14.83203125" style="64" customWidth="1"/>
    <col min="7179" max="7180" width="16" style="64" customWidth="1"/>
    <col min="7181" max="7181" width="11.5" style="64" customWidth="1"/>
    <col min="7182" max="7227" width="0" style="64" hidden="1" customWidth="1"/>
    <col min="7228" max="7424" width="9.1640625" style="64"/>
    <col min="7425" max="7425" width="28.5" style="64" customWidth="1"/>
    <col min="7426" max="7426" width="22.83203125" style="64" customWidth="1"/>
    <col min="7427" max="7427" width="9.1640625" style="64"/>
    <col min="7428" max="7428" width="4.5" style="64" customWidth="1"/>
    <col min="7429" max="7434" width="14.83203125" style="64" customWidth="1"/>
    <col min="7435" max="7436" width="16" style="64" customWidth="1"/>
    <col min="7437" max="7437" width="11.5" style="64" customWidth="1"/>
    <col min="7438" max="7483" width="0" style="64" hidden="1" customWidth="1"/>
    <col min="7484" max="7680" width="9.1640625" style="64"/>
    <col min="7681" max="7681" width="28.5" style="64" customWidth="1"/>
    <col min="7682" max="7682" width="22.83203125" style="64" customWidth="1"/>
    <col min="7683" max="7683" width="9.1640625" style="64"/>
    <col min="7684" max="7684" width="4.5" style="64" customWidth="1"/>
    <col min="7685" max="7690" width="14.83203125" style="64" customWidth="1"/>
    <col min="7691" max="7692" width="16" style="64" customWidth="1"/>
    <col min="7693" max="7693" width="11.5" style="64" customWidth="1"/>
    <col min="7694" max="7739" width="0" style="64" hidden="1" customWidth="1"/>
    <col min="7740" max="7936" width="9.1640625" style="64"/>
    <col min="7937" max="7937" width="28.5" style="64" customWidth="1"/>
    <col min="7938" max="7938" width="22.83203125" style="64" customWidth="1"/>
    <col min="7939" max="7939" width="9.1640625" style="64"/>
    <col min="7940" max="7940" width="4.5" style="64" customWidth="1"/>
    <col min="7941" max="7946" width="14.83203125" style="64" customWidth="1"/>
    <col min="7947" max="7948" width="16" style="64" customWidth="1"/>
    <col min="7949" max="7949" width="11.5" style="64" customWidth="1"/>
    <col min="7950" max="7995" width="0" style="64" hidden="1" customWidth="1"/>
    <col min="7996" max="8192" width="9.1640625" style="64"/>
    <col min="8193" max="8193" width="28.5" style="64" customWidth="1"/>
    <col min="8194" max="8194" width="22.83203125" style="64" customWidth="1"/>
    <col min="8195" max="8195" width="9.1640625" style="64"/>
    <col min="8196" max="8196" width="4.5" style="64" customWidth="1"/>
    <col min="8197" max="8202" width="14.83203125" style="64" customWidth="1"/>
    <col min="8203" max="8204" width="16" style="64" customWidth="1"/>
    <col min="8205" max="8205" width="11.5" style="64" customWidth="1"/>
    <col min="8206" max="8251" width="0" style="64" hidden="1" customWidth="1"/>
    <col min="8252" max="8448" width="9.1640625" style="64"/>
    <col min="8449" max="8449" width="28.5" style="64" customWidth="1"/>
    <col min="8450" max="8450" width="22.83203125" style="64" customWidth="1"/>
    <col min="8451" max="8451" width="9.1640625" style="64"/>
    <col min="8452" max="8452" width="4.5" style="64" customWidth="1"/>
    <col min="8453" max="8458" width="14.83203125" style="64" customWidth="1"/>
    <col min="8459" max="8460" width="16" style="64" customWidth="1"/>
    <col min="8461" max="8461" width="11.5" style="64" customWidth="1"/>
    <col min="8462" max="8507" width="0" style="64" hidden="1" customWidth="1"/>
    <col min="8508" max="8704" width="9.1640625" style="64"/>
    <col min="8705" max="8705" width="28.5" style="64" customWidth="1"/>
    <col min="8706" max="8706" width="22.83203125" style="64" customWidth="1"/>
    <col min="8707" max="8707" width="9.1640625" style="64"/>
    <col min="8708" max="8708" width="4.5" style="64" customWidth="1"/>
    <col min="8709" max="8714" width="14.83203125" style="64" customWidth="1"/>
    <col min="8715" max="8716" width="16" style="64" customWidth="1"/>
    <col min="8717" max="8717" width="11.5" style="64" customWidth="1"/>
    <col min="8718" max="8763" width="0" style="64" hidden="1" customWidth="1"/>
    <col min="8764" max="8960" width="9.1640625" style="64"/>
    <col min="8961" max="8961" width="28.5" style="64" customWidth="1"/>
    <col min="8962" max="8962" width="22.83203125" style="64" customWidth="1"/>
    <col min="8963" max="8963" width="9.1640625" style="64"/>
    <col min="8964" max="8964" width="4.5" style="64" customWidth="1"/>
    <col min="8965" max="8970" width="14.83203125" style="64" customWidth="1"/>
    <col min="8971" max="8972" width="16" style="64" customWidth="1"/>
    <col min="8973" max="8973" width="11.5" style="64" customWidth="1"/>
    <col min="8974" max="9019" width="0" style="64" hidden="1" customWidth="1"/>
    <col min="9020" max="9216" width="9.1640625" style="64"/>
    <col min="9217" max="9217" width="28.5" style="64" customWidth="1"/>
    <col min="9218" max="9218" width="22.83203125" style="64" customWidth="1"/>
    <col min="9219" max="9219" width="9.1640625" style="64"/>
    <col min="9220" max="9220" width="4.5" style="64" customWidth="1"/>
    <col min="9221" max="9226" width="14.83203125" style="64" customWidth="1"/>
    <col min="9227" max="9228" width="16" style="64" customWidth="1"/>
    <col min="9229" max="9229" width="11.5" style="64" customWidth="1"/>
    <col min="9230" max="9275" width="0" style="64" hidden="1" customWidth="1"/>
    <col min="9276" max="9472" width="9.1640625" style="64"/>
    <col min="9473" max="9473" width="28.5" style="64" customWidth="1"/>
    <col min="9474" max="9474" width="22.83203125" style="64" customWidth="1"/>
    <col min="9475" max="9475" width="9.1640625" style="64"/>
    <col min="9476" max="9476" width="4.5" style="64" customWidth="1"/>
    <col min="9477" max="9482" width="14.83203125" style="64" customWidth="1"/>
    <col min="9483" max="9484" width="16" style="64" customWidth="1"/>
    <col min="9485" max="9485" width="11.5" style="64" customWidth="1"/>
    <col min="9486" max="9531" width="0" style="64" hidden="1" customWidth="1"/>
    <col min="9532" max="9728" width="9.1640625" style="64"/>
    <col min="9729" max="9729" width="28.5" style="64" customWidth="1"/>
    <col min="9730" max="9730" width="22.83203125" style="64" customWidth="1"/>
    <col min="9731" max="9731" width="9.1640625" style="64"/>
    <col min="9732" max="9732" width="4.5" style="64" customWidth="1"/>
    <col min="9733" max="9738" width="14.83203125" style="64" customWidth="1"/>
    <col min="9739" max="9740" width="16" style="64" customWidth="1"/>
    <col min="9741" max="9741" width="11.5" style="64" customWidth="1"/>
    <col min="9742" max="9787" width="0" style="64" hidden="1" customWidth="1"/>
    <col min="9788" max="9984" width="9.1640625" style="64"/>
    <col min="9985" max="9985" width="28.5" style="64" customWidth="1"/>
    <col min="9986" max="9986" width="22.83203125" style="64" customWidth="1"/>
    <col min="9987" max="9987" width="9.1640625" style="64"/>
    <col min="9988" max="9988" width="4.5" style="64" customWidth="1"/>
    <col min="9989" max="9994" width="14.83203125" style="64" customWidth="1"/>
    <col min="9995" max="9996" width="16" style="64" customWidth="1"/>
    <col min="9997" max="9997" width="11.5" style="64" customWidth="1"/>
    <col min="9998" max="10043" width="0" style="64" hidden="1" customWidth="1"/>
    <col min="10044" max="10240" width="9.1640625" style="64"/>
    <col min="10241" max="10241" width="28.5" style="64" customWidth="1"/>
    <col min="10242" max="10242" width="22.83203125" style="64" customWidth="1"/>
    <col min="10243" max="10243" width="9.1640625" style="64"/>
    <col min="10244" max="10244" width="4.5" style="64" customWidth="1"/>
    <col min="10245" max="10250" width="14.83203125" style="64" customWidth="1"/>
    <col min="10251" max="10252" width="16" style="64" customWidth="1"/>
    <col min="10253" max="10253" width="11.5" style="64" customWidth="1"/>
    <col min="10254" max="10299" width="0" style="64" hidden="1" customWidth="1"/>
    <col min="10300" max="10496" width="9.1640625" style="64"/>
    <col min="10497" max="10497" width="28.5" style="64" customWidth="1"/>
    <col min="10498" max="10498" width="22.83203125" style="64" customWidth="1"/>
    <col min="10499" max="10499" width="9.1640625" style="64"/>
    <col min="10500" max="10500" width="4.5" style="64" customWidth="1"/>
    <col min="10501" max="10506" width="14.83203125" style="64" customWidth="1"/>
    <col min="10507" max="10508" width="16" style="64" customWidth="1"/>
    <col min="10509" max="10509" width="11.5" style="64" customWidth="1"/>
    <col min="10510" max="10555" width="0" style="64" hidden="1" customWidth="1"/>
    <col min="10556" max="10752" width="9.1640625" style="64"/>
    <col min="10753" max="10753" width="28.5" style="64" customWidth="1"/>
    <col min="10754" max="10754" width="22.83203125" style="64" customWidth="1"/>
    <col min="10755" max="10755" width="9.1640625" style="64"/>
    <col min="10756" max="10756" width="4.5" style="64" customWidth="1"/>
    <col min="10757" max="10762" width="14.83203125" style="64" customWidth="1"/>
    <col min="10763" max="10764" width="16" style="64" customWidth="1"/>
    <col min="10765" max="10765" width="11.5" style="64" customWidth="1"/>
    <col min="10766" max="10811" width="0" style="64" hidden="1" customWidth="1"/>
    <col min="10812" max="11008" width="9.1640625" style="64"/>
    <col min="11009" max="11009" width="28.5" style="64" customWidth="1"/>
    <col min="11010" max="11010" width="22.83203125" style="64" customWidth="1"/>
    <col min="11011" max="11011" width="9.1640625" style="64"/>
    <col min="11012" max="11012" width="4.5" style="64" customWidth="1"/>
    <col min="11013" max="11018" width="14.83203125" style="64" customWidth="1"/>
    <col min="11019" max="11020" width="16" style="64" customWidth="1"/>
    <col min="11021" max="11021" width="11.5" style="64" customWidth="1"/>
    <col min="11022" max="11067" width="0" style="64" hidden="1" customWidth="1"/>
    <col min="11068" max="11264" width="9.1640625" style="64"/>
    <col min="11265" max="11265" width="28.5" style="64" customWidth="1"/>
    <col min="11266" max="11266" width="22.83203125" style="64" customWidth="1"/>
    <col min="11267" max="11267" width="9.1640625" style="64"/>
    <col min="11268" max="11268" width="4.5" style="64" customWidth="1"/>
    <col min="11269" max="11274" width="14.83203125" style="64" customWidth="1"/>
    <col min="11275" max="11276" width="16" style="64" customWidth="1"/>
    <col min="11277" max="11277" width="11.5" style="64" customWidth="1"/>
    <col min="11278" max="11323" width="0" style="64" hidden="1" customWidth="1"/>
    <col min="11324" max="11520" width="9.1640625" style="64"/>
    <col min="11521" max="11521" width="28.5" style="64" customWidth="1"/>
    <col min="11522" max="11522" width="22.83203125" style="64" customWidth="1"/>
    <col min="11523" max="11523" width="9.1640625" style="64"/>
    <col min="11524" max="11524" width="4.5" style="64" customWidth="1"/>
    <col min="11525" max="11530" width="14.83203125" style="64" customWidth="1"/>
    <col min="11531" max="11532" width="16" style="64" customWidth="1"/>
    <col min="11533" max="11533" width="11.5" style="64" customWidth="1"/>
    <col min="11534" max="11579" width="0" style="64" hidden="1" customWidth="1"/>
    <col min="11580" max="11776" width="9.1640625" style="64"/>
    <col min="11777" max="11777" width="28.5" style="64" customWidth="1"/>
    <col min="11778" max="11778" width="22.83203125" style="64" customWidth="1"/>
    <col min="11779" max="11779" width="9.1640625" style="64"/>
    <col min="11780" max="11780" width="4.5" style="64" customWidth="1"/>
    <col min="11781" max="11786" width="14.83203125" style="64" customWidth="1"/>
    <col min="11787" max="11788" width="16" style="64" customWidth="1"/>
    <col min="11789" max="11789" width="11.5" style="64" customWidth="1"/>
    <col min="11790" max="11835" width="0" style="64" hidden="1" customWidth="1"/>
    <col min="11836" max="12032" width="9.1640625" style="64"/>
    <col min="12033" max="12033" width="28.5" style="64" customWidth="1"/>
    <col min="12034" max="12034" width="22.83203125" style="64" customWidth="1"/>
    <col min="12035" max="12035" width="9.1640625" style="64"/>
    <col min="12036" max="12036" width="4.5" style="64" customWidth="1"/>
    <col min="12037" max="12042" width="14.83203125" style="64" customWidth="1"/>
    <col min="12043" max="12044" width="16" style="64" customWidth="1"/>
    <col min="12045" max="12045" width="11.5" style="64" customWidth="1"/>
    <col min="12046" max="12091" width="0" style="64" hidden="1" customWidth="1"/>
    <col min="12092" max="12288" width="9.1640625" style="64"/>
    <col min="12289" max="12289" width="28.5" style="64" customWidth="1"/>
    <col min="12290" max="12290" width="22.83203125" style="64" customWidth="1"/>
    <col min="12291" max="12291" width="9.1640625" style="64"/>
    <col min="12292" max="12292" width="4.5" style="64" customWidth="1"/>
    <col min="12293" max="12298" width="14.83203125" style="64" customWidth="1"/>
    <col min="12299" max="12300" width="16" style="64" customWidth="1"/>
    <col min="12301" max="12301" width="11.5" style="64" customWidth="1"/>
    <col min="12302" max="12347" width="0" style="64" hidden="1" customWidth="1"/>
    <col min="12348" max="12544" width="9.1640625" style="64"/>
    <col min="12545" max="12545" width="28.5" style="64" customWidth="1"/>
    <col min="12546" max="12546" width="22.83203125" style="64" customWidth="1"/>
    <col min="12547" max="12547" width="9.1640625" style="64"/>
    <col min="12548" max="12548" width="4.5" style="64" customWidth="1"/>
    <col min="12549" max="12554" width="14.83203125" style="64" customWidth="1"/>
    <col min="12555" max="12556" width="16" style="64" customWidth="1"/>
    <col min="12557" max="12557" width="11.5" style="64" customWidth="1"/>
    <col min="12558" max="12603" width="0" style="64" hidden="1" customWidth="1"/>
    <col min="12604" max="12800" width="9.1640625" style="64"/>
    <col min="12801" max="12801" width="28.5" style="64" customWidth="1"/>
    <col min="12802" max="12802" width="22.83203125" style="64" customWidth="1"/>
    <col min="12803" max="12803" width="9.1640625" style="64"/>
    <col min="12804" max="12804" width="4.5" style="64" customWidth="1"/>
    <col min="12805" max="12810" width="14.83203125" style="64" customWidth="1"/>
    <col min="12811" max="12812" width="16" style="64" customWidth="1"/>
    <col min="12813" max="12813" width="11.5" style="64" customWidth="1"/>
    <col min="12814" max="12859" width="0" style="64" hidden="1" customWidth="1"/>
    <col min="12860" max="13056" width="9.1640625" style="64"/>
    <col min="13057" max="13057" width="28.5" style="64" customWidth="1"/>
    <col min="13058" max="13058" width="22.83203125" style="64" customWidth="1"/>
    <col min="13059" max="13059" width="9.1640625" style="64"/>
    <col min="13060" max="13060" width="4.5" style="64" customWidth="1"/>
    <col min="13061" max="13066" width="14.83203125" style="64" customWidth="1"/>
    <col min="13067" max="13068" width="16" style="64" customWidth="1"/>
    <col min="13069" max="13069" width="11.5" style="64" customWidth="1"/>
    <col min="13070" max="13115" width="0" style="64" hidden="1" customWidth="1"/>
    <col min="13116" max="13312" width="9.1640625" style="64"/>
    <col min="13313" max="13313" width="28.5" style="64" customWidth="1"/>
    <col min="13314" max="13314" width="22.83203125" style="64" customWidth="1"/>
    <col min="13315" max="13315" width="9.1640625" style="64"/>
    <col min="13316" max="13316" width="4.5" style="64" customWidth="1"/>
    <col min="13317" max="13322" width="14.83203125" style="64" customWidth="1"/>
    <col min="13323" max="13324" width="16" style="64" customWidth="1"/>
    <col min="13325" max="13325" width="11.5" style="64" customWidth="1"/>
    <col min="13326" max="13371" width="0" style="64" hidden="1" customWidth="1"/>
    <col min="13372" max="13568" width="9.1640625" style="64"/>
    <col min="13569" max="13569" width="28.5" style="64" customWidth="1"/>
    <col min="13570" max="13570" width="22.83203125" style="64" customWidth="1"/>
    <col min="13571" max="13571" width="9.1640625" style="64"/>
    <col min="13572" max="13572" width="4.5" style="64" customWidth="1"/>
    <col min="13573" max="13578" width="14.83203125" style="64" customWidth="1"/>
    <col min="13579" max="13580" width="16" style="64" customWidth="1"/>
    <col min="13581" max="13581" width="11.5" style="64" customWidth="1"/>
    <col min="13582" max="13627" width="0" style="64" hidden="1" customWidth="1"/>
    <col min="13628" max="13824" width="9.1640625" style="64"/>
    <col min="13825" max="13825" width="28.5" style="64" customWidth="1"/>
    <col min="13826" max="13826" width="22.83203125" style="64" customWidth="1"/>
    <col min="13827" max="13827" width="9.1640625" style="64"/>
    <col min="13828" max="13828" width="4.5" style="64" customWidth="1"/>
    <col min="13829" max="13834" width="14.83203125" style="64" customWidth="1"/>
    <col min="13835" max="13836" width="16" style="64" customWidth="1"/>
    <col min="13837" max="13837" width="11.5" style="64" customWidth="1"/>
    <col min="13838" max="13883" width="0" style="64" hidden="1" customWidth="1"/>
    <col min="13884" max="14080" width="9.1640625" style="64"/>
    <col min="14081" max="14081" width="28.5" style="64" customWidth="1"/>
    <col min="14082" max="14082" width="22.83203125" style="64" customWidth="1"/>
    <col min="14083" max="14083" width="9.1640625" style="64"/>
    <col min="14084" max="14084" width="4.5" style="64" customWidth="1"/>
    <col min="14085" max="14090" width="14.83203125" style="64" customWidth="1"/>
    <col min="14091" max="14092" width="16" style="64" customWidth="1"/>
    <col min="14093" max="14093" width="11.5" style="64" customWidth="1"/>
    <col min="14094" max="14139" width="0" style="64" hidden="1" customWidth="1"/>
    <col min="14140" max="14336" width="9.1640625" style="64"/>
    <col min="14337" max="14337" width="28.5" style="64" customWidth="1"/>
    <col min="14338" max="14338" width="22.83203125" style="64" customWidth="1"/>
    <col min="14339" max="14339" width="9.1640625" style="64"/>
    <col min="14340" max="14340" width="4.5" style="64" customWidth="1"/>
    <col min="14341" max="14346" width="14.83203125" style="64" customWidth="1"/>
    <col min="14347" max="14348" width="16" style="64" customWidth="1"/>
    <col min="14349" max="14349" width="11.5" style="64" customWidth="1"/>
    <col min="14350" max="14395" width="0" style="64" hidden="1" customWidth="1"/>
    <col min="14396" max="14592" width="9.1640625" style="64"/>
    <col min="14593" max="14593" width="28.5" style="64" customWidth="1"/>
    <col min="14594" max="14594" width="22.83203125" style="64" customWidth="1"/>
    <col min="14595" max="14595" width="9.1640625" style="64"/>
    <col min="14596" max="14596" width="4.5" style="64" customWidth="1"/>
    <col min="14597" max="14602" width="14.83203125" style="64" customWidth="1"/>
    <col min="14603" max="14604" width="16" style="64" customWidth="1"/>
    <col min="14605" max="14605" width="11.5" style="64" customWidth="1"/>
    <col min="14606" max="14651" width="0" style="64" hidden="1" customWidth="1"/>
    <col min="14652" max="14848" width="9.1640625" style="64"/>
    <col min="14849" max="14849" width="28.5" style="64" customWidth="1"/>
    <col min="14850" max="14850" width="22.83203125" style="64" customWidth="1"/>
    <col min="14851" max="14851" width="9.1640625" style="64"/>
    <col min="14852" max="14852" width="4.5" style="64" customWidth="1"/>
    <col min="14853" max="14858" width="14.83203125" style="64" customWidth="1"/>
    <col min="14859" max="14860" width="16" style="64" customWidth="1"/>
    <col min="14861" max="14861" width="11.5" style="64" customWidth="1"/>
    <col min="14862" max="14907" width="0" style="64" hidden="1" customWidth="1"/>
    <col min="14908" max="15104" width="9.1640625" style="64"/>
    <col min="15105" max="15105" width="28.5" style="64" customWidth="1"/>
    <col min="15106" max="15106" width="22.83203125" style="64" customWidth="1"/>
    <col min="15107" max="15107" width="9.1640625" style="64"/>
    <col min="15108" max="15108" width="4.5" style="64" customWidth="1"/>
    <col min="15109" max="15114" width="14.83203125" style="64" customWidth="1"/>
    <col min="15115" max="15116" width="16" style="64" customWidth="1"/>
    <col min="15117" max="15117" width="11.5" style="64" customWidth="1"/>
    <col min="15118" max="15163" width="0" style="64" hidden="1" customWidth="1"/>
    <col min="15164" max="15360" width="9.1640625" style="64"/>
    <col min="15361" max="15361" width="28.5" style="64" customWidth="1"/>
    <col min="15362" max="15362" width="22.83203125" style="64" customWidth="1"/>
    <col min="15363" max="15363" width="9.1640625" style="64"/>
    <col min="15364" max="15364" width="4.5" style="64" customWidth="1"/>
    <col min="15365" max="15370" width="14.83203125" style="64" customWidth="1"/>
    <col min="15371" max="15372" width="16" style="64" customWidth="1"/>
    <col min="15373" max="15373" width="11.5" style="64" customWidth="1"/>
    <col min="15374" max="15419" width="0" style="64" hidden="1" customWidth="1"/>
    <col min="15420" max="15616" width="9.1640625" style="64"/>
    <col min="15617" max="15617" width="28.5" style="64" customWidth="1"/>
    <col min="15618" max="15618" width="22.83203125" style="64" customWidth="1"/>
    <col min="15619" max="15619" width="9.1640625" style="64"/>
    <col min="15620" max="15620" width="4.5" style="64" customWidth="1"/>
    <col min="15621" max="15626" width="14.83203125" style="64" customWidth="1"/>
    <col min="15627" max="15628" width="16" style="64" customWidth="1"/>
    <col min="15629" max="15629" width="11.5" style="64" customWidth="1"/>
    <col min="15630" max="15675" width="0" style="64" hidden="1" customWidth="1"/>
    <col min="15676" max="15872" width="9.1640625" style="64"/>
    <col min="15873" max="15873" width="28.5" style="64" customWidth="1"/>
    <col min="15874" max="15874" width="22.83203125" style="64" customWidth="1"/>
    <col min="15875" max="15875" width="9.1640625" style="64"/>
    <col min="15876" max="15876" width="4.5" style="64" customWidth="1"/>
    <col min="15877" max="15882" width="14.83203125" style="64" customWidth="1"/>
    <col min="15883" max="15884" width="16" style="64" customWidth="1"/>
    <col min="15885" max="15885" width="11.5" style="64" customWidth="1"/>
    <col min="15886" max="15931" width="0" style="64" hidden="1" customWidth="1"/>
    <col min="15932" max="16128" width="9.1640625" style="64"/>
    <col min="16129" max="16129" width="28.5" style="64" customWidth="1"/>
    <col min="16130" max="16130" width="22.83203125" style="64" customWidth="1"/>
    <col min="16131" max="16131" width="9.1640625" style="64"/>
    <col min="16132" max="16132" width="4.5" style="64" customWidth="1"/>
    <col min="16133" max="16138" width="14.83203125" style="64" customWidth="1"/>
    <col min="16139" max="16140" width="16" style="64" customWidth="1"/>
    <col min="16141" max="16141" width="11.5" style="64" customWidth="1"/>
    <col min="16142" max="16187" width="0" style="64" hidden="1" customWidth="1"/>
    <col min="16188" max="16384" width="9.1640625" style="64"/>
  </cols>
  <sheetData>
    <row r="1" spans="1:30" ht="18" customHeight="1" x14ac:dyDescent="0.15">
      <c r="A1" s="423" t="s">
        <v>445</v>
      </c>
      <c r="B1" s="423" t="s">
        <v>1293</v>
      </c>
      <c r="C1" s="423" t="s">
        <v>1664</v>
      </c>
      <c r="D1" s="423" t="s">
        <v>1063</v>
      </c>
      <c r="E1" s="423" t="s">
        <v>2786</v>
      </c>
      <c r="F1" s="423" t="s">
        <v>2859</v>
      </c>
      <c r="G1" s="423" t="s">
        <v>1942</v>
      </c>
      <c r="H1" s="423" t="s">
        <v>2859</v>
      </c>
      <c r="I1" s="423" t="s">
        <v>1175</v>
      </c>
      <c r="J1" s="423" t="s">
        <v>2859</v>
      </c>
      <c r="K1" s="423" t="s">
        <v>171</v>
      </c>
      <c r="L1" s="423" t="s">
        <v>2859</v>
      </c>
      <c r="M1" s="424" t="s">
        <v>716</v>
      </c>
    </row>
    <row r="2" spans="1:30" ht="18" customHeight="1" x14ac:dyDescent="0.15">
      <c r="A2" s="423" t="s">
        <v>2859</v>
      </c>
      <c r="B2" s="423" t="s">
        <v>2859</v>
      </c>
      <c r="C2" s="423" t="s">
        <v>2859</v>
      </c>
      <c r="D2" s="423" t="s">
        <v>2859</v>
      </c>
      <c r="E2" s="65" t="s">
        <v>623</v>
      </c>
      <c r="F2" s="65" t="s">
        <v>352</v>
      </c>
      <c r="G2" s="65" t="s">
        <v>623</v>
      </c>
      <c r="H2" s="65" t="s">
        <v>352</v>
      </c>
      <c r="I2" s="65" t="s">
        <v>623</v>
      </c>
      <c r="J2" s="65" t="s">
        <v>352</v>
      </c>
      <c r="K2" s="65" t="s">
        <v>623</v>
      </c>
      <c r="L2" s="65" t="s">
        <v>352</v>
      </c>
      <c r="M2" s="424" t="s">
        <v>2859</v>
      </c>
      <c r="S2" s="65" t="s">
        <v>923</v>
      </c>
      <c r="T2" s="65" t="s">
        <v>2089</v>
      </c>
      <c r="U2" s="65" t="s">
        <v>980</v>
      </c>
      <c r="V2" s="65" t="s">
        <v>364</v>
      </c>
      <c r="W2" s="65" t="s">
        <v>153</v>
      </c>
      <c r="X2" s="65" t="s">
        <v>874</v>
      </c>
      <c r="Y2" s="65" t="s">
        <v>1934</v>
      </c>
    </row>
    <row r="3" spans="1:30" ht="18" customHeight="1" x14ac:dyDescent="0.15">
      <c r="A3" s="120" t="s">
        <v>3198</v>
      </c>
      <c r="B3" s="120" t="s">
        <v>3001</v>
      </c>
      <c r="C3" s="147">
        <v>1</v>
      </c>
      <c r="D3" s="120" t="s">
        <v>1091</v>
      </c>
      <c r="E3" s="121"/>
      <c r="F3" s="122">
        <f t="shared" ref="F3:F9" si="0">H3+J3+L3</f>
        <v>29000</v>
      </c>
      <c r="G3" s="121"/>
      <c r="H3" s="122">
        <f>TRUNC(H5+H6+H7+H8,0)</f>
        <v>20769</v>
      </c>
      <c r="I3" s="121"/>
      <c r="J3" s="122">
        <f>TRUNC(J5+J6+J7+J8,0)</f>
        <v>7992</v>
      </c>
      <c r="K3" s="121"/>
      <c r="L3" s="122">
        <f>TRUNC(L5+L6+L7+L8,0)</f>
        <v>239</v>
      </c>
      <c r="M3" s="123" t="s">
        <v>2859</v>
      </c>
      <c r="N3" s="64" t="s">
        <v>2859</v>
      </c>
      <c r="O3" s="64" t="s">
        <v>3002</v>
      </c>
    </row>
    <row r="4" spans="1:30" ht="18" customHeight="1" x14ac:dyDescent="0.15">
      <c r="A4" s="66" t="s">
        <v>3009</v>
      </c>
      <c r="B4" s="66" t="s">
        <v>2859</v>
      </c>
      <c r="C4" s="65"/>
      <c r="D4" s="66" t="s">
        <v>2859</v>
      </c>
      <c r="E4" s="67">
        <f t="shared" ref="E4:E8" si="1">G4+I4+K4</f>
        <v>0</v>
      </c>
      <c r="F4" s="67">
        <f t="shared" si="0"/>
        <v>0</v>
      </c>
      <c r="G4" s="65"/>
      <c r="H4" s="67">
        <v>0</v>
      </c>
      <c r="I4" s="65"/>
      <c r="J4" s="67">
        <v>0</v>
      </c>
      <c r="K4" s="65"/>
      <c r="L4" s="67">
        <v>0</v>
      </c>
      <c r="M4" s="70" t="s">
        <v>2859</v>
      </c>
      <c r="N4" s="64" t="s">
        <v>2859</v>
      </c>
      <c r="P4" s="64" t="s">
        <v>322</v>
      </c>
      <c r="Q4" s="64" t="s">
        <v>2859</v>
      </c>
      <c r="R4" s="64" t="s">
        <v>2859</v>
      </c>
    </row>
    <row r="5" spans="1:30" ht="18" customHeight="1" x14ac:dyDescent="0.15">
      <c r="A5" s="66" t="s">
        <v>739</v>
      </c>
      <c r="B5" s="66" t="s">
        <v>3010</v>
      </c>
      <c r="C5" s="65">
        <v>1.05</v>
      </c>
      <c r="D5" s="66" t="s">
        <v>1091</v>
      </c>
      <c r="E5" s="67">
        <f t="shared" si="1"/>
        <v>19780</v>
      </c>
      <c r="F5" s="67">
        <f t="shared" si="0"/>
        <v>20769</v>
      </c>
      <c r="G5" s="67">
        <f>[4]자재조서!E5</f>
        <v>19780</v>
      </c>
      <c r="H5" s="67">
        <f>TRUNC(G5*C5,0)</f>
        <v>20769</v>
      </c>
      <c r="I5" s="67">
        <v>0</v>
      </c>
      <c r="J5" s="67"/>
      <c r="K5" s="67">
        <v>0</v>
      </c>
      <c r="L5" s="67"/>
      <c r="M5" s="70" t="s">
        <v>2859</v>
      </c>
      <c r="N5" s="64" t="s">
        <v>2859</v>
      </c>
      <c r="P5" s="64" t="s">
        <v>2491</v>
      </c>
      <c r="Q5" s="64" t="s">
        <v>2859</v>
      </c>
      <c r="R5" s="64" t="s">
        <v>3011</v>
      </c>
    </row>
    <row r="6" spans="1:30" ht="18" customHeight="1" x14ac:dyDescent="0.15">
      <c r="A6" s="66" t="s">
        <v>3012</v>
      </c>
      <c r="B6" s="66" t="s">
        <v>2859</v>
      </c>
      <c r="C6" s="65">
        <v>2.5600000000000001E-2</v>
      </c>
      <c r="D6" s="66" t="s">
        <v>2663</v>
      </c>
      <c r="E6" s="67">
        <f t="shared" si="1"/>
        <v>229482</v>
      </c>
      <c r="F6" s="67">
        <f t="shared" si="0"/>
        <v>5874</v>
      </c>
      <c r="G6" s="67">
        <v>0</v>
      </c>
      <c r="H6" s="67"/>
      <c r="I6" s="67">
        <f>[4]노임!D3</f>
        <v>229482</v>
      </c>
      <c r="J6" s="67">
        <f>TRUNC(I6*C6,0)</f>
        <v>5874</v>
      </c>
      <c r="K6" s="67">
        <v>0</v>
      </c>
      <c r="L6" s="67"/>
      <c r="M6" s="70" t="s">
        <v>2859</v>
      </c>
      <c r="N6" s="64" t="s">
        <v>289</v>
      </c>
      <c r="P6" s="64" t="s">
        <v>1745</v>
      </c>
      <c r="Q6" s="64" t="s">
        <v>2859</v>
      </c>
      <c r="R6" s="64" t="s">
        <v>262</v>
      </c>
    </row>
    <row r="7" spans="1:30" ht="18" customHeight="1" x14ac:dyDescent="0.15">
      <c r="A7" s="66" t="s">
        <v>3013</v>
      </c>
      <c r="B7" s="66" t="s">
        <v>2859</v>
      </c>
      <c r="C7" s="65">
        <v>1.2800000000000001E-2</v>
      </c>
      <c r="D7" s="66" t="s">
        <v>2663</v>
      </c>
      <c r="E7" s="67">
        <f t="shared" si="1"/>
        <v>165545</v>
      </c>
      <c r="F7" s="67">
        <f t="shared" si="0"/>
        <v>2118</v>
      </c>
      <c r="G7" s="67">
        <v>0</v>
      </c>
      <c r="H7" s="67"/>
      <c r="I7" s="67">
        <f>[4]노임!D4</f>
        <v>165545</v>
      </c>
      <c r="J7" s="67">
        <f>TRUNC(I7*C7,0)</f>
        <v>2118</v>
      </c>
      <c r="K7" s="67">
        <v>0</v>
      </c>
      <c r="L7" s="67"/>
      <c r="M7" s="70" t="s">
        <v>2859</v>
      </c>
      <c r="N7" s="64" t="s">
        <v>2859</v>
      </c>
      <c r="P7" s="64" t="s">
        <v>1030</v>
      </c>
      <c r="Q7" s="64" t="s">
        <v>2859</v>
      </c>
      <c r="R7" s="64" t="s">
        <v>485</v>
      </c>
    </row>
    <row r="8" spans="1:30" ht="18" customHeight="1" x14ac:dyDescent="0.15">
      <c r="A8" s="66" t="s">
        <v>2384</v>
      </c>
      <c r="B8" s="66" t="s">
        <v>2049</v>
      </c>
      <c r="C8" s="65">
        <v>1</v>
      </c>
      <c r="D8" s="66" t="s">
        <v>2293</v>
      </c>
      <c r="E8" s="67">
        <f t="shared" si="1"/>
        <v>0</v>
      </c>
      <c r="F8" s="67">
        <f t="shared" si="0"/>
        <v>239</v>
      </c>
      <c r="G8" s="65"/>
      <c r="H8" s="67">
        <v>0</v>
      </c>
      <c r="I8" s="65"/>
      <c r="J8" s="67">
        <v>0</v>
      </c>
      <c r="K8" s="65"/>
      <c r="L8" s="67">
        <f>TRUNC((((J6*[4]전역변수!C34)+(J7*[4]전역변수!C34))*0.03),0)</f>
        <v>239</v>
      </c>
      <c r="M8" s="70" t="s">
        <v>2859</v>
      </c>
      <c r="N8" s="64" t="s">
        <v>2859</v>
      </c>
      <c r="P8" s="64" t="s">
        <v>267</v>
      </c>
      <c r="Q8" s="64" t="s">
        <v>2859</v>
      </c>
      <c r="R8" s="64" t="s">
        <v>2417</v>
      </c>
      <c r="X8" s="64" t="s">
        <v>310</v>
      </c>
      <c r="AA8" s="71" t="s">
        <v>907</v>
      </c>
      <c r="AB8" s="72">
        <f>(('일위대가_호표(신규)'!J6*[4]전역변수!C34)+('일위대가_호표(신규)'!J7*[4]전역변수!C34))*0.03</f>
        <v>239.76</v>
      </c>
      <c r="AC8" s="71" t="s">
        <v>1545</v>
      </c>
      <c r="AD8" s="68">
        <f>$AB7</f>
        <v>0</v>
      </c>
    </row>
    <row r="9" spans="1:30" ht="18" customHeight="1" x14ac:dyDescent="0.15">
      <c r="A9" s="124" t="s">
        <v>3199</v>
      </c>
      <c r="B9" s="125" t="s">
        <v>3200</v>
      </c>
      <c r="C9" s="124"/>
      <c r="D9" s="126"/>
      <c r="E9" s="127"/>
      <c r="F9" s="128">
        <f t="shared" si="0"/>
        <v>25314</v>
      </c>
      <c r="G9" s="124"/>
      <c r="H9" s="128">
        <f>TRUNC(H3*$B9)</f>
        <v>18130</v>
      </c>
      <c r="I9" s="124"/>
      <c r="J9" s="128">
        <f>TRUNC(J3*$B9)</f>
        <v>6976</v>
      </c>
      <c r="K9" s="124"/>
      <c r="L9" s="128">
        <f>TRUNC(L3*$B9)</f>
        <v>208</v>
      </c>
      <c r="M9" s="129"/>
      <c r="N9" s="64" t="s">
        <v>2859</v>
      </c>
      <c r="P9" s="64" t="s">
        <v>2435</v>
      </c>
      <c r="Q9" s="64" t="s">
        <v>2859</v>
      </c>
      <c r="R9" s="64" t="s">
        <v>2859</v>
      </c>
    </row>
    <row r="10" spans="1:30" ht="18" customHeight="1" x14ac:dyDescent="0.15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9"/>
    </row>
    <row r="11" spans="1:30" ht="18" customHeight="1" x14ac:dyDescent="0.15">
      <c r="A11" s="120" t="s">
        <v>3201</v>
      </c>
      <c r="B11" s="120" t="s">
        <v>3003</v>
      </c>
      <c r="C11" s="147">
        <v>1</v>
      </c>
      <c r="D11" s="120" t="s">
        <v>2212</v>
      </c>
      <c r="E11" s="121"/>
      <c r="F11" s="122">
        <f>H11+J11+L11</f>
        <v>327600</v>
      </c>
      <c r="G11" s="121"/>
      <c r="H11" s="122">
        <f>TRUNC(H12,0)</f>
        <v>312000</v>
      </c>
      <c r="I11" s="121"/>
      <c r="J11" s="122">
        <f>TRUNC(J13,0)</f>
        <v>15600</v>
      </c>
      <c r="K11" s="121"/>
      <c r="L11" s="122">
        <f>TRUNC(L13,0)</f>
        <v>0</v>
      </c>
      <c r="M11" s="123" t="s">
        <v>2859</v>
      </c>
      <c r="N11" s="64" t="s">
        <v>2859</v>
      </c>
      <c r="O11" s="64" t="s">
        <v>3004</v>
      </c>
    </row>
    <row r="12" spans="1:30" ht="18" customHeight="1" x14ac:dyDescent="0.15">
      <c r="A12" s="66" t="s">
        <v>2697</v>
      </c>
      <c r="B12" s="66" t="s">
        <v>3014</v>
      </c>
      <c r="C12" s="65">
        <v>1</v>
      </c>
      <c r="D12" s="66" t="s">
        <v>2212</v>
      </c>
      <c r="E12" s="67">
        <f>G12+I12+K12</f>
        <v>312000</v>
      </c>
      <c r="F12" s="67">
        <f>H12+J12+L12</f>
        <v>312000</v>
      </c>
      <c r="G12" s="67">
        <f>[4]자재조서!E4</f>
        <v>312000</v>
      </c>
      <c r="H12" s="67">
        <f>TRUNC(G12*C12,0)</f>
        <v>312000</v>
      </c>
      <c r="I12" s="67">
        <v>0</v>
      </c>
      <c r="J12" s="67"/>
      <c r="K12" s="67">
        <v>0</v>
      </c>
      <c r="L12" s="67"/>
      <c r="M12" s="70" t="s">
        <v>2859</v>
      </c>
      <c r="N12" s="64" t="s">
        <v>2859</v>
      </c>
      <c r="P12" s="64" t="s">
        <v>322</v>
      </c>
      <c r="Q12" s="64" t="s">
        <v>1832</v>
      </c>
      <c r="R12" s="64" t="s">
        <v>3015</v>
      </c>
    </row>
    <row r="13" spans="1:30" ht="18" customHeight="1" x14ac:dyDescent="0.15">
      <c r="A13" s="66" t="s">
        <v>435</v>
      </c>
      <c r="B13" s="66" t="s">
        <v>1779</v>
      </c>
      <c r="C13" s="65">
        <v>1</v>
      </c>
      <c r="D13" s="66" t="s">
        <v>2293</v>
      </c>
      <c r="E13" s="67">
        <f>G13+I13+K13</f>
        <v>0</v>
      </c>
      <c r="F13" s="67">
        <f>H13+J13+L13</f>
        <v>15600</v>
      </c>
      <c r="G13" s="65"/>
      <c r="H13" s="67">
        <v>0</v>
      </c>
      <c r="I13" s="65"/>
      <c r="J13" s="67">
        <f>TRUNC((H12*5/100),0)</f>
        <v>15600</v>
      </c>
      <c r="K13" s="65"/>
      <c r="L13" s="67">
        <v>0</v>
      </c>
      <c r="M13" s="70" t="s">
        <v>2859</v>
      </c>
      <c r="N13" s="64" t="s">
        <v>2859</v>
      </c>
      <c r="P13" s="64" t="s">
        <v>2491</v>
      </c>
      <c r="Q13" s="64" t="s">
        <v>2859</v>
      </c>
      <c r="R13" s="64" t="s">
        <v>2417</v>
      </c>
      <c r="X13" s="64" t="s">
        <v>1987</v>
      </c>
      <c r="AA13" s="71" t="s">
        <v>287</v>
      </c>
      <c r="AB13" s="72">
        <f>'일위대가_호표(신규)'!H12*5/100</f>
        <v>15600</v>
      </c>
      <c r="AC13" s="71" t="s">
        <v>1141</v>
      </c>
      <c r="AD13" s="68">
        <f>$AB12</f>
        <v>0</v>
      </c>
    </row>
    <row r="14" spans="1:30" ht="18" customHeight="1" x14ac:dyDescent="0.15">
      <c r="A14" s="124" t="s">
        <v>3199</v>
      </c>
      <c r="B14" s="125" t="s">
        <v>3200</v>
      </c>
      <c r="C14" s="124"/>
      <c r="D14" s="126"/>
      <c r="E14" s="127"/>
      <c r="F14" s="128">
        <f t="shared" ref="F14" si="2">H14+J14+L14</f>
        <v>285978</v>
      </c>
      <c r="G14" s="124"/>
      <c r="H14" s="128">
        <f>TRUNC(H11*$B14)</f>
        <v>272360</v>
      </c>
      <c r="I14" s="124"/>
      <c r="J14" s="128">
        <f>TRUNC(J11*$B14)</f>
        <v>13618</v>
      </c>
      <c r="K14" s="124"/>
      <c r="L14" s="128">
        <f>TRUNC(L11*$B14)</f>
        <v>0</v>
      </c>
      <c r="M14" s="129"/>
      <c r="N14" s="64" t="s">
        <v>2859</v>
      </c>
      <c r="P14" s="64" t="s">
        <v>2435</v>
      </c>
      <c r="Q14" s="64" t="s">
        <v>2859</v>
      </c>
      <c r="R14" s="64" t="s">
        <v>2859</v>
      </c>
    </row>
    <row r="15" spans="1:30" ht="18" customHeight="1" x14ac:dyDescent="0.15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9"/>
    </row>
    <row r="16" spans="1:30" ht="18" customHeight="1" x14ac:dyDescent="0.15">
      <c r="A16" s="120" t="s">
        <v>3202</v>
      </c>
      <c r="B16" s="120" t="s">
        <v>3005</v>
      </c>
      <c r="C16" s="147">
        <v>1</v>
      </c>
      <c r="D16" s="120" t="s">
        <v>1678</v>
      </c>
      <c r="E16" s="121"/>
      <c r="F16" s="122">
        <f t="shared" ref="F16:F24" si="3">H16+J16+L16</f>
        <v>35975</v>
      </c>
      <c r="G16" s="121"/>
      <c r="H16" s="122">
        <f>TRUNC(H17+H18+H19+H20+H21+H22+H23,0)</f>
        <v>24848</v>
      </c>
      <c r="I16" s="121"/>
      <c r="J16" s="122">
        <f>TRUNC(J17+J18+J19+J20+J21+J22+J23,0)</f>
        <v>10900</v>
      </c>
      <c r="K16" s="121"/>
      <c r="L16" s="122">
        <f>TRUNC(L17+L18+L19+L20+L21+L22+L23,0)</f>
        <v>227</v>
      </c>
      <c r="M16" s="123" t="s">
        <v>2859</v>
      </c>
      <c r="N16" s="64" t="s">
        <v>2859</v>
      </c>
      <c r="O16" s="64" t="s">
        <v>3006</v>
      </c>
    </row>
    <row r="17" spans="1:20" ht="18" customHeight="1" x14ac:dyDescent="0.15">
      <c r="A17" s="66" t="s">
        <v>1179</v>
      </c>
      <c r="B17" s="66" t="s">
        <v>553</v>
      </c>
      <c r="C17" s="65">
        <v>0.25</v>
      </c>
      <c r="D17" s="66" t="s">
        <v>2822</v>
      </c>
      <c r="E17" s="67">
        <f t="shared" ref="E17:E23" si="4">G17+I17+K17</f>
        <v>4950</v>
      </c>
      <c r="F17" s="67">
        <f t="shared" si="3"/>
        <v>1237</v>
      </c>
      <c r="G17" s="67">
        <f>[4]일위대가목록!F3</f>
        <v>292</v>
      </c>
      <c r="H17" s="67">
        <f t="shared" ref="H17:H23" si="5">TRUNC(G17*C17,0)</f>
        <v>73</v>
      </c>
      <c r="I17" s="67">
        <f>[4]일위대가목록!G3</f>
        <v>4277</v>
      </c>
      <c r="J17" s="67">
        <f>TRUNC(I17*C17,0)</f>
        <v>1069</v>
      </c>
      <c r="K17" s="67">
        <f>[4]일위대가목록!H3</f>
        <v>381</v>
      </c>
      <c r="L17" s="67">
        <f>TRUNC(K17*C17,0)</f>
        <v>95</v>
      </c>
      <c r="M17" s="70" t="s">
        <v>2859</v>
      </c>
      <c r="N17" s="64" t="s">
        <v>2859</v>
      </c>
      <c r="P17" s="64" t="s">
        <v>322</v>
      </c>
      <c r="Q17" s="64" t="s">
        <v>2859</v>
      </c>
      <c r="R17" s="64" t="s">
        <v>2992</v>
      </c>
      <c r="T17" s="64" t="s">
        <v>2417</v>
      </c>
    </row>
    <row r="18" spans="1:20" ht="18" customHeight="1" x14ac:dyDescent="0.15">
      <c r="A18" s="66" t="s">
        <v>1126</v>
      </c>
      <c r="B18" s="66" t="s">
        <v>2436</v>
      </c>
      <c r="C18" s="65">
        <v>0.04</v>
      </c>
      <c r="D18" s="66" t="s">
        <v>2822</v>
      </c>
      <c r="E18" s="67">
        <f t="shared" si="4"/>
        <v>1561</v>
      </c>
      <c r="F18" s="67">
        <f t="shared" si="3"/>
        <v>61</v>
      </c>
      <c r="G18" s="67">
        <f>[4]일위대가목록!F4</f>
        <v>278</v>
      </c>
      <c r="H18" s="67">
        <f t="shared" si="5"/>
        <v>11</v>
      </c>
      <c r="I18" s="67">
        <f>[4]일위대가목록!G4</f>
        <v>920</v>
      </c>
      <c r="J18" s="67">
        <f>TRUNC(I18*C18,0)</f>
        <v>36</v>
      </c>
      <c r="K18" s="67">
        <f>[4]일위대가목록!H4</f>
        <v>363</v>
      </c>
      <c r="L18" s="67">
        <f>TRUNC(K18*C18,0)</f>
        <v>14</v>
      </c>
      <c r="M18" s="70" t="s">
        <v>2859</v>
      </c>
      <c r="N18" s="64" t="s">
        <v>2859</v>
      </c>
      <c r="P18" s="64" t="s">
        <v>2491</v>
      </c>
      <c r="Q18" s="64" t="s">
        <v>2859</v>
      </c>
      <c r="R18" s="64" t="s">
        <v>2994</v>
      </c>
      <c r="T18" s="64" t="s">
        <v>2417</v>
      </c>
    </row>
    <row r="19" spans="1:20" ht="18" customHeight="1" x14ac:dyDescent="0.15">
      <c r="A19" s="66" t="s">
        <v>3016</v>
      </c>
      <c r="B19" s="66" t="s">
        <v>3017</v>
      </c>
      <c r="C19" s="65">
        <v>0.2</v>
      </c>
      <c r="D19" s="66" t="s">
        <v>2822</v>
      </c>
      <c r="E19" s="67">
        <f t="shared" si="4"/>
        <v>6988</v>
      </c>
      <c r="F19" s="67">
        <f t="shared" si="3"/>
        <v>1397</v>
      </c>
      <c r="G19" s="67">
        <f>[4]일위대가목록!F5</f>
        <v>440</v>
      </c>
      <c r="H19" s="67">
        <f t="shared" si="5"/>
        <v>88</v>
      </c>
      <c r="I19" s="67">
        <f>[4]일위대가목록!G5</f>
        <v>6160</v>
      </c>
      <c r="J19" s="67">
        <f>TRUNC(I19*C19,0)</f>
        <v>1232</v>
      </c>
      <c r="K19" s="67">
        <f>[4]일위대가목록!H5</f>
        <v>388</v>
      </c>
      <c r="L19" s="67">
        <f>TRUNC(K19*C19,0)</f>
        <v>77</v>
      </c>
      <c r="M19" s="70" t="s">
        <v>2859</v>
      </c>
      <c r="N19" s="64" t="s">
        <v>2859</v>
      </c>
      <c r="P19" s="64" t="s">
        <v>1745</v>
      </c>
      <c r="Q19" s="64" t="s">
        <v>2859</v>
      </c>
      <c r="R19" s="64" t="s">
        <v>2997</v>
      </c>
      <c r="T19" s="64" t="s">
        <v>2417</v>
      </c>
    </row>
    <row r="20" spans="1:20" ht="18" customHeight="1" x14ac:dyDescent="0.15">
      <c r="A20" s="66" t="s">
        <v>292</v>
      </c>
      <c r="B20" s="66" t="s">
        <v>3018</v>
      </c>
      <c r="C20" s="65">
        <v>4.2000000000000003E-2</v>
      </c>
      <c r="D20" s="66" t="s">
        <v>2822</v>
      </c>
      <c r="E20" s="67">
        <f t="shared" si="4"/>
        <v>24000</v>
      </c>
      <c r="F20" s="67">
        <f t="shared" si="3"/>
        <v>1008</v>
      </c>
      <c r="G20" s="67">
        <f>[4]자재조서!E6</f>
        <v>24000</v>
      </c>
      <c r="H20" s="67">
        <f t="shared" si="5"/>
        <v>1008</v>
      </c>
      <c r="I20" s="67">
        <v>0</v>
      </c>
      <c r="J20" s="67"/>
      <c r="K20" s="67">
        <v>0</v>
      </c>
      <c r="L20" s="67"/>
      <c r="M20" s="70" t="s">
        <v>2859</v>
      </c>
      <c r="N20" s="64" t="s">
        <v>2859</v>
      </c>
      <c r="P20" s="64" t="s">
        <v>1030</v>
      </c>
      <c r="Q20" s="64" t="s">
        <v>2859</v>
      </c>
      <c r="R20" s="64" t="s">
        <v>3019</v>
      </c>
    </row>
    <row r="21" spans="1:20" ht="18" customHeight="1" x14ac:dyDescent="0.15">
      <c r="A21" s="66" t="s">
        <v>3020</v>
      </c>
      <c r="B21" s="66" t="s">
        <v>3021</v>
      </c>
      <c r="C21" s="65">
        <v>0.04</v>
      </c>
      <c r="D21" s="66" t="s">
        <v>2822</v>
      </c>
      <c r="E21" s="67">
        <f t="shared" si="4"/>
        <v>10702</v>
      </c>
      <c r="F21" s="67">
        <f t="shared" si="3"/>
        <v>427</v>
      </c>
      <c r="G21" s="67">
        <f>[4]일위대가목록!F6</f>
        <v>1075</v>
      </c>
      <c r="H21" s="67">
        <f t="shared" si="5"/>
        <v>43</v>
      </c>
      <c r="I21" s="67">
        <f>[4]일위대가목록!G6</f>
        <v>8587</v>
      </c>
      <c r="J21" s="67">
        <f>TRUNC(I21*C21,0)</f>
        <v>343</v>
      </c>
      <c r="K21" s="67">
        <f>[4]일위대가목록!H6</f>
        <v>1040</v>
      </c>
      <c r="L21" s="67">
        <f>TRUNC(K21*C21,0)</f>
        <v>41</v>
      </c>
      <c r="M21" s="70" t="s">
        <v>2859</v>
      </c>
      <c r="N21" s="64" t="s">
        <v>2859</v>
      </c>
      <c r="P21" s="64" t="s">
        <v>267</v>
      </c>
      <c r="Q21" s="64" t="s">
        <v>2859</v>
      </c>
      <c r="R21" s="64" t="s">
        <v>3000</v>
      </c>
      <c r="T21" s="64" t="s">
        <v>2417</v>
      </c>
    </row>
    <row r="22" spans="1:20" ht="18" customHeight="1" x14ac:dyDescent="0.15">
      <c r="A22" s="66" t="s">
        <v>3022</v>
      </c>
      <c r="B22" s="66" t="s">
        <v>3023</v>
      </c>
      <c r="C22" s="65">
        <v>1.05</v>
      </c>
      <c r="D22" s="66" t="s">
        <v>1678</v>
      </c>
      <c r="E22" s="67">
        <f t="shared" si="4"/>
        <v>22500</v>
      </c>
      <c r="F22" s="67">
        <f t="shared" si="3"/>
        <v>23625</v>
      </c>
      <c r="G22" s="67">
        <f>[4]자재조서!E7</f>
        <v>22500</v>
      </c>
      <c r="H22" s="67">
        <f t="shared" si="5"/>
        <v>23625</v>
      </c>
      <c r="I22" s="67">
        <v>0</v>
      </c>
      <c r="J22" s="67"/>
      <c r="K22" s="67">
        <v>0</v>
      </c>
      <c r="L22" s="67"/>
      <c r="M22" s="70" t="s">
        <v>2859</v>
      </c>
      <c r="N22" s="64" t="s">
        <v>2859</v>
      </c>
      <c r="P22" s="64" t="s">
        <v>2435</v>
      </c>
      <c r="Q22" s="64" t="s">
        <v>2859</v>
      </c>
      <c r="R22" s="64" t="s">
        <v>3024</v>
      </c>
    </row>
    <row r="23" spans="1:20" ht="18" customHeight="1" x14ac:dyDescent="0.15">
      <c r="A23" s="66" t="s">
        <v>3025</v>
      </c>
      <c r="B23" s="66" t="s">
        <v>3007</v>
      </c>
      <c r="C23" s="65">
        <v>1</v>
      </c>
      <c r="D23" s="66" t="s">
        <v>1678</v>
      </c>
      <c r="E23" s="67">
        <f t="shared" si="4"/>
        <v>8220</v>
      </c>
      <c r="F23" s="67">
        <f t="shared" si="3"/>
        <v>8220</v>
      </c>
      <c r="G23" s="67">
        <f>[4]일위대가목록!F10</f>
        <v>0</v>
      </c>
      <c r="H23" s="67">
        <f t="shared" si="5"/>
        <v>0</v>
      </c>
      <c r="I23" s="67">
        <f>[4]일위대가목록!G10</f>
        <v>8220</v>
      </c>
      <c r="J23" s="67">
        <f>TRUNC(I23*C23,0)</f>
        <v>8220</v>
      </c>
      <c r="K23" s="67">
        <f>[4]일위대가목록!H10</f>
        <v>0</v>
      </c>
      <c r="L23" s="67">
        <f>TRUNC(K23*C23,0)</f>
        <v>0</v>
      </c>
      <c r="M23" s="70" t="s">
        <v>2859</v>
      </c>
      <c r="N23" s="64" t="s">
        <v>2859</v>
      </c>
      <c r="P23" s="64" t="s">
        <v>1695</v>
      </c>
      <c r="Q23" s="64" t="s">
        <v>2859</v>
      </c>
      <c r="R23" s="64" t="s">
        <v>3008</v>
      </c>
      <c r="T23" s="64" t="s">
        <v>1773</v>
      </c>
    </row>
    <row r="24" spans="1:20" ht="18" customHeight="1" x14ac:dyDescent="0.15">
      <c r="A24" s="124" t="s">
        <v>3199</v>
      </c>
      <c r="B24" s="125" t="s">
        <v>3200</v>
      </c>
      <c r="C24" s="124"/>
      <c r="D24" s="126"/>
      <c r="E24" s="127"/>
      <c r="F24" s="128">
        <f t="shared" si="3"/>
        <v>31404</v>
      </c>
      <c r="G24" s="124"/>
      <c r="H24" s="128">
        <f>TRUNC(H16*$B24)</f>
        <v>21691</v>
      </c>
      <c r="I24" s="124"/>
      <c r="J24" s="128">
        <f>TRUNC(J16*$B24)</f>
        <v>9515</v>
      </c>
      <c r="K24" s="124"/>
      <c r="L24" s="128">
        <f>TRUNC(L16*$B24)</f>
        <v>198</v>
      </c>
      <c r="M24" s="129"/>
      <c r="N24" s="64" t="s">
        <v>2859</v>
      </c>
      <c r="P24" s="64" t="s">
        <v>2435</v>
      </c>
      <c r="Q24" s="64" t="s">
        <v>2859</v>
      </c>
      <c r="R24" s="64" t="s">
        <v>2859</v>
      </c>
    </row>
    <row r="25" spans="1:20" ht="18" customHeight="1" x14ac:dyDescent="0.1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9"/>
    </row>
    <row r="26" spans="1:20" ht="18" customHeight="1" x14ac:dyDescent="0.15">
      <c r="A26" s="120" t="s">
        <v>3203</v>
      </c>
      <c r="B26" s="120" t="s">
        <v>3007</v>
      </c>
      <c r="C26" s="147">
        <v>1</v>
      </c>
      <c r="D26" s="120" t="s">
        <v>1678</v>
      </c>
      <c r="E26" s="121"/>
      <c r="F26" s="122">
        <f>H26+J26+L26</f>
        <v>8220</v>
      </c>
      <c r="G26" s="121"/>
      <c r="H26" s="122">
        <f>TRUNC(H27+H28,0)</f>
        <v>0</v>
      </c>
      <c r="I26" s="121"/>
      <c r="J26" s="122">
        <f>TRUNC(J27+J28,0)</f>
        <v>8220</v>
      </c>
      <c r="K26" s="121"/>
      <c r="L26" s="122">
        <f>TRUNC(L27+L28,0)</f>
        <v>0</v>
      </c>
      <c r="M26" s="123" t="s">
        <v>2859</v>
      </c>
      <c r="N26" s="64" t="s">
        <v>2859</v>
      </c>
      <c r="O26" s="64" t="s">
        <v>3008</v>
      </c>
    </row>
    <row r="27" spans="1:20" ht="18" customHeight="1" x14ac:dyDescent="0.15">
      <c r="A27" s="66" t="s">
        <v>534</v>
      </c>
      <c r="B27" s="66" t="s">
        <v>2859</v>
      </c>
      <c r="C27" s="65">
        <v>2.5000000000000001E-2</v>
      </c>
      <c r="D27" s="66" t="s">
        <v>2663</v>
      </c>
      <c r="E27" s="67">
        <f>G27+I27+K27</f>
        <v>229482</v>
      </c>
      <c r="F27" s="67">
        <f>H27+J27+L27</f>
        <v>5737</v>
      </c>
      <c r="G27" s="67">
        <v>0</v>
      </c>
      <c r="H27" s="67"/>
      <c r="I27" s="67">
        <f>[4]노임!D3</f>
        <v>229482</v>
      </c>
      <c r="J27" s="67">
        <f>TRUNC(I27*C27,0)</f>
        <v>5737</v>
      </c>
      <c r="K27" s="67">
        <v>0</v>
      </c>
      <c r="L27" s="67"/>
      <c r="M27" s="70" t="s">
        <v>2859</v>
      </c>
      <c r="N27" s="64" t="s">
        <v>289</v>
      </c>
      <c r="P27" s="64" t="s">
        <v>919</v>
      </c>
      <c r="Q27" s="64" t="s">
        <v>2859</v>
      </c>
      <c r="R27" s="64" t="s">
        <v>262</v>
      </c>
    </row>
    <row r="28" spans="1:20" ht="18" customHeight="1" x14ac:dyDescent="0.15">
      <c r="A28" s="66" t="s">
        <v>891</v>
      </c>
      <c r="B28" s="66" t="s">
        <v>2859</v>
      </c>
      <c r="C28" s="65">
        <v>1.4999999999999999E-2</v>
      </c>
      <c r="D28" s="66" t="s">
        <v>2663</v>
      </c>
      <c r="E28" s="67">
        <f>G28+I28+K28</f>
        <v>165545</v>
      </c>
      <c r="F28" s="67">
        <f>H28+J28+L28</f>
        <v>2483</v>
      </c>
      <c r="G28" s="67">
        <v>0</v>
      </c>
      <c r="H28" s="67"/>
      <c r="I28" s="67">
        <f>[4]노임!D4</f>
        <v>165545</v>
      </c>
      <c r="J28" s="67">
        <f>TRUNC(I28*C28,0)</f>
        <v>2483</v>
      </c>
      <c r="K28" s="67">
        <v>0</v>
      </c>
      <c r="L28" s="67"/>
      <c r="M28" s="70" t="s">
        <v>2859</v>
      </c>
      <c r="N28" s="64" t="s">
        <v>822</v>
      </c>
      <c r="P28" s="64" t="s">
        <v>322</v>
      </c>
      <c r="Q28" s="64" t="s">
        <v>2859</v>
      </c>
      <c r="R28" s="64" t="s">
        <v>485</v>
      </c>
    </row>
    <row r="29" spans="1:20" ht="18" customHeight="1" x14ac:dyDescent="0.15">
      <c r="A29" s="124" t="s">
        <v>3199</v>
      </c>
      <c r="B29" s="125" t="s">
        <v>3200</v>
      </c>
      <c r="C29" s="124"/>
      <c r="D29" s="126"/>
      <c r="E29" s="127"/>
      <c r="F29" s="128">
        <f t="shared" ref="F29" si="6">H29+J29+L29</f>
        <v>7175</v>
      </c>
      <c r="G29" s="124"/>
      <c r="H29" s="128">
        <f>TRUNC(H26*$B29)</f>
        <v>0</v>
      </c>
      <c r="I29" s="124"/>
      <c r="J29" s="128">
        <f>TRUNC(J26*$B29)</f>
        <v>7175</v>
      </c>
      <c r="K29" s="124"/>
      <c r="L29" s="128">
        <f>TRUNC(L26*$B29)</f>
        <v>0</v>
      </c>
      <c r="M29" s="129"/>
      <c r="N29" s="64" t="s">
        <v>2859</v>
      </c>
      <c r="P29" s="64" t="s">
        <v>2435</v>
      </c>
      <c r="Q29" s="64" t="s">
        <v>2859</v>
      </c>
      <c r="R29" s="64" t="s">
        <v>2859</v>
      </c>
    </row>
    <row r="30" spans="1:20" ht="18" customHeight="1" x14ac:dyDescent="0.15">
      <c r="A30" s="124"/>
      <c r="B30" s="125"/>
      <c r="C30" s="124"/>
      <c r="D30" s="126"/>
      <c r="E30" s="127"/>
      <c r="F30" s="128"/>
      <c r="G30" s="124"/>
      <c r="H30" s="128"/>
      <c r="I30" s="124"/>
      <c r="J30" s="128"/>
      <c r="K30" s="124"/>
      <c r="L30" s="128"/>
      <c r="M30" s="129"/>
    </row>
    <row r="31" spans="1:20" ht="18" customHeight="1" x14ac:dyDescent="0.15">
      <c r="A31" s="120" t="s">
        <v>3207</v>
      </c>
      <c r="B31" s="120" t="s">
        <v>3208</v>
      </c>
      <c r="C31" s="147">
        <v>1</v>
      </c>
      <c r="D31" s="120" t="s">
        <v>1678</v>
      </c>
      <c r="E31" s="121"/>
      <c r="F31" s="122">
        <f>H31+J31+L31</f>
        <v>105262</v>
      </c>
      <c r="G31" s="121"/>
      <c r="H31" s="122">
        <f>H32</f>
        <v>411</v>
      </c>
      <c r="I31" s="121"/>
      <c r="J31" s="122">
        <f>J32</f>
        <v>41847</v>
      </c>
      <c r="K31" s="121"/>
      <c r="L31" s="122">
        <f>L32</f>
        <v>63004</v>
      </c>
      <c r="M31" s="123" t="s">
        <v>2859</v>
      </c>
      <c r="N31" s="64" t="s">
        <v>2859</v>
      </c>
      <c r="O31" s="64" t="s">
        <v>3008</v>
      </c>
    </row>
    <row r="32" spans="1:20" s="145" customFormat="1" ht="18" customHeight="1" x14ac:dyDescent="0.15">
      <c r="A32" s="142" t="s">
        <v>3211</v>
      </c>
      <c r="B32" s="143" t="s">
        <v>3212</v>
      </c>
      <c r="C32" s="146" t="s">
        <v>3214</v>
      </c>
      <c r="D32" s="144" t="s">
        <v>3213</v>
      </c>
      <c r="E32" s="166">
        <f>G32+I32+K32</f>
        <v>105262</v>
      </c>
      <c r="F32" s="167">
        <f>H32+J32+L32</f>
        <v>105262</v>
      </c>
      <c r="G32" s="146">
        <f>'일위대가_산근 (신규)'!C208</f>
        <v>411</v>
      </c>
      <c r="H32" s="167">
        <f>TRUNC(G32*$C$32,0)</f>
        <v>411</v>
      </c>
      <c r="I32" s="146">
        <f>'일위대가_산근 (신규)'!D208</f>
        <v>41847</v>
      </c>
      <c r="J32" s="167">
        <f>TRUNC(I32*$C$32,0)</f>
        <v>41847</v>
      </c>
      <c r="K32" s="146">
        <f>'일위대가_산근 (신규)'!E208</f>
        <v>63004</v>
      </c>
      <c r="L32" s="167">
        <f>TRUNC(K32*$C$32,0)</f>
        <v>63004</v>
      </c>
      <c r="M32" s="168"/>
    </row>
    <row r="33" spans="1:18" ht="18" customHeight="1" x14ac:dyDescent="0.15">
      <c r="A33" s="124" t="s">
        <v>3199</v>
      </c>
      <c r="B33" s="125" t="s">
        <v>3200</v>
      </c>
      <c r="C33" s="124"/>
      <c r="D33" s="126"/>
      <c r="E33" s="127"/>
      <c r="F33" s="128">
        <f t="shared" ref="F33" si="7">H33+J33+L33</f>
        <v>91887</v>
      </c>
      <c r="G33" s="124"/>
      <c r="H33" s="128">
        <f>TRUNC(H31*$B$33,0)</f>
        <v>358</v>
      </c>
      <c r="I33" s="124"/>
      <c r="J33" s="128">
        <f>TRUNC(J31*$B$33,0)</f>
        <v>36530</v>
      </c>
      <c r="K33" s="124"/>
      <c r="L33" s="128">
        <f>TRUNC(L31*$B$33,0)</f>
        <v>54999</v>
      </c>
      <c r="M33" s="129"/>
      <c r="N33" s="64" t="s">
        <v>2859</v>
      </c>
      <c r="P33" s="64" t="s">
        <v>2435</v>
      </c>
      <c r="Q33" s="64" t="s">
        <v>2859</v>
      </c>
      <c r="R33" s="64" t="s">
        <v>2859</v>
      </c>
    </row>
    <row r="34" spans="1:18" ht="18" customHeight="1" x14ac:dyDescent="0.15">
      <c r="A34" s="124"/>
      <c r="B34" s="125"/>
      <c r="C34" s="124"/>
      <c r="D34" s="126"/>
      <c r="E34" s="127"/>
      <c r="F34" s="128"/>
      <c r="G34" s="124"/>
      <c r="H34" s="128"/>
      <c r="I34" s="124"/>
      <c r="J34" s="128"/>
      <c r="K34" s="124"/>
      <c r="L34" s="128"/>
      <c r="M34" s="129"/>
    </row>
    <row r="35" spans="1:18" ht="18" customHeight="1" x14ac:dyDescent="0.15">
      <c r="A35" s="124"/>
      <c r="B35" s="125"/>
      <c r="C35" s="124"/>
      <c r="D35" s="126"/>
      <c r="E35" s="127"/>
      <c r="F35" s="128"/>
      <c r="G35" s="124"/>
      <c r="H35" s="128"/>
      <c r="I35" s="124"/>
      <c r="J35" s="128"/>
      <c r="K35" s="124"/>
      <c r="L35" s="128"/>
      <c r="M35" s="129"/>
    </row>
    <row r="36" spans="1:18" ht="18" customHeight="1" x14ac:dyDescent="0.15">
      <c r="A36" s="124"/>
      <c r="B36" s="125"/>
      <c r="C36" s="124"/>
      <c r="D36" s="126"/>
      <c r="E36" s="127"/>
      <c r="F36" s="128"/>
      <c r="G36" s="124"/>
      <c r="H36" s="128"/>
      <c r="I36" s="124"/>
      <c r="J36" s="128"/>
      <c r="K36" s="124"/>
      <c r="L36" s="128"/>
      <c r="M36" s="129"/>
    </row>
    <row r="37" spans="1:18" ht="18" customHeight="1" x14ac:dyDescent="0.15">
      <c r="A37" s="124"/>
      <c r="B37" s="125"/>
      <c r="C37" s="124"/>
      <c r="D37" s="126"/>
      <c r="E37" s="127"/>
      <c r="F37" s="128"/>
      <c r="G37" s="124"/>
      <c r="H37" s="128"/>
      <c r="I37" s="124"/>
      <c r="J37" s="128"/>
      <c r="K37" s="124"/>
      <c r="L37" s="128"/>
      <c r="M37" s="129"/>
    </row>
    <row r="38" spans="1:18" ht="18" customHeight="1" x14ac:dyDescent="0.15">
      <c r="A38" s="124"/>
      <c r="B38" s="125"/>
      <c r="C38" s="124"/>
      <c r="D38" s="126"/>
      <c r="E38" s="127"/>
      <c r="F38" s="128"/>
      <c r="G38" s="124"/>
      <c r="H38" s="128"/>
      <c r="I38" s="124"/>
      <c r="J38" s="128"/>
      <c r="K38" s="124"/>
      <c r="L38" s="128"/>
      <c r="M38" s="129"/>
    </row>
    <row r="39" spans="1:18" ht="18" customHeight="1" x14ac:dyDescent="0.15">
      <c r="A39" s="124"/>
      <c r="B39" s="125"/>
      <c r="C39" s="124"/>
      <c r="D39" s="126"/>
      <c r="E39" s="127"/>
      <c r="F39" s="128"/>
      <c r="G39" s="124"/>
      <c r="H39" s="128"/>
      <c r="I39" s="124"/>
      <c r="J39" s="128"/>
      <c r="K39" s="124"/>
      <c r="L39" s="128"/>
      <c r="M39" s="129"/>
    </row>
    <row r="40" spans="1:18" ht="18" customHeight="1" x14ac:dyDescent="0.15">
      <c r="A40" s="124"/>
      <c r="B40" s="125"/>
      <c r="C40" s="124"/>
      <c r="D40" s="126"/>
      <c r="E40" s="127"/>
      <c r="F40" s="128"/>
      <c r="G40" s="124"/>
      <c r="H40" s="128"/>
      <c r="I40" s="124"/>
      <c r="J40" s="128"/>
      <c r="K40" s="124"/>
      <c r="L40" s="128"/>
      <c r="M40" s="129"/>
    </row>
    <row r="41" spans="1:18" ht="18" customHeight="1" x14ac:dyDescent="0.15">
      <c r="A41" s="124"/>
      <c r="B41" s="125"/>
      <c r="C41" s="124"/>
      <c r="D41" s="126"/>
      <c r="E41" s="127"/>
      <c r="F41" s="128"/>
      <c r="G41" s="124"/>
      <c r="H41" s="128"/>
      <c r="I41" s="124"/>
      <c r="J41" s="128"/>
      <c r="K41" s="124"/>
      <c r="L41" s="128"/>
      <c r="M41" s="129"/>
    </row>
    <row r="42" spans="1:18" ht="18" customHeight="1" x14ac:dyDescent="0.15">
      <c r="A42" s="124"/>
      <c r="B42" s="125"/>
      <c r="C42" s="124"/>
      <c r="D42" s="126"/>
      <c r="E42" s="127"/>
      <c r="F42" s="128"/>
      <c r="G42" s="124"/>
      <c r="H42" s="128"/>
      <c r="I42" s="124"/>
      <c r="J42" s="128"/>
      <c r="K42" s="124"/>
      <c r="L42" s="128"/>
      <c r="M42" s="129"/>
    </row>
    <row r="43" spans="1:18" ht="18" customHeight="1" x14ac:dyDescent="0.15">
      <c r="A43" s="124"/>
      <c r="B43" s="125"/>
      <c r="C43" s="124"/>
      <c r="D43" s="126"/>
      <c r="E43" s="127"/>
      <c r="F43" s="128"/>
      <c r="G43" s="124"/>
      <c r="H43" s="128"/>
      <c r="I43" s="124"/>
      <c r="J43" s="128"/>
      <c r="K43" s="124"/>
      <c r="L43" s="128"/>
      <c r="M43" s="129"/>
    </row>
    <row r="44" spans="1:18" ht="18" customHeight="1" x14ac:dyDescent="0.15">
      <c r="A44" s="124"/>
      <c r="B44" s="125"/>
      <c r="C44" s="124"/>
      <c r="D44" s="126"/>
      <c r="E44" s="127"/>
      <c r="F44" s="128"/>
      <c r="G44" s="124"/>
      <c r="H44" s="128"/>
      <c r="I44" s="124"/>
      <c r="J44" s="128"/>
      <c r="K44" s="124"/>
      <c r="L44" s="128"/>
      <c r="M44" s="129"/>
    </row>
    <row r="45" spans="1:18" ht="18" customHeight="1" x14ac:dyDescent="0.15">
      <c r="A45" s="124"/>
      <c r="B45" s="125"/>
      <c r="C45" s="124"/>
      <c r="D45" s="126"/>
      <c r="E45" s="127"/>
      <c r="F45" s="128"/>
      <c r="G45" s="124"/>
      <c r="H45" s="128"/>
      <c r="I45" s="124"/>
      <c r="J45" s="128"/>
      <c r="K45" s="124"/>
      <c r="L45" s="128"/>
      <c r="M45" s="129"/>
    </row>
    <row r="46" spans="1:18" ht="18" customHeight="1" x14ac:dyDescent="0.15">
      <c r="A46" s="124"/>
      <c r="B46" s="125"/>
      <c r="C46" s="124"/>
      <c r="D46" s="126"/>
      <c r="E46" s="127"/>
      <c r="F46" s="128"/>
      <c r="G46" s="124"/>
      <c r="H46" s="128"/>
      <c r="I46" s="124"/>
      <c r="J46" s="128"/>
      <c r="K46" s="124"/>
      <c r="L46" s="128"/>
      <c r="M46" s="129"/>
    </row>
    <row r="47" spans="1:18" ht="18" customHeight="1" x14ac:dyDescent="0.15">
      <c r="A47" s="124"/>
      <c r="B47" s="125"/>
      <c r="C47" s="124"/>
      <c r="D47" s="126"/>
      <c r="E47" s="127"/>
      <c r="F47" s="128"/>
      <c r="G47" s="124"/>
      <c r="H47" s="128"/>
      <c r="I47" s="124"/>
      <c r="J47" s="128"/>
      <c r="K47" s="124"/>
      <c r="L47" s="128"/>
      <c r="M47" s="129"/>
    </row>
    <row r="48" spans="1:18" ht="18" customHeight="1" x14ac:dyDescent="0.15">
      <c r="A48" s="124"/>
      <c r="B48" s="125"/>
      <c r="C48" s="124"/>
      <c r="D48" s="126"/>
      <c r="E48" s="127"/>
      <c r="F48" s="128"/>
      <c r="G48" s="124"/>
      <c r="H48" s="128"/>
      <c r="I48" s="124"/>
      <c r="J48" s="128"/>
      <c r="K48" s="124"/>
      <c r="L48" s="128"/>
      <c r="M48" s="129"/>
    </row>
    <row r="49" spans="1:13" ht="18" customHeight="1" x14ac:dyDescent="0.15">
      <c r="A49" s="124"/>
      <c r="B49" s="125"/>
      <c r="C49" s="124"/>
      <c r="D49" s="126"/>
      <c r="E49" s="127"/>
      <c r="F49" s="128"/>
      <c r="G49" s="124"/>
      <c r="H49" s="128"/>
      <c r="I49" s="124"/>
      <c r="J49" s="128"/>
      <c r="K49" s="124"/>
      <c r="L49" s="128"/>
      <c r="M49" s="129"/>
    </row>
    <row r="50" spans="1:13" ht="18" customHeight="1" x14ac:dyDescent="0.15">
      <c r="A50" s="124"/>
      <c r="B50" s="125"/>
      <c r="C50" s="124"/>
      <c r="D50" s="126"/>
      <c r="E50" s="127"/>
      <c r="F50" s="128"/>
      <c r="G50" s="124"/>
      <c r="H50" s="128"/>
      <c r="I50" s="124"/>
      <c r="J50" s="128"/>
      <c r="K50" s="124"/>
      <c r="L50" s="128"/>
      <c r="M50" s="129"/>
    </row>
    <row r="51" spans="1:13" ht="18" customHeight="1" x14ac:dyDescent="0.15">
      <c r="A51" s="124"/>
      <c r="B51" s="125"/>
      <c r="C51" s="124"/>
      <c r="D51" s="126"/>
      <c r="E51" s="127"/>
      <c r="F51" s="128"/>
      <c r="G51" s="124"/>
      <c r="H51" s="128"/>
      <c r="I51" s="124"/>
      <c r="J51" s="128"/>
      <c r="K51" s="124"/>
      <c r="L51" s="128"/>
      <c r="M51" s="129"/>
    </row>
    <row r="52" spans="1:13" ht="18" customHeight="1" x14ac:dyDescent="0.15">
      <c r="A52" s="124"/>
      <c r="B52" s="125"/>
      <c r="C52" s="124"/>
      <c r="D52" s="126"/>
      <c r="E52" s="127"/>
      <c r="F52" s="128"/>
      <c r="G52" s="124"/>
      <c r="H52" s="128"/>
      <c r="I52" s="124"/>
      <c r="J52" s="128"/>
      <c r="K52" s="124"/>
      <c r="L52" s="128"/>
      <c r="M52" s="129"/>
    </row>
    <row r="53" spans="1:13" ht="18" customHeight="1" x14ac:dyDescent="0.15">
      <c r="A53" s="124"/>
      <c r="B53" s="125"/>
      <c r="C53" s="124"/>
      <c r="D53" s="126"/>
      <c r="E53" s="127"/>
      <c r="F53" s="128"/>
      <c r="G53" s="124"/>
      <c r="H53" s="128"/>
      <c r="I53" s="124"/>
      <c r="J53" s="128"/>
      <c r="K53" s="124"/>
      <c r="L53" s="128"/>
      <c r="M53" s="129"/>
    </row>
    <row r="54" spans="1:13" ht="18" customHeight="1" x14ac:dyDescent="0.15">
      <c r="A54" s="124"/>
      <c r="B54" s="125"/>
      <c r="C54" s="124"/>
      <c r="D54" s="126"/>
      <c r="E54" s="127"/>
      <c r="F54" s="128"/>
      <c r="G54" s="124"/>
      <c r="H54" s="128"/>
      <c r="I54" s="124"/>
      <c r="J54" s="128"/>
      <c r="K54" s="124"/>
      <c r="L54" s="128"/>
      <c r="M54" s="129"/>
    </row>
    <row r="55" spans="1:13" ht="18" customHeight="1" x14ac:dyDescent="0.15">
      <c r="A55" s="124"/>
      <c r="B55" s="125"/>
      <c r="C55" s="124"/>
      <c r="D55" s="126"/>
      <c r="E55" s="127"/>
      <c r="F55" s="128"/>
      <c r="G55" s="124"/>
      <c r="H55" s="128"/>
      <c r="I55" s="124"/>
      <c r="J55" s="128"/>
      <c r="K55" s="124"/>
      <c r="L55" s="128"/>
      <c r="M55" s="129"/>
    </row>
    <row r="56" spans="1:13" ht="18" customHeight="1" x14ac:dyDescent="0.15">
      <c r="A56" s="124"/>
      <c r="B56" s="125"/>
      <c r="C56" s="124"/>
      <c r="D56" s="126"/>
      <c r="E56" s="127"/>
      <c r="F56" s="128"/>
      <c r="G56" s="124"/>
      <c r="H56" s="128"/>
      <c r="I56" s="124"/>
      <c r="J56" s="128"/>
      <c r="K56" s="124"/>
      <c r="L56" s="128"/>
      <c r="M56" s="129"/>
    </row>
    <row r="57" spans="1:13" ht="18" customHeight="1" x14ac:dyDescent="0.15">
      <c r="A57" s="124"/>
      <c r="B57" s="125"/>
      <c r="C57" s="124"/>
      <c r="D57" s="126"/>
      <c r="E57" s="127"/>
      <c r="F57" s="128"/>
      <c r="G57" s="124"/>
      <c r="H57" s="128"/>
      <c r="I57" s="124"/>
      <c r="J57" s="128"/>
      <c r="K57" s="124"/>
      <c r="L57" s="128"/>
      <c r="M57" s="129"/>
    </row>
    <row r="58" spans="1:13" ht="18" customHeight="1" x14ac:dyDescent="0.15">
      <c r="A58" s="124"/>
      <c r="B58" s="125"/>
      <c r="C58" s="124"/>
      <c r="D58" s="126"/>
      <c r="E58" s="127"/>
      <c r="F58" s="128"/>
      <c r="G58" s="124"/>
      <c r="H58" s="128"/>
      <c r="I58" s="124"/>
      <c r="J58" s="128"/>
      <c r="K58" s="124"/>
      <c r="L58" s="128"/>
      <c r="M58" s="129"/>
    </row>
    <row r="69" spans="11:11" ht="12.75" customHeight="1" x14ac:dyDescent="0.15">
      <c r="K69" s="73"/>
    </row>
    <row r="70" spans="11:11" ht="12.75" customHeight="1" x14ac:dyDescent="0.15">
      <c r="K70" s="73"/>
    </row>
  </sheetData>
  <mergeCells count="9">
    <mergeCell ref="I1:J1"/>
    <mergeCell ref="K1:L1"/>
    <mergeCell ref="M1:M2"/>
    <mergeCell ref="A1:A2"/>
    <mergeCell ref="B1:B2"/>
    <mergeCell ref="C1:C2"/>
    <mergeCell ref="D1:D2"/>
    <mergeCell ref="E1:F1"/>
    <mergeCell ref="G1:H1"/>
  </mergeCells>
  <phoneticPr fontId="5" type="noConversion"/>
  <pageMargins left="0.78740157480314965" right="0.31496062992125984" top="0.59055118110236227" bottom="0.59055118110236227" header="0.51181102362204722" footer="0.51181102362204722"/>
  <pageSetup paperSize="9" scale="88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09304-2560-49CF-AB2A-88C4D9F2B86F}">
  <sheetPr>
    <tabColor rgb="FFFF0000"/>
  </sheetPr>
  <dimension ref="A1:BB209"/>
  <sheetViews>
    <sheetView view="pageBreakPreview" topLeftCell="A187" zoomScale="115" zoomScaleNormal="100" zoomScaleSheetLayoutView="115" workbookViewId="0">
      <selection activeCell="F8" sqref="F8"/>
    </sheetView>
  </sheetViews>
  <sheetFormatPr defaultRowHeight="12.75" customHeight="1" x14ac:dyDescent="0.15"/>
  <cols>
    <col min="1" max="1" width="71.33203125" style="64" customWidth="1"/>
    <col min="2" max="2" width="9.1640625" style="64"/>
    <col min="3" max="3" width="13.6640625" style="64" customWidth="1"/>
    <col min="4" max="4" width="9.1640625" style="64"/>
    <col min="5" max="5" width="9.6640625" style="64" bestFit="1" customWidth="1"/>
    <col min="6" max="6" width="6.83203125" style="64" customWidth="1"/>
    <col min="7" max="23" width="0" style="64" hidden="1" customWidth="1"/>
    <col min="24" max="47" width="9.1640625" style="64"/>
    <col min="48" max="48" width="2.33203125" style="64" customWidth="1"/>
    <col min="49" max="49" width="5.6640625" style="64" customWidth="1"/>
    <col min="50" max="256" width="9.1640625" style="64"/>
    <col min="257" max="257" width="74.33203125" style="64" customWidth="1"/>
    <col min="258" max="258" width="9.1640625" style="64"/>
    <col min="259" max="259" width="13.6640625" style="64" customWidth="1"/>
    <col min="260" max="261" width="9.1640625" style="64"/>
    <col min="262" max="262" width="6.83203125" style="64" customWidth="1"/>
    <col min="263" max="279" width="0" style="64" hidden="1" customWidth="1"/>
    <col min="280" max="303" width="9.1640625" style="64"/>
    <col min="304" max="304" width="2.33203125" style="64" customWidth="1"/>
    <col min="305" max="305" width="5.6640625" style="64" customWidth="1"/>
    <col min="306" max="512" width="9.1640625" style="64"/>
    <col min="513" max="513" width="74.33203125" style="64" customWidth="1"/>
    <col min="514" max="514" width="9.1640625" style="64"/>
    <col min="515" max="515" width="13.6640625" style="64" customWidth="1"/>
    <col min="516" max="517" width="9.1640625" style="64"/>
    <col min="518" max="518" width="6.83203125" style="64" customWidth="1"/>
    <col min="519" max="535" width="0" style="64" hidden="1" customWidth="1"/>
    <col min="536" max="559" width="9.1640625" style="64"/>
    <col min="560" max="560" width="2.33203125" style="64" customWidth="1"/>
    <col min="561" max="561" width="5.6640625" style="64" customWidth="1"/>
    <col min="562" max="768" width="9.1640625" style="64"/>
    <col min="769" max="769" width="74.33203125" style="64" customWidth="1"/>
    <col min="770" max="770" width="9.1640625" style="64"/>
    <col min="771" max="771" width="13.6640625" style="64" customWidth="1"/>
    <col min="772" max="773" width="9.1640625" style="64"/>
    <col min="774" max="774" width="6.83203125" style="64" customWidth="1"/>
    <col min="775" max="791" width="0" style="64" hidden="1" customWidth="1"/>
    <col min="792" max="815" width="9.1640625" style="64"/>
    <col min="816" max="816" width="2.33203125" style="64" customWidth="1"/>
    <col min="817" max="817" width="5.6640625" style="64" customWidth="1"/>
    <col min="818" max="1024" width="9.1640625" style="64"/>
    <col min="1025" max="1025" width="74.33203125" style="64" customWidth="1"/>
    <col min="1026" max="1026" width="9.1640625" style="64"/>
    <col min="1027" max="1027" width="13.6640625" style="64" customWidth="1"/>
    <col min="1028" max="1029" width="9.1640625" style="64"/>
    <col min="1030" max="1030" width="6.83203125" style="64" customWidth="1"/>
    <col min="1031" max="1047" width="0" style="64" hidden="1" customWidth="1"/>
    <col min="1048" max="1071" width="9.1640625" style="64"/>
    <col min="1072" max="1072" width="2.33203125" style="64" customWidth="1"/>
    <col min="1073" max="1073" width="5.6640625" style="64" customWidth="1"/>
    <col min="1074" max="1280" width="9.1640625" style="64"/>
    <col min="1281" max="1281" width="74.33203125" style="64" customWidth="1"/>
    <col min="1282" max="1282" width="9.1640625" style="64"/>
    <col min="1283" max="1283" width="13.6640625" style="64" customWidth="1"/>
    <col min="1284" max="1285" width="9.1640625" style="64"/>
    <col min="1286" max="1286" width="6.83203125" style="64" customWidth="1"/>
    <col min="1287" max="1303" width="0" style="64" hidden="1" customWidth="1"/>
    <col min="1304" max="1327" width="9.1640625" style="64"/>
    <col min="1328" max="1328" width="2.33203125" style="64" customWidth="1"/>
    <col min="1329" max="1329" width="5.6640625" style="64" customWidth="1"/>
    <col min="1330" max="1536" width="9.1640625" style="64"/>
    <col min="1537" max="1537" width="74.33203125" style="64" customWidth="1"/>
    <col min="1538" max="1538" width="9.1640625" style="64"/>
    <col min="1539" max="1539" width="13.6640625" style="64" customWidth="1"/>
    <col min="1540" max="1541" width="9.1640625" style="64"/>
    <col min="1542" max="1542" width="6.83203125" style="64" customWidth="1"/>
    <col min="1543" max="1559" width="0" style="64" hidden="1" customWidth="1"/>
    <col min="1560" max="1583" width="9.1640625" style="64"/>
    <col min="1584" max="1584" width="2.33203125" style="64" customWidth="1"/>
    <col min="1585" max="1585" width="5.6640625" style="64" customWidth="1"/>
    <col min="1586" max="1792" width="9.1640625" style="64"/>
    <col min="1793" max="1793" width="74.33203125" style="64" customWidth="1"/>
    <col min="1794" max="1794" width="9.1640625" style="64"/>
    <col min="1795" max="1795" width="13.6640625" style="64" customWidth="1"/>
    <col min="1796" max="1797" width="9.1640625" style="64"/>
    <col min="1798" max="1798" width="6.83203125" style="64" customWidth="1"/>
    <col min="1799" max="1815" width="0" style="64" hidden="1" customWidth="1"/>
    <col min="1816" max="1839" width="9.1640625" style="64"/>
    <col min="1840" max="1840" width="2.33203125" style="64" customWidth="1"/>
    <col min="1841" max="1841" width="5.6640625" style="64" customWidth="1"/>
    <col min="1842" max="2048" width="9.1640625" style="64"/>
    <col min="2049" max="2049" width="74.33203125" style="64" customWidth="1"/>
    <col min="2050" max="2050" width="9.1640625" style="64"/>
    <col min="2051" max="2051" width="13.6640625" style="64" customWidth="1"/>
    <col min="2052" max="2053" width="9.1640625" style="64"/>
    <col min="2054" max="2054" width="6.83203125" style="64" customWidth="1"/>
    <col min="2055" max="2071" width="0" style="64" hidden="1" customWidth="1"/>
    <col min="2072" max="2095" width="9.1640625" style="64"/>
    <col min="2096" max="2096" width="2.33203125" style="64" customWidth="1"/>
    <col min="2097" max="2097" width="5.6640625" style="64" customWidth="1"/>
    <col min="2098" max="2304" width="9.1640625" style="64"/>
    <col min="2305" max="2305" width="74.33203125" style="64" customWidth="1"/>
    <col min="2306" max="2306" width="9.1640625" style="64"/>
    <col min="2307" max="2307" width="13.6640625" style="64" customWidth="1"/>
    <col min="2308" max="2309" width="9.1640625" style="64"/>
    <col min="2310" max="2310" width="6.83203125" style="64" customWidth="1"/>
    <col min="2311" max="2327" width="0" style="64" hidden="1" customWidth="1"/>
    <col min="2328" max="2351" width="9.1640625" style="64"/>
    <col min="2352" max="2352" width="2.33203125" style="64" customWidth="1"/>
    <col min="2353" max="2353" width="5.6640625" style="64" customWidth="1"/>
    <col min="2354" max="2560" width="9.1640625" style="64"/>
    <col min="2561" max="2561" width="74.33203125" style="64" customWidth="1"/>
    <col min="2562" max="2562" width="9.1640625" style="64"/>
    <col min="2563" max="2563" width="13.6640625" style="64" customWidth="1"/>
    <col min="2564" max="2565" width="9.1640625" style="64"/>
    <col min="2566" max="2566" width="6.83203125" style="64" customWidth="1"/>
    <col min="2567" max="2583" width="0" style="64" hidden="1" customWidth="1"/>
    <col min="2584" max="2607" width="9.1640625" style="64"/>
    <col min="2608" max="2608" width="2.33203125" style="64" customWidth="1"/>
    <col min="2609" max="2609" width="5.6640625" style="64" customWidth="1"/>
    <col min="2610" max="2816" width="9.1640625" style="64"/>
    <col min="2817" max="2817" width="74.33203125" style="64" customWidth="1"/>
    <col min="2818" max="2818" width="9.1640625" style="64"/>
    <col min="2819" max="2819" width="13.6640625" style="64" customWidth="1"/>
    <col min="2820" max="2821" width="9.1640625" style="64"/>
    <col min="2822" max="2822" width="6.83203125" style="64" customWidth="1"/>
    <col min="2823" max="2839" width="0" style="64" hidden="1" customWidth="1"/>
    <col min="2840" max="2863" width="9.1640625" style="64"/>
    <col min="2864" max="2864" width="2.33203125" style="64" customWidth="1"/>
    <col min="2865" max="2865" width="5.6640625" style="64" customWidth="1"/>
    <col min="2866" max="3072" width="9.1640625" style="64"/>
    <col min="3073" max="3073" width="74.33203125" style="64" customWidth="1"/>
    <col min="3074" max="3074" width="9.1640625" style="64"/>
    <col min="3075" max="3075" width="13.6640625" style="64" customWidth="1"/>
    <col min="3076" max="3077" width="9.1640625" style="64"/>
    <col min="3078" max="3078" width="6.83203125" style="64" customWidth="1"/>
    <col min="3079" max="3095" width="0" style="64" hidden="1" customWidth="1"/>
    <col min="3096" max="3119" width="9.1640625" style="64"/>
    <col min="3120" max="3120" width="2.33203125" style="64" customWidth="1"/>
    <col min="3121" max="3121" width="5.6640625" style="64" customWidth="1"/>
    <col min="3122" max="3328" width="9.1640625" style="64"/>
    <col min="3329" max="3329" width="74.33203125" style="64" customWidth="1"/>
    <col min="3330" max="3330" width="9.1640625" style="64"/>
    <col min="3331" max="3331" width="13.6640625" style="64" customWidth="1"/>
    <col min="3332" max="3333" width="9.1640625" style="64"/>
    <col min="3334" max="3334" width="6.83203125" style="64" customWidth="1"/>
    <col min="3335" max="3351" width="0" style="64" hidden="1" customWidth="1"/>
    <col min="3352" max="3375" width="9.1640625" style="64"/>
    <col min="3376" max="3376" width="2.33203125" style="64" customWidth="1"/>
    <col min="3377" max="3377" width="5.6640625" style="64" customWidth="1"/>
    <col min="3378" max="3584" width="9.1640625" style="64"/>
    <col min="3585" max="3585" width="74.33203125" style="64" customWidth="1"/>
    <col min="3586" max="3586" width="9.1640625" style="64"/>
    <col min="3587" max="3587" width="13.6640625" style="64" customWidth="1"/>
    <col min="3588" max="3589" width="9.1640625" style="64"/>
    <col min="3590" max="3590" width="6.83203125" style="64" customWidth="1"/>
    <col min="3591" max="3607" width="0" style="64" hidden="1" customWidth="1"/>
    <col min="3608" max="3631" width="9.1640625" style="64"/>
    <col min="3632" max="3632" width="2.33203125" style="64" customWidth="1"/>
    <col min="3633" max="3633" width="5.6640625" style="64" customWidth="1"/>
    <col min="3634" max="3840" width="9.1640625" style="64"/>
    <col min="3841" max="3841" width="74.33203125" style="64" customWidth="1"/>
    <col min="3842" max="3842" width="9.1640625" style="64"/>
    <col min="3843" max="3843" width="13.6640625" style="64" customWidth="1"/>
    <col min="3844" max="3845" width="9.1640625" style="64"/>
    <col min="3846" max="3846" width="6.83203125" style="64" customWidth="1"/>
    <col min="3847" max="3863" width="0" style="64" hidden="1" customWidth="1"/>
    <col min="3864" max="3887" width="9.1640625" style="64"/>
    <col min="3888" max="3888" width="2.33203125" style="64" customWidth="1"/>
    <col min="3889" max="3889" width="5.6640625" style="64" customWidth="1"/>
    <col min="3890" max="4096" width="9.1640625" style="64"/>
    <col min="4097" max="4097" width="74.33203125" style="64" customWidth="1"/>
    <col min="4098" max="4098" width="9.1640625" style="64"/>
    <col min="4099" max="4099" width="13.6640625" style="64" customWidth="1"/>
    <col min="4100" max="4101" width="9.1640625" style="64"/>
    <col min="4102" max="4102" width="6.83203125" style="64" customWidth="1"/>
    <col min="4103" max="4119" width="0" style="64" hidden="1" customWidth="1"/>
    <col min="4120" max="4143" width="9.1640625" style="64"/>
    <col min="4144" max="4144" width="2.33203125" style="64" customWidth="1"/>
    <col min="4145" max="4145" width="5.6640625" style="64" customWidth="1"/>
    <col min="4146" max="4352" width="9.1640625" style="64"/>
    <col min="4353" max="4353" width="74.33203125" style="64" customWidth="1"/>
    <col min="4354" max="4354" width="9.1640625" style="64"/>
    <col min="4355" max="4355" width="13.6640625" style="64" customWidth="1"/>
    <col min="4356" max="4357" width="9.1640625" style="64"/>
    <col min="4358" max="4358" width="6.83203125" style="64" customWidth="1"/>
    <col min="4359" max="4375" width="0" style="64" hidden="1" customWidth="1"/>
    <col min="4376" max="4399" width="9.1640625" style="64"/>
    <col min="4400" max="4400" width="2.33203125" style="64" customWidth="1"/>
    <col min="4401" max="4401" width="5.6640625" style="64" customWidth="1"/>
    <col min="4402" max="4608" width="9.1640625" style="64"/>
    <col min="4609" max="4609" width="74.33203125" style="64" customWidth="1"/>
    <col min="4610" max="4610" width="9.1640625" style="64"/>
    <col min="4611" max="4611" width="13.6640625" style="64" customWidth="1"/>
    <col min="4612" max="4613" width="9.1640625" style="64"/>
    <col min="4614" max="4614" width="6.83203125" style="64" customWidth="1"/>
    <col min="4615" max="4631" width="0" style="64" hidden="1" customWidth="1"/>
    <col min="4632" max="4655" width="9.1640625" style="64"/>
    <col min="4656" max="4656" width="2.33203125" style="64" customWidth="1"/>
    <col min="4657" max="4657" width="5.6640625" style="64" customWidth="1"/>
    <col min="4658" max="4864" width="9.1640625" style="64"/>
    <col min="4865" max="4865" width="74.33203125" style="64" customWidth="1"/>
    <col min="4866" max="4866" width="9.1640625" style="64"/>
    <col min="4867" max="4867" width="13.6640625" style="64" customWidth="1"/>
    <col min="4868" max="4869" width="9.1640625" style="64"/>
    <col min="4870" max="4870" width="6.83203125" style="64" customWidth="1"/>
    <col min="4871" max="4887" width="0" style="64" hidden="1" customWidth="1"/>
    <col min="4888" max="4911" width="9.1640625" style="64"/>
    <col min="4912" max="4912" width="2.33203125" style="64" customWidth="1"/>
    <col min="4913" max="4913" width="5.6640625" style="64" customWidth="1"/>
    <col min="4914" max="5120" width="9.1640625" style="64"/>
    <col min="5121" max="5121" width="74.33203125" style="64" customWidth="1"/>
    <col min="5122" max="5122" width="9.1640625" style="64"/>
    <col min="5123" max="5123" width="13.6640625" style="64" customWidth="1"/>
    <col min="5124" max="5125" width="9.1640625" style="64"/>
    <col min="5126" max="5126" width="6.83203125" style="64" customWidth="1"/>
    <col min="5127" max="5143" width="0" style="64" hidden="1" customWidth="1"/>
    <col min="5144" max="5167" width="9.1640625" style="64"/>
    <col min="5168" max="5168" width="2.33203125" style="64" customWidth="1"/>
    <col min="5169" max="5169" width="5.6640625" style="64" customWidth="1"/>
    <col min="5170" max="5376" width="9.1640625" style="64"/>
    <col min="5377" max="5377" width="74.33203125" style="64" customWidth="1"/>
    <col min="5378" max="5378" width="9.1640625" style="64"/>
    <col min="5379" max="5379" width="13.6640625" style="64" customWidth="1"/>
    <col min="5380" max="5381" width="9.1640625" style="64"/>
    <col min="5382" max="5382" width="6.83203125" style="64" customWidth="1"/>
    <col min="5383" max="5399" width="0" style="64" hidden="1" customWidth="1"/>
    <col min="5400" max="5423" width="9.1640625" style="64"/>
    <col min="5424" max="5424" width="2.33203125" style="64" customWidth="1"/>
    <col min="5425" max="5425" width="5.6640625" style="64" customWidth="1"/>
    <col min="5426" max="5632" width="9.1640625" style="64"/>
    <col min="5633" max="5633" width="74.33203125" style="64" customWidth="1"/>
    <col min="5634" max="5634" width="9.1640625" style="64"/>
    <col min="5635" max="5635" width="13.6640625" style="64" customWidth="1"/>
    <col min="5636" max="5637" width="9.1640625" style="64"/>
    <col min="5638" max="5638" width="6.83203125" style="64" customWidth="1"/>
    <col min="5639" max="5655" width="0" style="64" hidden="1" customWidth="1"/>
    <col min="5656" max="5679" width="9.1640625" style="64"/>
    <col min="5680" max="5680" width="2.33203125" style="64" customWidth="1"/>
    <col min="5681" max="5681" width="5.6640625" style="64" customWidth="1"/>
    <col min="5682" max="5888" width="9.1640625" style="64"/>
    <col min="5889" max="5889" width="74.33203125" style="64" customWidth="1"/>
    <col min="5890" max="5890" width="9.1640625" style="64"/>
    <col min="5891" max="5891" width="13.6640625" style="64" customWidth="1"/>
    <col min="5892" max="5893" width="9.1640625" style="64"/>
    <col min="5894" max="5894" width="6.83203125" style="64" customWidth="1"/>
    <col min="5895" max="5911" width="0" style="64" hidden="1" customWidth="1"/>
    <col min="5912" max="5935" width="9.1640625" style="64"/>
    <col min="5936" max="5936" width="2.33203125" style="64" customWidth="1"/>
    <col min="5937" max="5937" width="5.6640625" style="64" customWidth="1"/>
    <col min="5938" max="6144" width="9.1640625" style="64"/>
    <col min="6145" max="6145" width="74.33203125" style="64" customWidth="1"/>
    <col min="6146" max="6146" width="9.1640625" style="64"/>
    <col min="6147" max="6147" width="13.6640625" style="64" customWidth="1"/>
    <col min="6148" max="6149" width="9.1640625" style="64"/>
    <col min="6150" max="6150" width="6.83203125" style="64" customWidth="1"/>
    <col min="6151" max="6167" width="0" style="64" hidden="1" customWidth="1"/>
    <col min="6168" max="6191" width="9.1640625" style="64"/>
    <col min="6192" max="6192" width="2.33203125" style="64" customWidth="1"/>
    <col min="6193" max="6193" width="5.6640625" style="64" customWidth="1"/>
    <col min="6194" max="6400" width="9.1640625" style="64"/>
    <col min="6401" max="6401" width="74.33203125" style="64" customWidth="1"/>
    <col min="6402" max="6402" width="9.1640625" style="64"/>
    <col min="6403" max="6403" width="13.6640625" style="64" customWidth="1"/>
    <col min="6404" max="6405" width="9.1640625" style="64"/>
    <col min="6406" max="6406" width="6.83203125" style="64" customWidth="1"/>
    <col min="6407" max="6423" width="0" style="64" hidden="1" customWidth="1"/>
    <col min="6424" max="6447" width="9.1640625" style="64"/>
    <col min="6448" max="6448" width="2.33203125" style="64" customWidth="1"/>
    <col min="6449" max="6449" width="5.6640625" style="64" customWidth="1"/>
    <col min="6450" max="6656" width="9.1640625" style="64"/>
    <col min="6657" max="6657" width="74.33203125" style="64" customWidth="1"/>
    <col min="6658" max="6658" width="9.1640625" style="64"/>
    <col min="6659" max="6659" width="13.6640625" style="64" customWidth="1"/>
    <col min="6660" max="6661" width="9.1640625" style="64"/>
    <col min="6662" max="6662" width="6.83203125" style="64" customWidth="1"/>
    <col min="6663" max="6679" width="0" style="64" hidden="1" customWidth="1"/>
    <col min="6680" max="6703" width="9.1640625" style="64"/>
    <col min="6704" max="6704" width="2.33203125" style="64" customWidth="1"/>
    <col min="6705" max="6705" width="5.6640625" style="64" customWidth="1"/>
    <col min="6706" max="6912" width="9.1640625" style="64"/>
    <col min="6913" max="6913" width="74.33203125" style="64" customWidth="1"/>
    <col min="6914" max="6914" width="9.1640625" style="64"/>
    <col min="6915" max="6915" width="13.6640625" style="64" customWidth="1"/>
    <col min="6916" max="6917" width="9.1640625" style="64"/>
    <col min="6918" max="6918" width="6.83203125" style="64" customWidth="1"/>
    <col min="6919" max="6935" width="0" style="64" hidden="1" customWidth="1"/>
    <col min="6936" max="6959" width="9.1640625" style="64"/>
    <col min="6960" max="6960" width="2.33203125" style="64" customWidth="1"/>
    <col min="6961" max="6961" width="5.6640625" style="64" customWidth="1"/>
    <col min="6962" max="7168" width="9.1640625" style="64"/>
    <col min="7169" max="7169" width="74.33203125" style="64" customWidth="1"/>
    <col min="7170" max="7170" width="9.1640625" style="64"/>
    <col min="7171" max="7171" width="13.6640625" style="64" customWidth="1"/>
    <col min="7172" max="7173" width="9.1640625" style="64"/>
    <col min="7174" max="7174" width="6.83203125" style="64" customWidth="1"/>
    <col min="7175" max="7191" width="0" style="64" hidden="1" customWidth="1"/>
    <col min="7192" max="7215" width="9.1640625" style="64"/>
    <col min="7216" max="7216" width="2.33203125" style="64" customWidth="1"/>
    <col min="7217" max="7217" width="5.6640625" style="64" customWidth="1"/>
    <col min="7218" max="7424" width="9.1640625" style="64"/>
    <col min="7425" max="7425" width="74.33203125" style="64" customWidth="1"/>
    <col min="7426" max="7426" width="9.1640625" style="64"/>
    <col min="7427" max="7427" width="13.6640625" style="64" customWidth="1"/>
    <col min="7428" max="7429" width="9.1640625" style="64"/>
    <col min="7430" max="7430" width="6.83203125" style="64" customWidth="1"/>
    <col min="7431" max="7447" width="0" style="64" hidden="1" customWidth="1"/>
    <col min="7448" max="7471" width="9.1640625" style="64"/>
    <col min="7472" max="7472" width="2.33203125" style="64" customWidth="1"/>
    <col min="7473" max="7473" width="5.6640625" style="64" customWidth="1"/>
    <col min="7474" max="7680" width="9.1640625" style="64"/>
    <col min="7681" max="7681" width="74.33203125" style="64" customWidth="1"/>
    <col min="7682" max="7682" width="9.1640625" style="64"/>
    <col min="7683" max="7683" width="13.6640625" style="64" customWidth="1"/>
    <col min="7684" max="7685" width="9.1640625" style="64"/>
    <col min="7686" max="7686" width="6.83203125" style="64" customWidth="1"/>
    <col min="7687" max="7703" width="0" style="64" hidden="1" customWidth="1"/>
    <col min="7704" max="7727" width="9.1640625" style="64"/>
    <col min="7728" max="7728" width="2.33203125" style="64" customWidth="1"/>
    <col min="7729" max="7729" width="5.6640625" style="64" customWidth="1"/>
    <col min="7730" max="7936" width="9.1640625" style="64"/>
    <col min="7937" max="7937" width="74.33203125" style="64" customWidth="1"/>
    <col min="7938" max="7938" width="9.1640625" style="64"/>
    <col min="7939" max="7939" width="13.6640625" style="64" customWidth="1"/>
    <col min="7940" max="7941" width="9.1640625" style="64"/>
    <col min="7942" max="7942" width="6.83203125" style="64" customWidth="1"/>
    <col min="7943" max="7959" width="0" style="64" hidden="1" customWidth="1"/>
    <col min="7960" max="7983" width="9.1640625" style="64"/>
    <col min="7984" max="7984" width="2.33203125" style="64" customWidth="1"/>
    <col min="7985" max="7985" width="5.6640625" style="64" customWidth="1"/>
    <col min="7986" max="8192" width="9.1640625" style="64"/>
    <col min="8193" max="8193" width="74.33203125" style="64" customWidth="1"/>
    <col min="8194" max="8194" width="9.1640625" style="64"/>
    <col min="8195" max="8195" width="13.6640625" style="64" customWidth="1"/>
    <col min="8196" max="8197" width="9.1640625" style="64"/>
    <col min="8198" max="8198" width="6.83203125" style="64" customWidth="1"/>
    <col min="8199" max="8215" width="0" style="64" hidden="1" customWidth="1"/>
    <col min="8216" max="8239" width="9.1640625" style="64"/>
    <col min="8240" max="8240" width="2.33203125" style="64" customWidth="1"/>
    <col min="8241" max="8241" width="5.6640625" style="64" customWidth="1"/>
    <col min="8242" max="8448" width="9.1640625" style="64"/>
    <col min="8449" max="8449" width="74.33203125" style="64" customWidth="1"/>
    <col min="8450" max="8450" width="9.1640625" style="64"/>
    <col min="8451" max="8451" width="13.6640625" style="64" customWidth="1"/>
    <col min="8452" max="8453" width="9.1640625" style="64"/>
    <col min="8454" max="8454" width="6.83203125" style="64" customWidth="1"/>
    <col min="8455" max="8471" width="0" style="64" hidden="1" customWidth="1"/>
    <col min="8472" max="8495" width="9.1640625" style="64"/>
    <col min="8496" max="8496" width="2.33203125" style="64" customWidth="1"/>
    <col min="8497" max="8497" width="5.6640625" style="64" customWidth="1"/>
    <col min="8498" max="8704" width="9.1640625" style="64"/>
    <col min="8705" max="8705" width="74.33203125" style="64" customWidth="1"/>
    <col min="8706" max="8706" width="9.1640625" style="64"/>
    <col min="8707" max="8707" width="13.6640625" style="64" customWidth="1"/>
    <col min="8708" max="8709" width="9.1640625" style="64"/>
    <col min="8710" max="8710" width="6.83203125" style="64" customWidth="1"/>
    <col min="8711" max="8727" width="0" style="64" hidden="1" customWidth="1"/>
    <col min="8728" max="8751" width="9.1640625" style="64"/>
    <col min="8752" max="8752" width="2.33203125" style="64" customWidth="1"/>
    <col min="8753" max="8753" width="5.6640625" style="64" customWidth="1"/>
    <col min="8754" max="8960" width="9.1640625" style="64"/>
    <col min="8961" max="8961" width="74.33203125" style="64" customWidth="1"/>
    <col min="8962" max="8962" width="9.1640625" style="64"/>
    <col min="8963" max="8963" width="13.6640625" style="64" customWidth="1"/>
    <col min="8964" max="8965" width="9.1640625" style="64"/>
    <col min="8966" max="8966" width="6.83203125" style="64" customWidth="1"/>
    <col min="8967" max="8983" width="0" style="64" hidden="1" customWidth="1"/>
    <col min="8984" max="9007" width="9.1640625" style="64"/>
    <col min="9008" max="9008" width="2.33203125" style="64" customWidth="1"/>
    <col min="9009" max="9009" width="5.6640625" style="64" customWidth="1"/>
    <col min="9010" max="9216" width="9.1640625" style="64"/>
    <col min="9217" max="9217" width="74.33203125" style="64" customWidth="1"/>
    <col min="9218" max="9218" width="9.1640625" style="64"/>
    <col min="9219" max="9219" width="13.6640625" style="64" customWidth="1"/>
    <col min="9220" max="9221" width="9.1640625" style="64"/>
    <col min="9222" max="9222" width="6.83203125" style="64" customWidth="1"/>
    <col min="9223" max="9239" width="0" style="64" hidden="1" customWidth="1"/>
    <col min="9240" max="9263" width="9.1640625" style="64"/>
    <col min="9264" max="9264" width="2.33203125" style="64" customWidth="1"/>
    <col min="9265" max="9265" width="5.6640625" style="64" customWidth="1"/>
    <col min="9266" max="9472" width="9.1640625" style="64"/>
    <col min="9473" max="9473" width="74.33203125" style="64" customWidth="1"/>
    <col min="9474" max="9474" width="9.1640625" style="64"/>
    <col min="9475" max="9475" width="13.6640625" style="64" customWidth="1"/>
    <col min="9476" max="9477" width="9.1640625" style="64"/>
    <col min="9478" max="9478" width="6.83203125" style="64" customWidth="1"/>
    <col min="9479" max="9495" width="0" style="64" hidden="1" customWidth="1"/>
    <col min="9496" max="9519" width="9.1640625" style="64"/>
    <col min="9520" max="9520" width="2.33203125" style="64" customWidth="1"/>
    <col min="9521" max="9521" width="5.6640625" style="64" customWidth="1"/>
    <col min="9522" max="9728" width="9.1640625" style="64"/>
    <col min="9729" max="9729" width="74.33203125" style="64" customWidth="1"/>
    <col min="9730" max="9730" width="9.1640625" style="64"/>
    <col min="9731" max="9731" width="13.6640625" style="64" customWidth="1"/>
    <col min="9732" max="9733" width="9.1640625" style="64"/>
    <col min="9734" max="9734" width="6.83203125" style="64" customWidth="1"/>
    <col min="9735" max="9751" width="0" style="64" hidden="1" customWidth="1"/>
    <col min="9752" max="9775" width="9.1640625" style="64"/>
    <col min="9776" max="9776" width="2.33203125" style="64" customWidth="1"/>
    <col min="9777" max="9777" width="5.6640625" style="64" customWidth="1"/>
    <col min="9778" max="9984" width="9.1640625" style="64"/>
    <col min="9985" max="9985" width="74.33203125" style="64" customWidth="1"/>
    <col min="9986" max="9986" width="9.1640625" style="64"/>
    <col min="9987" max="9987" width="13.6640625" style="64" customWidth="1"/>
    <col min="9988" max="9989" width="9.1640625" style="64"/>
    <col min="9990" max="9990" width="6.83203125" style="64" customWidth="1"/>
    <col min="9991" max="10007" width="0" style="64" hidden="1" customWidth="1"/>
    <col min="10008" max="10031" width="9.1640625" style="64"/>
    <col min="10032" max="10032" width="2.33203125" style="64" customWidth="1"/>
    <col min="10033" max="10033" width="5.6640625" style="64" customWidth="1"/>
    <col min="10034" max="10240" width="9.1640625" style="64"/>
    <col min="10241" max="10241" width="74.33203125" style="64" customWidth="1"/>
    <col min="10242" max="10242" width="9.1640625" style="64"/>
    <col min="10243" max="10243" width="13.6640625" style="64" customWidth="1"/>
    <col min="10244" max="10245" width="9.1640625" style="64"/>
    <col min="10246" max="10246" width="6.83203125" style="64" customWidth="1"/>
    <col min="10247" max="10263" width="0" style="64" hidden="1" customWidth="1"/>
    <col min="10264" max="10287" width="9.1640625" style="64"/>
    <col min="10288" max="10288" width="2.33203125" style="64" customWidth="1"/>
    <col min="10289" max="10289" width="5.6640625" style="64" customWidth="1"/>
    <col min="10290" max="10496" width="9.1640625" style="64"/>
    <col min="10497" max="10497" width="74.33203125" style="64" customWidth="1"/>
    <col min="10498" max="10498" width="9.1640625" style="64"/>
    <col min="10499" max="10499" width="13.6640625" style="64" customWidth="1"/>
    <col min="10500" max="10501" width="9.1640625" style="64"/>
    <col min="10502" max="10502" width="6.83203125" style="64" customWidth="1"/>
    <col min="10503" max="10519" width="0" style="64" hidden="1" customWidth="1"/>
    <col min="10520" max="10543" width="9.1640625" style="64"/>
    <col min="10544" max="10544" width="2.33203125" style="64" customWidth="1"/>
    <col min="10545" max="10545" width="5.6640625" style="64" customWidth="1"/>
    <col min="10546" max="10752" width="9.1640625" style="64"/>
    <col min="10753" max="10753" width="74.33203125" style="64" customWidth="1"/>
    <col min="10754" max="10754" width="9.1640625" style="64"/>
    <col min="10755" max="10755" width="13.6640625" style="64" customWidth="1"/>
    <col min="10756" max="10757" width="9.1640625" style="64"/>
    <col min="10758" max="10758" width="6.83203125" style="64" customWidth="1"/>
    <col min="10759" max="10775" width="0" style="64" hidden="1" customWidth="1"/>
    <col min="10776" max="10799" width="9.1640625" style="64"/>
    <col min="10800" max="10800" width="2.33203125" style="64" customWidth="1"/>
    <col min="10801" max="10801" width="5.6640625" style="64" customWidth="1"/>
    <col min="10802" max="11008" width="9.1640625" style="64"/>
    <col min="11009" max="11009" width="74.33203125" style="64" customWidth="1"/>
    <col min="11010" max="11010" width="9.1640625" style="64"/>
    <col min="11011" max="11011" width="13.6640625" style="64" customWidth="1"/>
    <col min="11012" max="11013" width="9.1640625" style="64"/>
    <col min="11014" max="11014" width="6.83203125" style="64" customWidth="1"/>
    <col min="11015" max="11031" width="0" style="64" hidden="1" customWidth="1"/>
    <col min="11032" max="11055" width="9.1640625" style="64"/>
    <col min="11056" max="11056" width="2.33203125" style="64" customWidth="1"/>
    <col min="11057" max="11057" width="5.6640625" style="64" customWidth="1"/>
    <col min="11058" max="11264" width="9.1640625" style="64"/>
    <col min="11265" max="11265" width="74.33203125" style="64" customWidth="1"/>
    <col min="11266" max="11266" width="9.1640625" style="64"/>
    <col min="11267" max="11267" width="13.6640625" style="64" customWidth="1"/>
    <col min="11268" max="11269" width="9.1640625" style="64"/>
    <col min="11270" max="11270" width="6.83203125" style="64" customWidth="1"/>
    <col min="11271" max="11287" width="0" style="64" hidden="1" customWidth="1"/>
    <col min="11288" max="11311" width="9.1640625" style="64"/>
    <col min="11312" max="11312" width="2.33203125" style="64" customWidth="1"/>
    <col min="11313" max="11313" width="5.6640625" style="64" customWidth="1"/>
    <col min="11314" max="11520" width="9.1640625" style="64"/>
    <col min="11521" max="11521" width="74.33203125" style="64" customWidth="1"/>
    <col min="11522" max="11522" width="9.1640625" style="64"/>
    <col min="11523" max="11523" width="13.6640625" style="64" customWidth="1"/>
    <col min="11524" max="11525" width="9.1640625" style="64"/>
    <col min="11526" max="11526" width="6.83203125" style="64" customWidth="1"/>
    <col min="11527" max="11543" width="0" style="64" hidden="1" customWidth="1"/>
    <col min="11544" max="11567" width="9.1640625" style="64"/>
    <col min="11568" max="11568" width="2.33203125" style="64" customWidth="1"/>
    <col min="11569" max="11569" width="5.6640625" style="64" customWidth="1"/>
    <col min="11570" max="11776" width="9.1640625" style="64"/>
    <col min="11777" max="11777" width="74.33203125" style="64" customWidth="1"/>
    <col min="11778" max="11778" width="9.1640625" style="64"/>
    <col min="11779" max="11779" width="13.6640625" style="64" customWidth="1"/>
    <col min="11780" max="11781" width="9.1640625" style="64"/>
    <col min="11782" max="11782" width="6.83203125" style="64" customWidth="1"/>
    <col min="11783" max="11799" width="0" style="64" hidden="1" customWidth="1"/>
    <col min="11800" max="11823" width="9.1640625" style="64"/>
    <col min="11824" max="11824" width="2.33203125" style="64" customWidth="1"/>
    <col min="11825" max="11825" width="5.6640625" style="64" customWidth="1"/>
    <col min="11826" max="12032" width="9.1640625" style="64"/>
    <col min="12033" max="12033" width="74.33203125" style="64" customWidth="1"/>
    <col min="12034" max="12034" width="9.1640625" style="64"/>
    <col min="12035" max="12035" width="13.6640625" style="64" customWidth="1"/>
    <col min="12036" max="12037" width="9.1640625" style="64"/>
    <col min="12038" max="12038" width="6.83203125" style="64" customWidth="1"/>
    <col min="12039" max="12055" width="0" style="64" hidden="1" customWidth="1"/>
    <col min="12056" max="12079" width="9.1640625" style="64"/>
    <col min="12080" max="12080" width="2.33203125" style="64" customWidth="1"/>
    <col min="12081" max="12081" width="5.6640625" style="64" customWidth="1"/>
    <col min="12082" max="12288" width="9.1640625" style="64"/>
    <col min="12289" max="12289" width="74.33203125" style="64" customWidth="1"/>
    <col min="12290" max="12290" width="9.1640625" style="64"/>
    <col min="12291" max="12291" width="13.6640625" style="64" customWidth="1"/>
    <col min="12292" max="12293" width="9.1640625" style="64"/>
    <col min="12294" max="12294" width="6.83203125" style="64" customWidth="1"/>
    <col min="12295" max="12311" width="0" style="64" hidden="1" customWidth="1"/>
    <col min="12312" max="12335" width="9.1640625" style="64"/>
    <col min="12336" max="12336" width="2.33203125" style="64" customWidth="1"/>
    <col min="12337" max="12337" width="5.6640625" style="64" customWidth="1"/>
    <col min="12338" max="12544" width="9.1640625" style="64"/>
    <col min="12545" max="12545" width="74.33203125" style="64" customWidth="1"/>
    <col min="12546" max="12546" width="9.1640625" style="64"/>
    <col min="12547" max="12547" width="13.6640625" style="64" customWidth="1"/>
    <col min="12548" max="12549" width="9.1640625" style="64"/>
    <col min="12550" max="12550" width="6.83203125" style="64" customWidth="1"/>
    <col min="12551" max="12567" width="0" style="64" hidden="1" customWidth="1"/>
    <col min="12568" max="12591" width="9.1640625" style="64"/>
    <col min="12592" max="12592" width="2.33203125" style="64" customWidth="1"/>
    <col min="12593" max="12593" width="5.6640625" style="64" customWidth="1"/>
    <col min="12594" max="12800" width="9.1640625" style="64"/>
    <col min="12801" max="12801" width="74.33203125" style="64" customWidth="1"/>
    <col min="12802" max="12802" width="9.1640625" style="64"/>
    <col min="12803" max="12803" width="13.6640625" style="64" customWidth="1"/>
    <col min="12804" max="12805" width="9.1640625" style="64"/>
    <col min="12806" max="12806" width="6.83203125" style="64" customWidth="1"/>
    <col min="12807" max="12823" width="0" style="64" hidden="1" customWidth="1"/>
    <col min="12824" max="12847" width="9.1640625" style="64"/>
    <col min="12848" max="12848" width="2.33203125" style="64" customWidth="1"/>
    <col min="12849" max="12849" width="5.6640625" style="64" customWidth="1"/>
    <col min="12850" max="13056" width="9.1640625" style="64"/>
    <col min="13057" max="13057" width="74.33203125" style="64" customWidth="1"/>
    <col min="13058" max="13058" width="9.1640625" style="64"/>
    <col min="13059" max="13059" width="13.6640625" style="64" customWidth="1"/>
    <col min="13060" max="13061" width="9.1640625" style="64"/>
    <col min="13062" max="13062" width="6.83203125" style="64" customWidth="1"/>
    <col min="13063" max="13079" width="0" style="64" hidden="1" customWidth="1"/>
    <col min="13080" max="13103" width="9.1640625" style="64"/>
    <col min="13104" max="13104" width="2.33203125" style="64" customWidth="1"/>
    <col min="13105" max="13105" width="5.6640625" style="64" customWidth="1"/>
    <col min="13106" max="13312" width="9.1640625" style="64"/>
    <col min="13313" max="13313" width="74.33203125" style="64" customWidth="1"/>
    <col min="13314" max="13314" width="9.1640625" style="64"/>
    <col min="13315" max="13315" width="13.6640625" style="64" customWidth="1"/>
    <col min="13316" max="13317" width="9.1640625" style="64"/>
    <col min="13318" max="13318" width="6.83203125" style="64" customWidth="1"/>
    <col min="13319" max="13335" width="0" style="64" hidden="1" customWidth="1"/>
    <col min="13336" max="13359" width="9.1640625" style="64"/>
    <col min="13360" max="13360" width="2.33203125" style="64" customWidth="1"/>
    <col min="13361" max="13361" width="5.6640625" style="64" customWidth="1"/>
    <col min="13362" max="13568" width="9.1640625" style="64"/>
    <col min="13569" max="13569" width="74.33203125" style="64" customWidth="1"/>
    <col min="13570" max="13570" width="9.1640625" style="64"/>
    <col min="13571" max="13571" width="13.6640625" style="64" customWidth="1"/>
    <col min="13572" max="13573" width="9.1640625" style="64"/>
    <col min="13574" max="13574" width="6.83203125" style="64" customWidth="1"/>
    <col min="13575" max="13591" width="0" style="64" hidden="1" customWidth="1"/>
    <col min="13592" max="13615" width="9.1640625" style="64"/>
    <col min="13616" max="13616" width="2.33203125" style="64" customWidth="1"/>
    <col min="13617" max="13617" width="5.6640625" style="64" customWidth="1"/>
    <col min="13618" max="13824" width="9.1640625" style="64"/>
    <col min="13825" max="13825" width="74.33203125" style="64" customWidth="1"/>
    <col min="13826" max="13826" width="9.1640625" style="64"/>
    <col min="13827" max="13827" width="13.6640625" style="64" customWidth="1"/>
    <col min="13828" max="13829" width="9.1640625" style="64"/>
    <col min="13830" max="13830" width="6.83203125" style="64" customWidth="1"/>
    <col min="13831" max="13847" width="0" style="64" hidden="1" customWidth="1"/>
    <col min="13848" max="13871" width="9.1640625" style="64"/>
    <col min="13872" max="13872" width="2.33203125" style="64" customWidth="1"/>
    <col min="13873" max="13873" width="5.6640625" style="64" customWidth="1"/>
    <col min="13874" max="14080" width="9.1640625" style="64"/>
    <col min="14081" max="14081" width="74.33203125" style="64" customWidth="1"/>
    <col min="14082" max="14082" width="9.1640625" style="64"/>
    <col min="14083" max="14083" width="13.6640625" style="64" customWidth="1"/>
    <col min="14084" max="14085" width="9.1640625" style="64"/>
    <col min="14086" max="14086" width="6.83203125" style="64" customWidth="1"/>
    <col min="14087" max="14103" width="0" style="64" hidden="1" customWidth="1"/>
    <col min="14104" max="14127" width="9.1640625" style="64"/>
    <col min="14128" max="14128" width="2.33203125" style="64" customWidth="1"/>
    <col min="14129" max="14129" width="5.6640625" style="64" customWidth="1"/>
    <col min="14130" max="14336" width="9.1640625" style="64"/>
    <col min="14337" max="14337" width="74.33203125" style="64" customWidth="1"/>
    <col min="14338" max="14338" width="9.1640625" style="64"/>
    <col min="14339" max="14339" width="13.6640625" style="64" customWidth="1"/>
    <col min="14340" max="14341" width="9.1640625" style="64"/>
    <col min="14342" max="14342" width="6.83203125" style="64" customWidth="1"/>
    <col min="14343" max="14359" width="0" style="64" hidden="1" customWidth="1"/>
    <col min="14360" max="14383" width="9.1640625" style="64"/>
    <col min="14384" max="14384" width="2.33203125" style="64" customWidth="1"/>
    <col min="14385" max="14385" width="5.6640625" style="64" customWidth="1"/>
    <col min="14386" max="14592" width="9.1640625" style="64"/>
    <col min="14593" max="14593" width="74.33203125" style="64" customWidth="1"/>
    <col min="14594" max="14594" width="9.1640625" style="64"/>
    <col min="14595" max="14595" width="13.6640625" style="64" customWidth="1"/>
    <col min="14596" max="14597" width="9.1640625" style="64"/>
    <col min="14598" max="14598" width="6.83203125" style="64" customWidth="1"/>
    <col min="14599" max="14615" width="0" style="64" hidden="1" customWidth="1"/>
    <col min="14616" max="14639" width="9.1640625" style="64"/>
    <col min="14640" max="14640" width="2.33203125" style="64" customWidth="1"/>
    <col min="14641" max="14641" width="5.6640625" style="64" customWidth="1"/>
    <col min="14642" max="14848" width="9.1640625" style="64"/>
    <col min="14849" max="14849" width="74.33203125" style="64" customWidth="1"/>
    <col min="14850" max="14850" width="9.1640625" style="64"/>
    <col min="14851" max="14851" width="13.6640625" style="64" customWidth="1"/>
    <col min="14852" max="14853" width="9.1640625" style="64"/>
    <col min="14854" max="14854" width="6.83203125" style="64" customWidth="1"/>
    <col min="14855" max="14871" width="0" style="64" hidden="1" customWidth="1"/>
    <col min="14872" max="14895" width="9.1640625" style="64"/>
    <col min="14896" max="14896" width="2.33203125" style="64" customWidth="1"/>
    <col min="14897" max="14897" width="5.6640625" style="64" customWidth="1"/>
    <col min="14898" max="15104" width="9.1640625" style="64"/>
    <col min="15105" max="15105" width="74.33203125" style="64" customWidth="1"/>
    <col min="15106" max="15106" width="9.1640625" style="64"/>
    <col min="15107" max="15107" width="13.6640625" style="64" customWidth="1"/>
    <col min="15108" max="15109" width="9.1640625" style="64"/>
    <col min="15110" max="15110" width="6.83203125" style="64" customWidth="1"/>
    <col min="15111" max="15127" width="0" style="64" hidden="1" customWidth="1"/>
    <col min="15128" max="15151" width="9.1640625" style="64"/>
    <col min="15152" max="15152" width="2.33203125" style="64" customWidth="1"/>
    <col min="15153" max="15153" width="5.6640625" style="64" customWidth="1"/>
    <col min="15154" max="15360" width="9.1640625" style="64"/>
    <col min="15361" max="15361" width="74.33203125" style="64" customWidth="1"/>
    <col min="15362" max="15362" width="9.1640625" style="64"/>
    <col min="15363" max="15363" width="13.6640625" style="64" customWidth="1"/>
    <col min="15364" max="15365" width="9.1640625" style="64"/>
    <col min="15366" max="15366" width="6.83203125" style="64" customWidth="1"/>
    <col min="15367" max="15383" width="0" style="64" hidden="1" customWidth="1"/>
    <col min="15384" max="15407" width="9.1640625" style="64"/>
    <col min="15408" max="15408" width="2.33203125" style="64" customWidth="1"/>
    <col min="15409" max="15409" width="5.6640625" style="64" customWidth="1"/>
    <col min="15410" max="15616" width="9.1640625" style="64"/>
    <col min="15617" max="15617" width="74.33203125" style="64" customWidth="1"/>
    <col min="15618" max="15618" width="9.1640625" style="64"/>
    <col min="15619" max="15619" width="13.6640625" style="64" customWidth="1"/>
    <col min="15620" max="15621" width="9.1640625" style="64"/>
    <col min="15622" max="15622" width="6.83203125" style="64" customWidth="1"/>
    <col min="15623" max="15639" width="0" style="64" hidden="1" customWidth="1"/>
    <col min="15640" max="15663" width="9.1640625" style="64"/>
    <col min="15664" max="15664" width="2.33203125" style="64" customWidth="1"/>
    <col min="15665" max="15665" width="5.6640625" style="64" customWidth="1"/>
    <col min="15666" max="15872" width="9.1640625" style="64"/>
    <col min="15873" max="15873" width="74.33203125" style="64" customWidth="1"/>
    <col min="15874" max="15874" width="9.1640625" style="64"/>
    <col min="15875" max="15875" width="13.6640625" style="64" customWidth="1"/>
    <col min="15876" max="15877" width="9.1640625" style="64"/>
    <col min="15878" max="15878" width="6.83203125" style="64" customWidth="1"/>
    <col min="15879" max="15895" width="0" style="64" hidden="1" customWidth="1"/>
    <col min="15896" max="15919" width="9.1640625" style="64"/>
    <col min="15920" max="15920" width="2.33203125" style="64" customWidth="1"/>
    <col min="15921" max="15921" width="5.6640625" style="64" customWidth="1"/>
    <col min="15922" max="16128" width="9.1640625" style="64"/>
    <col min="16129" max="16129" width="74.33203125" style="64" customWidth="1"/>
    <col min="16130" max="16130" width="9.1640625" style="64"/>
    <col min="16131" max="16131" width="13.6640625" style="64" customWidth="1"/>
    <col min="16132" max="16133" width="9.1640625" style="64"/>
    <col min="16134" max="16134" width="6.83203125" style="64" customWidth="1"/>
    <col min="16135" max="16151" width="0" style="64" hidden="1" customWidth="1"/>
    <col min="16152" max="16175" width="9.1640625" style="64"/>
    <col min="16176" max="16176" width="2.33203125" style="64" customWidth="1"/>
    <col min="16177" max="16177" width="5.6640625" style="64" customWidth="1"/>
    <col min="16178" max="16384" width="9.1640625" style="64"/>
  </cols>
  <sheetData>
    <row r="1" spans="1:54" ht="12.75" customHeight="1" x14ac:dyDescent="0.15">
      <c r="A1" s="64" t="s">
        <v>1168</v>
      </c>
    </row>
    <row r="2" spans="1:54" ht="20.25" customHeight="1" x14ac:dyDescent="0.15">
      <c r="A2" s="65" t="s">
        <v>820</v>
      </c>
      <c r="B2" s="65" t="s">
        <v>2786</v>
      </c>
      <c r="C2" s="65" t="s">
        <v>1942</v>
      </c>
      <c r="D2" s="65" t="s">
        <v>1175</v>
      </c>
      <c r="E2" s="65" t="s">
        <v>171</v>
      </c>
      <c r="F2" s="65" t="s">
        <v>716</v>
      </c>
    </row>
    <row r="3" spans="1:54" ht="12.75" customHeight="1" x14ac:dyDescent="0.15">
      <c r="A3" s="139"/>
      <c r="B3" s="139"/>
      <c r="C3" s="139"/>
      <c r="D3" s="139"/>
      <c r="E3" s="139"/>
      <c r="F3" s="139"/>
      <c r="AA3" s="425" t="s">
        <v>664</v>
      </c>
      <c r="AB3" s="425"/>
      <c r="AC3" s="425"/>
      <c r="AD3" s="425"/>
      <c r="AE3" s="425"/>
      <c r="AF3" s="425"/>
      <c r="AG3" s="425"/>
    </row>
    <row r="4" spans="1:54" ht="12.75" customHeight="1" thickBot="1" x14ac:dyDescent="0.2">
      <c r="A4" s="74" t="s">
        <v>3026</v>
      </c>
      <c r="B4" s="75">
        <f>$B33</f>
        <v>4950</v>
      </c>
      <c r="C4" s="75">
        <f>$C33</f>
        <v>292</v>
      </c>
      <c r="D4" s="75">
        <f>$D33</f>
        <v>4277</v>
      </c>
      <c r="E4" s="75">
        <f>$E33</f>
        <v>381</v>
      </c>
      <c r="F4" s="74" t="s">
        <v>2859</v>
      </c>
      <c r="G4" s="64" t="s">
        <v>2859</v>
      </c>
      <c r="H4" s="64" t="s">
        <v>2992</v>
      </c>
      <c r="K4" s="64">
        <v>1</v>
      </c>
      <c r="Y4" s="68" t="b">
        <f>EXACT($Z4,$B33)</f>
        <v>0</v>
      </c>
      <c r="Z4" s="76">
        <v>4933</v>
      </c>
      <c r="AA4" s="425" t="s">
        <v>1504</v>
      </c>
      <c r="AB4" s="425"/>
      <c r="AC4" s="425"/>
      <c r="AD4" s="425"/>
      <c r="AE4" s="425"/>
      <c r="AF4" s="425"/>
      <c r="AG4" s="425"/>
    </row>
    <row r="5" spans="1:54" ht="12.75" customHeight="1" x14ac:dyDescent="0.15">
      <c r="A5" s="140"/>
      <c r="B5" s="74"/>
      <c r="C5" s="74"/>
      <c r="D5" s="74"/>
      <c r="E5" s="74"/>
      <c r="F5" s="74"/>
    </row>
    <row r="6" spans="1:54" ht="12.75" customHeight="1" x14ac:dyDescent="0.15">
      <c r="A6" s="74" t="s">
        <v>2859</v>
      </c>
      <c r="B6" s="74"/>
      <c r="C6" s="74"/>
      <c r="D6" s="74"/>
      <c r="E6" s="74"/>
      <c r="F6" s="74"/>
      <c r="G6" s="64" t="s">
        <v>2859</v>
      </c>
      <c r="I6" s="64" t="s">
        <v>1745</v>
      </c>
      <c r="J6" s="64" t="s">
        <v>2859</v>
      </c>
      <c r="K6" s="64" t="s">
        <v>2417</v>
      </c>
    </row>
    <row r="7" spans="1:54" ht="12.75" customHeight="1" x14ac:dyDescent="0.15">
      <c r="A7" s="74" t="s">
        <v>2859</v>
      </c>
      <c r="B7" s="75"/>
      <c r="C7" s="75"/>
      <c r="D7" s="75"/>
      <c r="E7" s="75"/>
      <c r="F7" s="75"/>
      <c r="K7" s="74" t="s">
        <v>2859</v>
      </c>
    </row>
    <row r="8" spans="1:54" ht="12.75" customHeight="1" x14ac:dyDescent="0.15">
      <c r="A8" s="74" t="s">
        <v>1387</v>
      </c>
      <c r="B8" s="75"/>
      <c r="C8" s="75"/>
      <c r="D8" s="75"/>
      <c r="E8" s="75"/>
      <c r="F8" s="75"/>
      <c r="K8" s="74" t="s">
        <v>1421</v>
      </c>
    </row>
    <row r="9" spans="1:54" ht="12.75" customHeight="1" x14ac:dyDescent="0.15">
      <c r="A9" s="74" t="s">
        <v>2859</v>
      </c>
      <c r="B9" s="75"/>
      <c r="C9" s="75"/>
      <c r="D9" s="75"/>
      <c r="E9" s="75"/>
      <c r="F9" s="75"/>
      <c r="K9" s="74" t="s">
        <v>2859</v>
      </c>
    </row>
    <row r="10" spans="1:54" ht="12.75" customHeight="1" x14ac:dyDescent="0.15">
      <c r="A10" s="77" t="str">
        <f>CONCATENATE("        q=",TEXT($AB10,"#,##0.0"),",  K=",TEXT($AF10,"#,##0.00"),",  E=",TEXT($AJ10,"#,##0.0"))</f>
        <v xml:space="preserve">        q=0.6,  K=0.90,  E=0.6</v>
      </c>
      <c r="B10" s="75"/>
      <c r="C10" s="75"/>
      <c r="D10" s="75"/>
      <c r="E10" s="75"/>
      <c r="F10" s="75"/>
      <c r="K10" s="77" t="str">
        <f>SUBSTITUTE(SUBSTITUTE(SUBSTITUTE(SUBSTITUTE("        q=0.6,  K=0.90,  E=0.6","0.6",TEXT($AB10,"#,##0.0"),1),"0.90",TEXT($AF10,"#,##0.00"),1),"0.6",TEXT($AJ10,"#,##0.0"),2),"_x001D_","'")</f>
        <v xml:space="preserve">        q=0.6,  K=0.90,  E=0.6</v>
      </c>
      <c r="AA10" s="78" t="s">
        <v>1972</v>
      </c>
      <c r="AB10" s="79">
        <v>0.6</v>
      </c>
      <c r="AC10" s="78" t="s">
        <v>1972</v>
      </c>
      <c r="AD10" s="68">
        <f>$AB10</f>
        <v>0.6</v>
      </c>
      <c r="AE10" s="78" t="s">
        <v>806</v>
      </c>
      <c r="AF10" s="79">
        <v>0.9</v>
      </c>
      <c r="AG10" s="78" t="s">
        <v>806</v>
      </c>
      <c r="AH10" s="68">
        <f>$AF10</f>
        <v>0.9</v>
      </c>
      <c r="AI10" s="78" t="s">
        <v>1383</v>
      </c>
      <c r="AJ10" s="79">
        <v>0.6</v>
      </c>
      <c r="AK10" s="78" t="s">
        <v>1383</v>
      </c>
      <c r="AL10" s="68">
        <f>$AJ10</f>
        <v>0.6</v>
      </c>
    </row>
    <row r="11" spans="1:54" ht="12.75" customHeight="1" x14ac:dyDescent="0.15">
      <c r="A11" s="74" t="s">
        <v>2859</v>
      </c>
      <c r="B11" s="75"/>
      <c r="C11" s="75"/>
      <c r="D11" s="75"/>
      <c r="E11" s="75"/>
      <c r="F11" s="75"/>
      <c r="K11" s="74" t="s">
        <v>2859</v>
      </c>
    </row>
    <row r="12" spans="1:54" ht="12.75" customHeight="1" x14ac:dyDescent="0.15">
      <c r="A12" s="77" t="str">
        <f>CONCATENATE("        CM=",TEXT($AB12,"#,##0.00")," sec(90°) ,   F=",TEXT($AF12,"#,##0.0"))</f>
        <v xml:space="preserve">        CM=18.00 sec(90°) ,   F=0.8</v>
      </c>
      <c r="B12" s="75"/>
      <c r="C12" s="75"/>
      <c r="D12" s="75"/>
      <c r="E12" s="75"/>
      <c r="F12" s="75"/>
      <c r="K12" s="77" t="str">
        <f>SUBSTITUTE(SUBSTITUTE(SUBSTITUTE("        CM=18_x001D_sec(90°)_x001D_,   F=0.8","18",TEXT($AB12,"#,##0"),1),"0.8",TEXT($AF12,"#,##0.0"),1),"_x001D_","'")</f>
        <v xml:space="preserve">        CM=18'sec(90°)',   F=0.8</v>
      </c>
      <c r="AA12" s="78" t="s">
        <v>139</v>
      </c>
      <c r="AB12" s="79">
        <v>18</v>
      </c>
      <c r="AC12" s="78" t="s">
        <v>139</v>
      </c>
      <c r="AD12" s="68">
        <f>$AB12</f>
        <v>18</v>
      </c>
      <c r="AE12" s="78" t="s">
        <v>1652</v>
      </c>
      <c r="AF12" s="79">
        <v>0.8</v>
      </c>
      <c r="AG12" s="78" t="s">
        <v>1652</v>
      </c>
      <c r="AH12" s="68">
        <f>$AF12</f>
        <v>0.8</v>
      </c>
    </row>
    <row r="13" spans="1:54" ht="12.75" customHeight="1" x14ac:dyDescent="0.15">
      <c r="A13" s="74" t="s">
        <v>2859</v>
      </c>
      <c r="B13" s="75"/>
      <c r="C13" s="75"/>
      <c r="D13" s="75"/>
      <c r="E13" s="75"/>
      <c r="F13" s="75"/>
      <c r="K13" s="74" t="s">
        <v>2859</v>
      </c>
    </row>
    <row r="14" spans="1:54" ht="12.75" customHeight="1" x14ac:dyDescent="0.15">
      <c r="A14" s="77" t="str">
        <f>CONCATENATE("        Q=(3600*",TEXT($AB14,"#,##0.00"),"*",TEXT($AF14,"#,##0.00"),"*",TEXT($AJ14,"#,##0.00"),"*",TEXT($AN14,"#,##0.00"),")/",TEXT($AR14,"#,##0.00"),"=",TEXT($AZ14,"#,##0.00")," M3/HR ")</f>
        <v xml:space="preserve">        Q=(3600*0.60*0.90*0.80*0.60)/18.00=51.84 M3/HR </v>
      </c>
      <c r="B14" s="75">
        <f>SUM($C14,$D14,$E14)</f>
        <v>0</v>
      </c>
      <c r="C14" s="75"/>
      <c r="D14" s="75"/>
      <c r="E14" s="75"/>
      <c r="F14" s="75"/>
      <c r="K14" s="74" t="s">
        <v>2753</v>
      </c>
      <c r="AA14" s="78" t="s">
        <v>3027</v>
      </c>
      <c r="AB14" s="72">
        <f>$AD10</f>
        <v>0.6</v>
      </c>
      <c r="AC14" s="78" t="s">
        <v>3028</v>
      </c>
      <c r="AD14" s="68">
        <f>$AB14</f>
        <v>0.6</v>
      </c>
      <c r="AE14" s="78" t="s">
        <v>3029</v>
      </c>
      <c r="AF14" s="72">
        <f>$AH10</f>
        <v>0.9</v>
      </c>
      <c r="AG14" s="78" t="s">
        <v>3030</v>
      </c>
      <c r="AH14" s="68">
        <f>$AF14</f>
        <v>0.9</v>
      </c>
      <c r="AI14" s="78" t="s">
        <v>3031</v>
      </c>
      <c r="AJ14" s="72">
        <f>$AH12</f>
        <v>0.8</v>
      </c>
      <c r="AK14" s="78" t="s">
        <v>3032</v>
      </c>
      <c r="AL14" s="68">
        <f>$AJ14</f>
        <v>0.8</v>
      </c>
      <c r="AM14" s="78" t="s">
        <v>3033</v>
      </c>
      <c r="AN14" s="72">
        <f>$AL10</f>
        <v>0.6</v>
      </c>
      <c r="AO14" s="78" t="s">
        <v>3034</v>
      </c>
      <c r="AP14" s="68">
        <f>$AN14</f>
        <v>0.6</v>
      </c>
      <c r="AQ14" s="78" t="s">
        <v>3035</v>
      </c>
      <c r="AR14" s="72">
        <f>$AD12</f>
        <v>18</v>
      </c>
      <c r="AS14" s="78" t="s">
        <v>3036</v>
      </c>
      <c r="AT14" s="68">
        <f>$AR14</f>
        <v>18</v>
      </c>
      <c r="AU14" s="78" t="s">
        <v>504</v>
      </c>
      <c r="AV14" s="72">
        <f>ROUND((3600*$AD14*$AH14*$AL14*$AP14)/$AT14,2)</f>
        <v>51.84</v>
      </c>
      <c r="AW14" s="78" t="s">
        <v>1972</v>
      </c>
      <c r="AX14" s="68">
        <f>$AV14</f>
        <v>51.84</v>
      </c>
      <c r="AY14" s="78" t="s">
        <v>3037</v>
      </c>
      <c r="AZ14" s="72">
        <f>ROUND((3600*$AD14*$AH14*$AL14*$AP14)/$AT14,2)</f>
        <v>51.84</v>
      </c>
      <c r="BA14" s="78" t="s">
        <v>3038</v>
      </c>
      <c r="BB14" s="68">
        <f>$AZ14</f>
        <v>51.84</v>
      </c>
    </row>
    <row r="15" spans="1:54" ht="12.75" customHeight="1" x14ac:dyDescent="0.15">
      <c r="A15" s="74" t="s">
        <v>2859</v>
      </c>
      <c r="B15" s="75"/>
      <c r="C15" s="75"/>
      <c r="D15" s="75"/>
      <c r="E15" s="75"/>
      <c r="F15" s="75"/>
      <c r="K15" s="74" t="s">
        <v>2859</v>
      </c>
    </row>
    <row r="16" spans="1:54" ht="12.75" customHeight="1" x14ac:dyDescent="0.15">
      <c r="A16" s="74" t="s">
        <v>2859</v>
      </c>
      <c r="B16" s="75"/>
      <c r="C16" s="75"/>
      <c r="D16" s="75"/>
      <c r="E16" s="75"/>
      <c r="F16" s="75"/>
      <c r="K16" s="74" t="s">
        <v>2859</v>
      </c>
    </row>
    <row r="17" spans="1:38" ht="12.75" customHeight="1" x14ac:dyDescent="0.15">
      <c r="A17" s="77" t="str">
        <f>CONCATENATE("         재 료 비 :  ",TEXT($AB17,"#,##0.00"),"/",TEXT($AF17,"#,##0.00"),"*0.9 =",TEXT($AJ17,"#,##0.00"))</f>
        <v xml:space="preserve">         재 료 비 :  16,824.00/51.84*0.9 =292.00</v>
      </c>
      <c r="B17" s="75">
        <f>SUM($C17,$D17,$E17)</f>
        <v>292</v>
      </c>
      <c r="C17" s="75">
        <f>$AJ17</f>
        <v>292</v>
      </c>
      <c r="D17" s="75"/>
      <c r="E17" s="75"/>
      <c r="F17" s="75"/>
      <c r="K17" s="74" t="s">
        <v>3039</v>
      </c>
      <c r="AA17" s="78" t="s">
        <v>1838</v>
      </c>
      <c r="AB17" s="72">
        <f>[4]중기사용료목록!E3</f>
        <v>16824</v>
      </c>
      <c r="AC17" s="78" t="s">
        <v>2063</v>
      </c>
      <c r="AD17" s="68">
        <f>$AB17</f>
        <v>16824</v>
      </c>
      <c r="AE17" s="78" t="s">
        <v>3040</v>
      </c>
      <c r="AF17" s="72">
        <f>$AX14</f>
        <v>51.84</v>
      </c>
      <c r="AG17" s="78" t="s">
        <v>3041</v>
      </c>
      <c r="AH17" s="68">
        <f>$AF17</f>
        <v>51.84</v>
      </c>
      <c r="AI17" s="71" t="s">
        <v>2113</v>
      </c>
      <c r="AJ17" s="72">
        <f>TRUNC($AD17/$AH17*0.9,0)</f>
        <v>292</v>
      </c>
      <c r="AK17" s="71" t="s">
        <v>2372</v>
      </c>
      <c r="AL17" s="68">
        <f>$AJ17</f>
        <v>292</v>
      </c>
    </row>
    <row r="18" spans="1:38" ht="12.75" customHeight="1" x14ac:dyDescent="0.15">
      <c r="A18" s="74" t="s">
        <v>2859</v>
      </c>
      <c r="B18" s="75"/>
      <c r="C18" s="75"/>
      <c r="D18" s="75"/>
      <c r="E18" s="75"/>
      <c r="F18" s="75"/>
      <c r="K18" s="74" t="s">
        <v>2859</v>
      </c>
    </row>
    <row r="19" spans="1:38" ht="12.75" customHeight="1" x14ac:dyDescent="0.15">
      <c r="A19" s="77" t="str">
        <f>CONCATENATE("         노 무 비 :  ",TEXT($AB19,"#,##0.00"),"/",TEXT($AF19,"#,##0.00"),"*0.9 =",TEXT($AJ19,"#,##0.00"))</f>
        <v xml:space="preserve">         노 무 비 :  55,700.00/51.84*0.9 =967.00</v>
      </c>
      <c r="B19" s="75">
        <f>SUM($C19,$D19,$E19)</f>
        <v>967</v>
      </c>
      <c r="C19" s="75"/>
      <c r="D19" s="75">
        <f>$AJ19</f>
        <v>967</v>
      </c>
      <c r="E19" s="75"/>
      <c r="F19" s="75"/>
      <c r="K19" s="74" t="s">
        <v>3042</v>
      </c>
      <c r="AA19" s="78" t="s">
        <v>3043</v>
      </c>
      <c r="AB19" s="72">
        <f>[4]중기사용료목록!F3</f>
        <v>55700</v>
      </c>
      <c r="AC19" s="78" t="s">
        <v>3044</v>
      </c>
      <c r="AD19" s="68">
        <f>$AB19</f>
        <v>55700</v>
      </c>
      <c r="AE19" s="78" t="s">
        <v>3045</v>
      </c>
      <c r="AF19" s="72">
        <f>$AX14</f>
        <v>51.84</v>
      </c>
      <c r="AG19" s="78" t="s">
        <v>3046</v>
      </c>
      <c r="AH19" s="68">
        <f>$AF19</f>
        <v>51.84</v>
      </c>
      <c r="AI19" s="71" t="s">
        <v>287</v>
      </c>
      <c r="AJ19" s="72">
        <f>TRUNC($AD19/$AH19*0.9,0)</f>
        <v>967</v>
      </c>
      <c r="AK19" s="71" t="s">
        <v>1141</v>
      </c>
      <c r="AL19" s="68">
        <f>$AJ19</f>
        <v>967</v>
      </c>
    </row>
    <row r="20" spans="1:38" ht="12.75" customHeight="1" x14ac:dyDescent="0.15">
      <c r="A20" s="74" t="s">
        <v>2859</v>
      </c>
      <c r="B20" s="75"/>
      <c r="C20" s="75"/>
      <c r="D20" s="75"/>
      <c r="E20" s="75"/>
      <c r="F20" s="75"/>
      <c r="K20" s="74" t="s">
        <v>2859</v>
      </c>
    </row>
    <row r="21" spans="1:38" ht="12.75" customHeight="1" x14ac:dyDescent="0.15">
      <c r="A21" s="77" t="str">
        <f>CONCATENATE("         경    비 :  ",TEXT($AB21,"#,##0.00"),"/",TEXT($AF21,"#,##0.00"),"*0.9 =",TEXT($AJ21,"#,##0.00"))</f>
        <v xml:space="preserve">         경    비 :  21,957.00/51.84*0.9 =381.00</v>
      </c>
      <c r="B21" s="75">
        <f>SUM($C21,$D21,$E21)</f>
        <v>381</v>
      </c>
      <c r="C21" s="75"/>
      <c r="D21" s="75"/>
      <c r="E21" s="75">
        <f>$AJ21</f>
        <v>381</v>
      </c>
      <c r="F21" s="75"/>
      <c r="K21" s="74" t="s">
        <v>3047</v>
      </c>
      <c r="AA21" s="78" t="s">
        <v>3048</v>
      </c>
      <c r="AB21" s="72">
        <f>[4]중기사용료목록!G3</f>
        <v>21957</v>
      </c>
      <c r="AC21" s="78" t="s">
        <v>3049</v>
      </c>
      <c r="AD21" s="68">
        <f>$AB21</f>
        <v>21957</v>
      </c>
      <c r="AE21" s="78" t="s">
        <v>3050</v>
      </c>
      <c r="AF21" s="72">
        <f>$AX14</f>
        <v>51.84</v>
      </c>
      <c r="AG21" s="78" t="s">
        <v>3051</v>
      </c>
      <c r="AH21" s="68">
        <f>$AF21</f>
        <v>51.84</v>
      </c>
      <c r="AI21" s="71" t="s">
        <v>907</v>
      </c>
      <c r="AJ21" s="72">
        <f>TRUNC($AD21/$AH21*0.9,0)</f>
        <v>381</v>
      </c>
      <c r="AK21" s="71" t="s">
        <v>1545</v>
      </c>
      <c r="AL21" s="68">
        <f>$AJ21</f>
        <v>381</v>
      </c>
    </row>
    <row r="22" spans="1:38" ht="12.75" customHeight="1" x14ac:dyDescent="0.15">
      <c r="A22" s="74" t="s">
        <v>2859</v>
      </c>
      <c r="B22" s="75"/>
      <c r="C22" s="75"/>
      <c r="D22" s="75"/>
      <c r="E22" s="75"/>
      <c r="F22" s="75"/>
      <c r="K22" s="74" t="s">
        <v>2859</v>
      </c>
    </row>
    <row r="23" spans="1:38" ht="12.75" customHeight="1" x14ac:dyDescent="0.15">
      <c r="A23" s="74" t="s">
        <v>3052</v>
      </c>
      <c r="B23" s="80">
        <f>SUM($C23,$D23,$E23)</f>
        <v>1640</v>
      </c>
      <c r="C23" s="80">
        <f>$AB23</f>
        <v>292</v>
      </c>
      <c r="D23" s="80">
        <f>$AD23</f>
        <v>967</v>
      </c>
      <c r="E23" s="80">
        <f>$AF23</f>
        <v>381</v>
      </c>
      <c r="F23" s="80"/>
      <c r="K23" s="74" t="s">
        <v>3053</v>
      </c>
      <c r="AA23" s="78" t="s">
        <v>2032</v>
      </c>
      <c r="AB23" s="68">
        <f>$AL17</f>
        <v>292</v>
      </c>
      <c r="AC23" s="78" t="s">
        <v>72</v>
      </c>
      <c r="AD23" s="68">
        <f>$AL19</f>
        <v>967</v>
      </c>
      <c r="AE23" s="78" t="s">
        <v>2609</v>
      </c>
      <c r="AF23" s="68">
        <f>$AL21</f>
        <v>381</v>
      </c>
    </row>
    <row r="24" spans="1:38" ht="12.75" customHeight="1" x14ac:dyDescent="0.15">
      <c r="A24" s="74" t="s">
        <v>2859</v>
      </c>
      <c r="B24" s="75"/>
      <c r="C24" s="75"/>
      <c r="D24" s="75"/>
      <c r="E24" s="75"/>
      <c r="F24" s="75"/>
      <c r="K24" s="74" t="s">
        <v>2859</v>
      </c>
    </row>
    <row r="25" spans="1:38" ht="12.75" customHeight="1" x14ac:dyDescent="0.15">
      <c r="A25" s="74" t="s">
        <v>3054</v>
      </c>
      <c r="B25" s="75"/>
      <c r="C25" s="75"/>
      <c r="D25" s="75"/>
      <c r="E25" s="75"/>
      <c r="F25" s="75"/>
      <c r="K25" s="74" t="s">
        <v>3055</v>
      </c>
    </row>
    <row r="26" spans="1:38" ht="12.75" customHeight="1" x14ac:dyDescent="0.15">
      <c r="A26" s="74" t="s">
        <v>2859</v>
      </c>
      <c r="B26" s="75"/>
      <c r="C26" s="75"/>
      <c r="D26" s="75"/>
      <c r="E26" s="75"/>
      <c r="F26" s="75"/>
      <c r="K26" s="74" t="s">
        <v>2859</v>
      </c>
    </row>
    <row r="27" spans="1:38" ht="12.75" customHeight="1" x14ac:dyDescent="0.15">
      <c r="A27" s="77" t="str">
        <f>CONCATENATE("         노 무 비 :  ",TEXT($AB27,"#,##0.00"),"*0.2*0.1 =",TEXT($AF27,"#,##0.00"))</f>
        <v xml:space="preserve">         노 무 비 :  165,545.00*0.2*0.1 =3,310.00</v>
      </c>
      <c r="B27" s="75">
        <f>SUM($C27,$D27,$E27)</f>
        <v>3310</v>
      </c>
      <c r="C27" s="75"/>
      <c r="D27" s="75">
        <f>$AF27</f>
        <v>3310</v>
      </c>
      <c r="E27" s="75"/>
      <c r="F27" s="75"/>
      <c r="K27" s="74" t="s">
        <v>3056</v>
      </c>
      <c r="AA27" s="78" t="s">
        <v>1848</v>
      </c>
      <c r="AB27" s="72">
        <f>([4]노임!D4*[4]전역변수!C34)</f>
        <v>165545</v>
      </c>
      <c r="AC27" s="78" t="s">
        <v>1434</v>
      </c>
      <c r="AD27" s="68">
        <f>$AB27</f>
        <v>165545</v>
      </c>
      <c r="AE27" s="71" t="s">
        <v>287</v>
      </c>
      <c r="AF27" s="72">
        <f>TRUNC($AD27*0.2*0.1,0)</f>
        <v>3310</v>
      </c>
      <c r="AG27" s="71" t="s">
        <v>1141</v>
      </c>
      <c r="AH27" s="68">
        <f>$AL19+$AF27</f>
        <v>4277</v>
      </c>
    </row>
    <row r="28" spans="1:38" ht="12.75" customHeight="1" x14ac:dyDescent="0.15">
      <c r="A28" s="74" t="s">
        <v>2859</v>
      </c>
      <c r="B28" s="75"/>
      <c r="C28" s="75"/>
      <c r="D28" s="75"/>
      <c r="E28" s="75"/>
      <c r="F28" s="75"/>
      <c r="K28" s="74" t="s">
        <v>2859</v>
      </c>
    </row>
    <row r="29" spans="1:38" ht="12.75" customHeight="1" x14ac:dyDescent="0.15">
      <c r="A29" s="74" t="s">
        <v>3052</v>
      </c>
      <c r="B29" s="80">
        <f>SUM($C29,$D29,$E29)</f>
        <v>3310</v>
      </c>
      <c r="C29" s="80">
        <f>$AB29</f>
        <v>0</v>
      </c>
      <c r="D29" s="80">
        <f>$AD29</f>
        <v>3310</v>
      </c>
      <c r="E29" s="80">
        <f>$AF29</f>
        <v>0</v>
      </c>
      <c r="F29" s="80"/>
      <c r="K29" s="74" t="s">
        <v>3053</v>
      </c>
      <c r="AA29" s="78" t="s">
        <v>2032</v>
      </c>
      <c r="AB29" s="68">
        <f>$AL17-$AL17</f>
        <v>0</v>
      </c>
      <c r="AC29" s="78" t="s">
        <v>72</v>
      </c>
      <c r="AD29" s="68">
        <f>$AH27-$AL19</f>
        <v>3310</v>
      </c>
      <c r="AE29" s="78" t="s">
        <v>2609</v>
      </c>
      <c r="AF29" s="68">
        <f>$AL21-$AL21</f>
        <v>0</v>
      </c>
    </row>
    <row r="30" spans="1:38" ht="12.75" customHeight="1" x14ac:dyDescent="0.15">
      <c r="A30" s="74" t="s">
        <v>2859</v>
      </c>
      <c r="B30" s="75"/>
      <c r="C30" s="75"/>
      <c r="D30" s="75"/>
      <c r="E30" s="75"/>
      <c r="F30" s="75"/>
      <c r="K30" s="74" t="s">
        <v>2859</v>
      </c>
    </row>
    <row r="31" spans="1:38" ht="12.75" customHeight="1" x14ac:dyDescent="0.15">
      <c r="A31" s="74" t="s">
        <v>3057</v>
      </c>
      <c r="B31" s="81">
        <f>SUM($C31,$D31,$E31)</f>
        <v>4950</v>
      </c>
      <c r="C31" s="81">
        <f>$AB31</f>
        <v>292</v>
      </c>
      <c r="D31" s="81">
        <f>$AD31</f>
        <v>4277</v>
      </c>
      <c r="E31" s="81">
        <f>$AF31</f>
        <v>381</v>
      </c>
      <c r="F31" s="81"/>
      <c r="K31" s="74" t="s">
        <v>3058</v>
      </c>
      <c r="AA31" s="78" t="s">
        <v>1148</v>
      </c>
      <c r="AB31" s="68">
        <f>$AL17</f>
        <v>292</v>
      </c>
      <c r="AC31" s="78" t="s">
        <v>2379</v>
      </c>
      <c r="AD31" s="68">
        <f>$AH27</f>
        <v>4277</v>
      </c>
      <c r="AE31" s="78" t="s">
        <v>628</v>
      </c>
      <c r="AF31" s="68">
        <f>$AL21</f>
        <v>381</v>
      </c>
    </row>
    <row r="32" spans="1:38" ht="12.75" customHeight="1" x14ac:dyDescent="0.15">
      <c r="A32" s="74"/>
      <c r="B32" s="74"/>
      <c r="C32" s="74"/>
      <c r="D32" s="74"/>
      <c r="E32" s="74"/>
      <c r="F32" s="74"/>
    </row>
    <row r="33" spans="1:46" ht="12.75" customHeight="1" thickBot="1" x14ac:dyDescent="0.2">
      <c r="A33" s="82" t="s">
        <v>1643</v>
      </c>
      <c r="B33" s="76">
        <f>SUM($C33,$D33,$E33)</f>
        <v>4950</v>
      </c>
      <c r="C33" s="76">
        <f>TRUNC(SUM($AL17),0)</f>
        <v>292</v>
      </c>
      <c r="D33" s="76">
        <f>TRUNC(SUM($AH27),0)</f>
        <v>4277</v>
      </c>
      <c r="E33" s="76">
        <f>TRUNC(SUM($AL21),0)</f>
        <v>381</v>
      </c>
      <c r="F33" s="82"/>
    </row>
    <row r="34" spans="1:46" ht="12.75" customHeight="1" x14ac:dyDescent="0.15">
      <c r="A34" s="74"/>
      <c r="B34" s="74"/>
      <c r="C34" s="74"/>
      <c r="D34" s="74"/>
      <c r="E34" s="74"/>
      <c r="F34" s="74"/>
    </row>
    <row r="35" spans="1:46" ht="12.75" customHeight="1" thickBot="1" x14ac:dyDescent="0.2">
      <c r="A35" s="74" t="s">
        <v>3059</v>
      </c>
      <c r="B35" s="75">
        <f>$B58</f>
        <v>1561</v>
      </c>
      <c r="C35" s="75">
        <f>$C58</f>
        <v>278</v>
      </c>
      <c r="D35" s="75">
        <f>$D58</f>
        <v>920</v>
      </c>
      <c r="E35" s="75">
        <f>$E58</f>
        <v>363</v>
      </c>
      <c r="F35" s="74" t="s">
        <v>2859</v>
      </c>
      <c r="G35" s="64" t="s">
        <v>2859</v>
      </c>
      <c r="H35" s="64" t="s">
        <v>2994</v>
      </c>
      <c r="K35" s="64">
        <v>1</v>
      </c>
      <c r="Y35" s="68" t="b">
        <f>EXACT($Z35,$B58)</f>
        <v>0</v>
      </c>
      <c r="Z35" s="76">
        <v>1544</v>
      </c>
    </row>
    <row r="36" spans="1:46" ht="12.75" customHeight="1" x14ac:dyDescent="0.15">
      <c r="A36" s="140"/>
      <c r="B36" s="74"/>
      <c r="C36" s="74"/>
      <c r="D36" s="74"/>
      <c r="E36" s="74"/>
      <c r="F36" s="74"/>
    </row>
    <row r="37" spans="1:46" ht="12.75" customHeight="1" x14ac:dyDescent="0.15">
      <c r="A37" s="74" t="s">
        <v>2859</v>
      </c>
      <c r="B37" s="74"/>
      <c r="C37" s="74"/>
      <c r="D37" s="74"/>
      <c r="E37" s="74"/>
      <c r="F37" s="74"/>
      <c r="G37" s="64" t="s">
        <v>2859</v>
      </c>
      <c r="I37" s="64" t="s">
        <v>322</v>
      </c>
      <c r="J37" s="64" t="s">
        <v>2859</v>
      </c>
      <c r="K37" s="64" t="s">
        <v>2417</v>
      </c>
    </row>
    <row r="38" spans="1:46" ht="12.75" customHeight="1" x14ac:dyDescent="0.15">
      <c r="A38" s="74" t="s">
        <v>1133</v>
      </c>
      <c r="B38" s="75"/>
      <c r="C38" s="75"/>
      <c r="D38" s="75"/>
      <c r="E38" s="75"/>
      <c r="F38" s="75"/>
      <c r="K38" s="74" t="s">
        <v>1117</v>
      </c>
    </row>
    <row r="39" spans="1:46" ht="12.75" customHeight="1" x14ac:dyDescent="0.15">
      <c r="A39" s="74" t="s">
        <v>2859</v>
      </c>
      <c r="B39" s="75"/>
      <c r="C39" s="75"/>
      <c r="D39" s="75"/>
      <c r="E39" s="75"/>
      <c r="F39" s="75"/>
      <c r="K39" s="74" t="s">
        <v>2859</v>
      </c>
    </row>
    <row r="40" spans="1:46" ht="12.75" customHeight="1" x14ac:dyDescent="0.15">
      <c r="A40" s="74" t="s">
        <v>2501</v>
      </c>
      <c r="B40" s="75"/>
      <c r="C40" s="75"/>
      <c r="D40" s="75"/>
      <c r="E40" s="75"/>
      <c r="F40" s="75"/>
      <c r="K40" s="74" t="s">
        <v>2501</v>
      </c>
    </row>
    <row r="41" spans="1:46" ht="12.75" customHeight="1" x14ac:dyDescent="0.15">
      <c r="A41" s="74" t="s">
        <v>2859</v>
      </c>
      <c r="B41" s="75"/>
      <c r="C41" s="75"/>
      <c r="D41" s="75"/>
      <c r="E41" s="75"/>
      <c r="F41" s="75"/>
      <c r="K41" s="74" t="s">
        <v>2859</v>
      </c>
    </row>
    <row r="42" spans="1:46" ht="12.75" customHeight="1" x14ac:dyDescent="0.15">
      <c r="A42" s="77" t="str">
        <f>CONCATENATE("  q=",TEXT($AB42,"#,##0.0"),", K=",TEXT($AF42,"#,##0.0"),", L=",TEXT($AJ42,"#,##0.00"))</f>
        <v xml:space="preserve">  q=0.6, K=0.9, L=1.25</v>
      </c>
      <c r="B42" s="75"/>
      <c r="C42" s="75"/>
      <c r="D42" s="75"/>
      <c r="E42" s="75"/>
      <c r="F42" s="75"/>
      <c r="K42" s="77" t="str">
        <f>SUBSTITUTE(SUBSTITUTE(SUBSTITUTE(SUBSTITUTE("  q = 0.6, K = 0.9, L = 1.25","0.6",TEXT($AB42,"#,##0.0"),1),"0.9",TEXT($AF42,"#,##0.0"),1),"1.25",TEXT($AJ42,"#,##0.00"),1),"_x001D_","'")</f>
        <v xml:space="preserve">  q = 0.6, K = 0.9, L = 1.25</v>
      </c>
      <c r="AA42" s="78" t="s">
        <v>1972</v>
      </c>
      <c r="AB42" s="79">
        <v>0.6</v>
      </c>
      <c r="AC42" s="78" t="s">
        <v>1972</v>
      </c>
      <c r="AD42" s="68">
        <f>$AB42</f>
        <v>0.6</v>
      </c>
      <c r="AE42" s="78" t="s">
        <v>806</v>
      </c>
      <c r="AF42" s="79">
        <v>0.9</v>
      </c>
      <c r="AG42" s="78" t="s">
        <v>806</v>
      </c>
      <c r="AH42" s="68">
        <f>$AF42</f>
        <v>0.9</v>
      </c>
      <c r="AI42" s="78" t="s">
        <v>2704</v>
      </c>
      <c r="AJ42" s="79">
        <v>1.25</v>
      </c>
      <c r="AK42" s="78" t="s">
        <v>2704</v>
      </c>
      <c r="AL42" s="68">
        <f>$AJ42</f>
        <v>1.25</v>
      </c>
    </row>
    <row r="43" spans="1:46" ht="12.75" customHeight="1" x14ac:dyDescent="0.15">
      <c r="A43" s="74" t="s">
        <v>2859</v>
      </c>
      <c r="B43" s="75"/>
      <c r="C43" s="75"/>
      <c r="D43" s="75"/>
      <c r="E43" s="75"/>
      <c r="F43" s="75"/>
      <c r="K43" s="74" t="s">
        <v>2859</v>
      </c>
    </row>
    <row r="44" spans="1:46" ht="12.75" customHeight="1" x14ac:dyDescent="0.15">
      <c r="A44" s="77" t="str">
        <f>CONCATENATE("  f = 1/",TEXT($AB44,"#,##0.00")," = "," , E1=",TEXT($AN44,"#,##0.0"),", Cm=",TEXT($AR44,"#,##0.00")," sec(135°) ")</f>
        <v xml:space="preserve">  f = 1/1.25 =  , E1=0.7, Cm=18.00 sec(135°) </v>
      </c>
      <c r="B44" s="75">
        <f>SUM($C44,$D44,$E44)</f>
        <v>0</v>
      </c>
      <c r="C44" s="75"/>
      <c r="D44" s="75"/>
      <c r="E44" s="75"/>
      <c r="F44" s="75"/>
      <c r="K44" s="77" t="str">
        <f>SUBSTITUTE(SUBSTITUTE(SUBSTITUTE("  f = 1/{L} = ? , E1 = 0.7, Cm = 18_x001D_sec(135°)_x001D_","0.7",TEXT($AN44,"#,##0.0"),1),"18",TEXT($AR44,"#,##0"),1),"_x001D_","'")</f>
        <v xml:space="preserve">  f = 1/{L} = ? , E1 = 0.7, Cm = 18'sec(135°)'</v>
      </c>
      <c r="AA44" s="78" t="s">
        <v>3060</v>
      </c>
      <c r="AB44" s="72">
        <f>$AL42</f>
        <v>1.25</v>
      </c>
      <c r="AC44" s="78" t="s">
        <v>3061</v>
      </c>
      <c r="AD44" s="68">
        <f>$AB44</f>
        <v>1.25</v>
      </c>
      <c r="AE44" s="78" t="s">
        <v>1802</v>
      </c>
      <c r="AF44" s="72">
        <f>ROUND(1/$AD44,2)</f>
        <v>0.8</v>
      </c>
      <c r="AG44" s="78" t="s">
        <v>1652</v>
      </c>
      <c r="AH44" s="68">
        <f>$AF44</f>
        <v>0.8</v>
      </c>
      <c r="AI44" s="78" t="s">
        <v>3062</v>
      </c>
      <c r="AJ44" s="72">
        <f>ROUND(1/$AD44,2)</f>
        <v>0.8</v>
      </c>
      <c r="AK44" s="78" t="s">
        <v>3063</v>
      </c>
      <c r="AL44" s="68">
        <f>$AJ44</f>
        <v>0.8</v>
      </c>
      <c r="AM44" s="78" t="s">
        <v>1533</v>
      </c>
      <c r="AN44" s="79">
        <v>0.7</v>
      </c>
      <c r="AO44" s="78" t="s">
        <v>1533</v>
      </c>
      <c r="AP44" s="68">
        <f>$AN44</f>
        <v>0.7</v>
      </c>
      <c r="AQ44" s="78" t="s">
        <v>139</v>
      </c>
      <c r="AR44" s="79">
        <v>18</v>
      </c>
      <c r="AS44" s="78" t="s">
        <v>139</v>
      </c>
      <c r="AT44" s="68">
        <f>$AR44</f>
        <v>18</v>
      </c>
    </row>
    <row r="45" spans="1:46" ht="12.75" customHeight="1" x14ac:dyDescent="0.15">
      <c r="A45" s="74" t="s">
        <v>2859</v>
      </c>
      <c r="B45" s="75"/>
      <c r="C45" s="75"/>
      <c r="D45" s="75"/>
      <c r="E45" s="75"/>
      <c r="F45" s="75"/>
      <c r="K45" s="74" t="s">
        <v>2859</v>
      </c>
    </row>
    <row r="46" spans="1:46" ht="12.75" customHeight="1" x14ac:dyDescent="0.15">
      <c r="A46" s="77" t="str">
        <f>CONCATENATE("  Q = 3600 * q * K * f * E1 / Cm = ",TEXT($AF46,"#,##0.00")," M3/HR")</f>
        <v xml:space="preserve">  Q = 3600 * q * K * f * E1 / Cm = 6,096.38 M3/HR</v>
      </c>
      <c r="B46" s="75">
        <f>SUM($C46,$D46,$E46)</f>
        <v>0</v>
      </c>
      <c r="C46" s="75"/>
      <c r="D46" s="75"/>
      <c r="E46" s="75"/>
      <c r="F46" s="75"/>
      <c r="K46" s="74" t="s">
        <v>1262</v>
      </c>
      <c r="AA46" s="78" t="s">
        <v>504</v>
      </c>
      <c r="AB46" s="72">
        <f>ROUND(3600*$AD42*$AH42*$AH44*$AP44/$AT44,2)</f>
        <v>60.48</v>
      </c>
      <c r="AC46" s="78" t="s">
        <v>1972</v>
      </c>
      <c r="AD46" s="68">
        <f>$AB46</f>
        <v>60.48</v>
      </c>
      <c r="AE46" s="78" t="s">
        <v>3064</v>
      </c>
      <c r="AF46" s="72">
        <f>ROUND(3600*$AD46*$AH42*$AH44*$AP44/$AT44,2)</f>
        <v>6096.38</v>
      </c>
      <c r="AG46" s="78" t="s">
        <v>3065</v>
      </c>
      <c r="AH46" s="68">
        <f>$AF46</f>
        <v>6096.38</v>
      </c>
    </row>
    <row r="47" spans="1:46" ht="12.75" customHeight="1" x14ac:dyDescent="0.15">
      <c r="A47" s="74" t="s">
        <v>2859</v>
      </c>
      <c r="B47" s="75"/>
      <c r="C47" s="75"/>
      <c r="D47" s="75"/>
      <c r="E47" s="75"/>
      <c r="F47" s="75"/>
      <c r="K47" s="74" t="s">
        <v>2859</v>
      </c>
    </row>
    <row r="48" spans="1:46" ht="12.75" customHeight="1" x14ac:dyDescent="0.15">
      <c r="A48" s="77" t="str">
        <f>CONCATENATE("        재 료 비 :  ",TEXT($AB48,"#,##0.00"),"/",TEXT($AF48,"#,##0.00")," =",TEXT($AJ48,"#,##0.00"))</f>
        <v xml:space="preserve">        재 료 비 :  16,824.00/60.48 =278.00</v>
      </c>
      <c r="B48" s="75">
        <f>SUM($C48,$D48,$E48)</f>
        <v>278</v>
      </c>
      <c r="C48" s="75">
        <f>$AJ48</f>
        <v>278</v>
      </c>
      <c r="D48" s="75"/>
      <c r="E48" s="75"/>
      <c r="F48" s="75"/>
      <c r="K48" s="74" t="s">
        <v>3066</v>
      </c>
      <c r="AA48" s="78" t="s">
        <v>506</v>
      </c>
      <c r="AB48" s="72">
        <f>[4]중기사용료목록!E3</f>
        <v>16824</v>
      </c>
      <c r="AC48" s="78" t="s">
        <v>1007</v>
      </c>
      <c r="AD48" s="68">
        <f>$AB48</f>
        <v>16824</v>
      </c>
      <c r="AE48" s="78" t="s">
        <v>3067</v>
      </c>
      <c r="AF48" s="72">
        <f>$AD46</f>
        <v>60.48</v>
      </c>
      <c r="AG48" s="78" t="s">
        <v>3068</v>
      </c>
      <c r="AH48" s="68">
        <f>$AF48</f>
        <v>60.48</v>
      </c>
      <c r="AI48" s="71" t="s">
        <v>2113</v>
      </c>
      <c r="AJ48" s="72">
        <f>TRUNC($AD48/$AH48,0)</f>
        <v>278</v>
      </c>
      <c r="AK48" s="71" t="s">
        <v>2372</v>
      </c>
      <c r="AL48" s="68">
        <f>$AJ48</f>
        <v>278</v>
      </c>
    </row>
    <row r="49" spans="1:38" ht="12.75" customHeight="1" x14ac:dyDescent="0.15">
      <c r="A49" s="74" t="s">
        <v>2859</v>
      </c>
      <c r="B49" s="75"/>
      <c r="C49" s="75"/>
      <c r="D49" s="75"/>
      <c r="E49" s="75"/>
      <c r="F49" s="75"/>
      <c r="K49" s="74" t="s">
        <v>2859</v>
      </c>
    </row>
    <row r="50" spans="1:38" ht="12.75" customHeight="1" x14ac:dyDescent="0.15">
      <c r="A50" s="77" t="str">
        <f>CONCATENATE("         노 무 비 :  ",TEXT($AB50,"#,##0.00"),"/",TEXT($AF50,"#,##0.00")," =",TEXT($AJ50,"#,##0.00"))</f>
        <v xml:space="preserve">         노 무 비 :  55,700.00/60.48 =920.00</v>
      </c>
      <c r="B50" s="75">
        <f>SUM($C50,$D50,$E50)</f>
        <v>920</v>
      </c>
      <c r="C50" s="75"/>
      <c r="D50" s="75">
        <f>$AJ50</f>
        <v>920</v>
      </c>
      <c r="E50" s="75"/>
      <c r="F50" s="75"/>
      <c r="K50" s="74" t="s">
        <v>3069</v>
      </c>
      <c r="AA50" s="78" t="s">
        <v>230</v>
      </c>
      <c r="AB50" s="72">
        <f>[4]중기사용료목록!F3</f>
        <v>55700</v>
      </c>
      <c r="AC50" s="78" t="s">
        <v>1945</v>
      </c>
      <c r="AD50" s="68">
        <f>$AB50</f>
        <v>55700</v>
      </c>
      <c r="AE50" s="78" t="s">
        <v>3070</v>
      </c>
      <c r="AF50" s="72">
        <f>$AD46</f>
        <v>60.48</v>
      </c>
      <c r="AG50" s="78" t="s">
        <v>3071</v>
      </c>
      <c r="AH50" s="68">
        <f>$AF50</f>
        <v>60.48</v>
      </c>
      <c r="AI50" s="71" t="s">
        <v>287</v>
      </c>
      <c r="AJ50" s="72">
        <f>TRUNC($AD50/$AH50,0)</f>
        <v>920</v>
      </c>
      <c r="AK50" s="71" t="s">
        <v>1141</v>
      </c>
      <c r="AL50" s="68">
        <f>$AJ50</f>
        <v>920</v>
      </c>
    </row>
    <row r="51" spans="1:38" ht="12.75" customHeight="1" x14ac:dyDescent="0.15">
      <c r="A51" s="74" t="s">
        <v>2859</v>
      </c>
      <c r="B51" s="75"/>
      <c r="C51" s="75"/>
      <c r="D51" s="75"/>
      <c r="E51" s="75"/>
      <c r="F51" s="75"/>
      <c r="K51" s="74" t="s">
        <v>2859</v>
      </c>
    </row>
    <row r="52" spans="1:38" ht="12.75" customHeight="1" x14ac:dyDescent="0.15">
      <c r="A52" s="77" t="str">
        <f>CONCATENATE("         경    비 :  ",TEXT($AB52,"#,##0.00"),"/",TEXT($AF52,"#,##0.00")," =",TEXT($AJ52,"#,##0.00"))</f>
        <v xml:space="preserve">         경    비 :  21,957.00/60.48 =363.00</v>
      </c>
      <c r="B52" s="75">
        <f>SUM($C52,$D52,$E52)</f>
        <v>363</v>
      </c>
      <c r="C52" s="75"/>
      <c r="D52" s="75"/>
      <c r="E52" s="75">
        <f>$AJ52</f>
        <v>363</v>
      </c>
      <c r="F52" s="75"/>
      <c r="K52" s="74" t="s">
        <v>3072</v>
      </c>
      <c r="AA52" s="78" t="s">
        <v>3073</v>
      </c>
      <c r="AB52" s="72">
        <f>[4]중기사용료목록!G3</f>
        <v>21957</v>
      </c>
      <c r="AC52" s="78" t="s">
        <v>3074</v>
      </c>
      <c r="AD52" s="68">
        <f>$AB52</f>
        <v>21957</v>
      </c>
      <c r="AE52" s="78" t="s">
        <v>3075</v>
      </c>
      <c r="AF52" s="72">
        <f>$AD46</f>
        <v>60.48</v>
      </c>
      <c r="AG52" s="78" t="s">
        <v>3076</v>
      </c>
      <c r="AH52" s="68">
        <f>$AF52</f>
        <v>60.48</v>
      </c>
      <c r="AI52" s="71" t="s">
        <v>907</v>
      </c>
      <c r="AJ52" s="72">
        <f>TRUNC($AD52/$AH52,0)</f>
        <v>363</v>
      </c>
      <c r="AK52" s="71" t="s">
        <v>1545</v>
      </c>
      <c r="AL52" s="68">
        <f>$AJ52</f>
        <v>363</v>
      </c>
    </row>
    <row r="53" spans="1:38" ht="12.75" customHeight="1" x14ac:dyDescent="0.15">
      <c r="A53" s="74" t="s">
        <v>2859</v>
      </c>
      <c r="B53" s="75"/>
      <c r="C53" s="75"/>
      <c r="D53" s="75"/>
      <c r="E53" s="75"/>
      <c r="F53" s="75"/>
      <c r="K53" s="74" t="s">
        <v>2859</v>
      </c>
    </row>
    <row r="54" spans="1:38" ht="12.75" customHeight="1" x14ac:dyDescent="0.15">
      <c r="A54" s="74" t="s">
        <v>2859</v>
      </c>
      <c r="B54" s="75"/>
      <c r="C54" s="75"/>
      <c r="D54" s="75"/>
      <c r="E54" s="75"/>
      <c r="F54" s="75"/>
      <c r="K54" s="74" t="s">
        <v>2859</v>
      </c>
    </row>
    <row r="55" spans="1:38" ht="12.75" customHeight="1" x14ac:dyDescent="0.15">
      <c r="A55" s="74" t="s">
        <v>2859</v>
      </c>
      <c r="B55" s="75"/>
      <c r="C55" s="75"/>
      <c r="D55" s="75"/>
      <c r="E55" s="75"/>
      <c r="F55" s="75"/>
      <c r="K55" s="74" t="s">
        <v>2859</v>
      </c>
    </row>
    <row r="56" spans="1:38" ht="12.75" customHeight="1" x14ac:dyDescent="0.15">
      <c r="A56" s="74" t="s">
        <v>3057</v>
      </c>
      <c r="B56" s="81">
        <f>SUM($C56,$D56,$E56)</f>
        <v>1561</v>
      </c>
      <c r="C56" s="81">
        <f>$AB56</f>
        <v>278</v>
      </c>
      <c r="D56" s="81">
        <f>$AD56</f>
        <v>920</v>
      </c>
      <c r="E56" s="81">
        <f>$AF56</f>
        <v>363</v>
      </c>
      <c r="F56" s="81"/>
      <c r="K56" s="74" t="s">
        <v>3058</v>
      </c>
      <c r="AA56" s="78" t="s">
        <v>1148</v>
      </c>
      <c r="AB56" s="68">
        <f>$AL48</f>
        <v>278</v>
      </c>
      <c r="AC56" s="78" t="s">
        <v>2379</v>
      </c>
      <c r="AD56" s="68">
        <f>$AL50</f>
        <v>920</v>
      </c>
      <c r="AE56" s="78" t="s">
        <v>628</v>
      </c>
      <c r="AF56" s="68">
        <f>$AL52</f>
        <v>363</v>
      </c>
    </row>
    <row r="57" spans="1:38" ht="12.75" customHeight="1" x14ac:dyDescent="0.15">
      <c r="A57" s="74"/>
      <c r="B57" s="74"/>
      <c r="C57" s="74"/>
      <c r="D57" s="74"/>
      <c r="E57" s="74"/>
      <c r="F57" s="74"/>
    </row>
    <row r="58" spans="1:38" ht="12.75" customHeight="1" thickBot="1" x14ac:dyDescent="0.2">
      <c r="A58" s="82" t="s">
        <v>1643</v>
      </c>
      <c r="B58" s="76">
        <f>SUM($C58,$D58,$E58)</f>
        <v>1561</v>
      </c>
      <c r="C58" s="76">
        <f>TRUNC(SUM($AL48),0)</f>
        <v>278</v>
      </c>
      <c r="D58" s="76">
        <f>TRUNC(SUM($AL50),0)</f>
        <v>920</v>
      </c>
      <c r="E58" s="76">
        <f>TRUNC(SUM($AL52),0)</f>
        <v>363</v>
      </c>
      <c r="F58" s="82"/>
    </row>
    <row r="59" spans="1:38" ht="12.75" customHeight="1" x14ac:dyDescent="0.15">
      <c r="A59" s="74"/>
      <c r="B59" s="74"/>
      <c r="C59" s="74"/>
      <c r="D59" s="74"/>
      <c r="E59" s="74"/>
      <c r="F59" s="74"/>
    </row>
    <row r="60" spans="1:38" ht="12.75" customHeight="1" thickBot="1" x14ac:dyDescent="0.2">
      <c r="A60" s="74" t="s">
        <v>3077</v>
      </c>
      <c r="B60" s="75">
        <f>$B91</f>
        <v>6988</v>
      </c>
      <c r="C60" s="75">
        <f>$C91</f>
        <v>440</v>
      </c>
      <c r="D60" s="75">
        <f>$D91</f>
        <v>6160</v>
      </c>
      <c r="E60" s="75">
        <f>$E91</f>
        <v>388</v>
      </c>
      <c r="F60" s="74" t="s">
        <v>2859</v>
      </c>
      <c r="G60" s="64" t="s">
        <v>2859</v>
      </c>
      <c r="H60" s="64" t="s">
        <v>2997</v>
      </c>
      <c r="K60" s="64">
        <v>1</v>
      </c>
      <c r="Y60" s="68" t="b">
        <f>EXACT($Z60,$B91)</f>
        <v>0</v>
      </c>
      <c r="Z60" s="76">
        <v>6926</v>
      </c>
    </row>
    <row r="61" spans="1:38" ht="12.75" customHeight="1" x14ac:dyDescent="0.15">
      <c r="A61" s="140"/>
      <c r="B61" s="74"/>
      <c r="C61" s="74"/>
      <c r="D61" s="74"/>
      <c r="E61" s="74"/>
      <c r="F61" s="74"/>
    </row>
    <row r="62" spans="1:38" ht="12.75" customHeight="1" x14ac:dyDescent="0.15">
      <c r="A62" s="74" t="s">
        <v>2859</v>
      </c>
      <c r="B62" s="74"/>
      <c r="C62" s="74"/>
      <c r="D62" s="74"/>
      <c r="E62" s="74"/>
      <c r="F62" s="74"/>
      <c r="G62" s="64" t="s">
        <v>2859</v>
      </c>
      <c r="I62" s="64" t="s">
        <v>322</v>
      </c>
      <c r="J62" s="64" t="s">
        <v>2859</v>
      </c>
      <c r="K62" s="64" t="s">
        <v>2417</v>
      </c>
    </row>
    <row r="63" spans="1:38" ht="12.75" customHeight="1" x14ac:dyDescent="0.15">
      <c r="A63" s="74" t="s">
        <v>3078</v>
      </c>
      <c r="B63" s="75"/>
      <c r="C63" s="75"/>
      <c r="D63" s="75"/>
      <c r="E63" s="75"/>
      <c r="F63" s="75"/>
      <c r="K63" s="74" t="s">
        <v>3078</v>
      </c>
    </row>
    <row r="64" spans="1:38" ht="12.75" customHeight="1" x14ac:dyDescent="0.15">
      <c r="A64" s="74" t="s">
        <v>2859</v>
      </c>
      <c r="B64" s="75"/>
      <c r="C64" s="75"/>
      <c r="D64" s="75"/>
      <c r="E64" s="75"/>
      <c r="F64" s="75"/>
      <c r="K64" s="74" t="s">
        <v>2859</v>
      </c>
    </row>
    <row r="65" spans="1:42" ht="12.75" customHeight="1" x14ac:dyDescent="0.15">
      <c r="A65" s="74" t="s">
        <v>3079</v>
      </c>
      <c r="B65" s="75"/>
      <c r="C65" s="75"/>
      <c r="D65" s="75"/>
      <c r="E65" s="75"/>
      <c r="F65" s="75"/>
      <c r="K65" s="74" t="s">
        <v>3079</v>
      </c>
    </row>
    <row r="66" spans="1:42" ht="12.75" customHeight="1" x14ac:dyDescent="0.15">
      <c r="A66" s="77" t="str">
        <f>CONCATENATE("    q=",TEXT($AB66,"#,##0.0"),", K=",TEXT($AF66,"#,##0.0"),", f = 0.875/1.25 = ",TEXT($AN66,"#,##0.00"))</f>
        <v xml:space="preserve">    q=0.6, K=1.1, f = 0.875/1.25 = 0.70</v>
      </c>
      <c r="B66" s="75">
        <f>SUM($C66,$D66,$E66)</f>
        <v>0</v>
      </c>
      <c r="C66" s="75"/>
      <c r="D66" s="75"/>
      <c r="E66" s="75"/>
      <c r="F66" s="75"/>
      <c r="K66" s="77" t="str">
        <f>SUBSTITUTE(SUBSTITUTE(SUBSTITUTE("    q = 0.6, K = 1.1, f = 0.875/1.25 = ?","0.6",TEXT($AB66,"#,##0.0"),1),"1.1",TEXT($AF66,"#,##0.0"),1),"_x001D_","'")</f>
        <v xml:space="preserve">    q = 0.6, K = 1.1, f = 0.875/1.25 = ?</v>
      </c>
      <c r="AA66" s="78" t="s">
        <v>1972</v>
      </c>
      <c r="AB66" s="79">
        <v>0.6</v>
      </c>
      <c r="AC66" s="78" t="s">
        <v>1972</v>
      </c>
      <c r="AD66" s="68">
        <f t="shared" ref="AD66:AD71" si="0">$AB66</f>
        <v>0.6</v>
      </c>
      <c r="AE66" s="78" t="s">
        <v>806</v>
      </c>
      <c r="AF66" s="79">
        <v>1.1000000000000001</v>
      </c>
      <c r="AG66" s="78" t="s">
        <v>806</v>
      </c>
      <c r="AH66" s="68">
        <f t="shared" ref="AH66:AH71" si="1">$AF66</f>
        <v>1.1000000000000001</v>
      </c>
      <c r="AI66" s="78" t="s">
        <v>1802</v>
      </c>
      <c r="AJ66" s="72">
        <f>ROUND(0.875/1.25,2)</f>
        <v>0.7</v>
      </c>
      <c r="AK66" s="78" t="s">
        <v>1652</v>
      </c>
      <c r="AL66" s="68">
        <f>$AJ66</f>
        <v>0.7</v>
      </c>
      <c r="AM66" s="78" t="s">
        <v>3080</v>
      </c>
      <c r="AN66" s="72">
        <f>ROUND(0.875/1.25,2)</f>
        <v>0.7</v>
      </c>
      <c r="AO66" s="78" t="s">
        <v>3081</v>
      </c>
      <c r="AP66" s="68">
        <f>$AN66</f>
        <v>0.7</v>
      </c>
    </row>
    <row r="67" spans="1:42" ht="12.75" customHeight="1" x14ac:dyDescent="0.15">
      <c r="A67" s="77" t="str">
        <f>CONCATENATE("    Cm=",TEXT($AB67,"#,##0.00")," (90°) ,E=",TEXT($AF67,"#,##0.00"))</f>
        <v xml:space="preserve">    Cm=18.00 (90°) ,E=0.70</v>
      </c>
      <c r="B67" s="75"/>
      <c r="C67" s="75"/>
      <c r="D67" s="75"/>
      <c r="E67" s="75"/>
      <c r="F67" s="75"/>
      <c r="K67" s="77" t="str">
        <f>SUBSTITUTE(SUBSTITUTE(SUBSTITUTE("    Cm = 18_x001D_(90°)_x001D_,E = 0.70","18",TEXT($AB67,"#,##0"),1),"0.70",TEXT($AF67,"#,##0.00"),1),"_x001D_","'")</f>
        <v xml:space="preserve">    Cm = 18'(90°)',E = 0.70</v>
      </c>
      <c r="AA67" s="78" t="s">
        <v>139</v>
      </c>
      <c r="AB67" s="79">
        <v>18</v>
      </c>
      <c r="AC67" s="78" t="s">
        <v>139</v>
      </c>
      <c r="AD67" s="68">
        <f t="shared" si="0"/>
        <v>18</v>
      </c>
      <c r="AE67" s="78" t="s">
        <v>1383</v>
      </c>
      <c r="AF67" s="79">
        <v>0.7</v>
      </c>
      <c r="AG67" s="78" t="s">
        <v>1383</v>
      </c>
      <c r="AH67" s="68">
        <f t="shared" si="1"/>
        <v>0.7</v>
      </c>
    </row>
    <row r="68" spans="1:42" ht="12.75" customHeight="1" x14ac:dyDescent="0.15">
      <c r="A68" s="77" t="str">
        <f>CONCATENATE("    Q = 3600 * q * f * K * E / Cm = ",TEXT($AF68,"#,##0.00"))</f>
        <v xml:space="preserve">    Q = 3600 * q * f * K * E / Cm = 6,972.50</v>
      </c>
      <c r="B68" s="75">
        <f>SUM($C68,$D68,$E68)</f>
        <v>0</v>
      </c>
      <c r="C68" s="75"/>
      <c r="D68" s="75"/>
      <c r="E68" s="75"/>
      <c r="F68" s="75"/>
      <c r="K68" s="74" t="s">
        <v>3082</v>
      </c>
      <c r="AA68" s="78" t="s">
        <v>504</v>
      </c>
      <c r="AB68" s="72">
        <f>ROUND(3600*$AD66*$AL66*$AH66*$AH67/$AD67,2)</f>
        <v>64.680000000000007</v>
      </c>
      <c r="AC68" s="78" t="s">
        <v>1972</v>
      </c>
      <c r="AD68" s="68">
        <f t="shared" si="0"/>
        <v>64.680000000000007</v>
      </c>
      <c r="AE68" s="78" t="s">
        <v>3083</v>
      </c>
      <c r="AF68" s="72">
        <f>ROUND(3600*$AD68*$AL66*$AH66*$AH67/$AD67,2)</f>
        <v>6972.5</v>
      </c>
      <c r="AG68" s="78" t="s">
        <v>3084</v>
      </c>
      <c r="AH68" s="68">
        <f t="shared" si="1"/>
        <v>6972.5</v>
      </c>
    </row>
    <row r="69" spans="1:42" ht="12.75" customHeight="1" x14ac:dyDescent="0.15">
      <c r="A69" s="77" t="str">
        <f>CONCATENATE("  노무비 : ",TEXT($AB69,"#,##0.00")," / Q * 0.9 = ",TEXT($AF69,"#,##0.00"))</f>
        <v xml:space="preserve">  노무비 : 55,700.00 / Q * 0.9 = 775.00</v>
      </c>
      <c r="B69" s="75">
        <f>SUM($C69,$D69,$E69)</f>
        <v>775</v>
      </c>
      <c r="C69" s="75"/>
      <c r="D69" s="75">
        <f>$AF69</f>
        <v>775</v>
      </c>
      <c r="E69" s="75"/>
      <c r="F69" s="75"/>
      <c r="K69" s="74" t="s">
        <v>3085</v>
      </c>
      <c r="AA69" s="78" t="s">
        <v>3086</v>
      </c>
      <c r="AB69" s="72">
        <f>[4]중기사용료목록!F3</f>
        <v>55700</v>
      </c>
      <c r="AC69" s="78" t="s">
        <v>3087</v>
      </c>
      <c r="AD69" s="68">
        <f t="shared" si="0"/>
        <v>55700</v>
      </c>
      <c r="AE69" s="71" t="s">
        <v>287</v>
      </c>
      <c r="AF69" s="72">
        <f>TRUNC($AD69/$AD68*0.9,0)</f>
        <v>775</v>
      </c>
      <c r="AG69" s="71" t="s">
        <v>1141</v>
      </c>
      <c r="AH69" s="68">
        <f t="shared" si="1"/>
        <v>775</v>
      </c>
    </row>
    <row r="70" spans="1:42" ht="12.75" customHeight="1" x14ac:dyDescent="0.15">
      <c r="A70" s="77" t="str">
        <f>CONCATENATE("  재료비 : ",TEXT($AB70,"#,##0.00")," / Q * 0.9 = ",TEXT($AF70,"#,##0.00"))</f>
        <v xml:space="preserve">  재료비 : 16,824.00 / Q * 0.9 = 234.00</v>
      </c>
      <c r="B70" s="75">
        <f>SUM($C70,$D70,$E70)</f>
        <v>234</v>
      </c>
      <c r="C70" s="75">
        <f>$AF70</f>
        <v>234</v>
      </c>
      <c r="D70" s="75"/>
      <c r="E70" s="75"/>
      <c r="F70" s="75"/>
      <c r="K70" s="74" t="s">
        <v>3088</v>
      </c>
      <c r="AA70" s="78" t="s">
        <v>3089</v>
      </c>
      <c r="AB70" s="72">
        <f>[4]중기사용료목록!E3</f>
        <v>16824</v>
      </c>
      <c r="AC70" s="78" t="s">
        <v>3090</v>
      </c>
      <c r="AD70" s="68">
        <f t="shared" si="0"/>
        <v>16824</v>
      </c>
      <c r="AE70" s="71" t="s">
        <v>2113</v>
      </c>
      <c r="AF70" s="72">
        <f>TRUNC($AD70/$AD68*0.9,0)</f>
        <v>234</v>
      </c>
      <c r="AG70" s="71" t="s">
        <v>2372</v>
      </c>
      <c r="AH70" s="68">
        <f t="shared" si="1"/>
        <v>234</v>
      </c>
    </row>
    <row r="71" spans="1:42" ht="12.75" customHeight="1" x14ac:dyDescent="0.15">
      <c r="A71" s="77" t="str">
        <f>CONCATENATE("  경  비 : ",TEXT($AB71,"#,##0.00")," / Q * 0.9 = ",TEXT($AF71,"#,##0.00"))</f>
        <v xml:space="preserve">  경  비 : 21,957.00 / Q * 0.9 = 305.00</v>
      </c>
      <c r="B71" s="75">
        <f>SUM($C71,$D71,$E71)</f>
        <v>305</v>
      </c>
      <c r="C71" s="75"/>
      <c r="D71" s="75"/>
      <c r="E71" s="75">
        <f>$AF71</f>
        <v>305</v>
      </c>
      <c r="F71" s="75"/>
      <c r="K71" s="74" t="s">
        <v>3091</v>
      </c>
      <c r="AA71" s="78" t="s">
        <v>3092</v>
      </c>
      <c r="AB71" s="72">
        <f>[4]중기사용료목록!G3</f>
        <v>21957</v>
      </c>
      <c r="AC71" s="78" t="s">
        <v>3093</v>
      </c>
      <c r="AD71" s="68">
        <f t="shared" si="0"/>
        <v>21957</v>
      </c>
      <c r="AE71" s="71" t="s">
        <v>907</v>
      </c>
      <c r="AF71" s="72">
        <f>TRUNC($AD71/$AD68*0.9,0)</f>
        <v>305</v>
      </c>
      <c r="AG71" s="71" t="s">
        <v>1545</v>
      </c>
      <c r="AH71" s="68">
        <f t="shared" si="1"/>
        <v>305</v>
      </c>
    </row>
    <row r="72" spans="1:42" ht="12.75" customHeight="1" x14ac:dyDescent="0.15">
      <c r="A72" s="74" t="s">
        <v>3094</v>
      </c>
      <c r="B72" s="80">
        <f>SUM($C72,$D72,$E72)</f>
        <v>1314</v>
      </c>
      <c r="C72" s="80">
        <f>$AB72</f>
        <v>234</v>
      </c>
      <c r="D72" s="80">
        <f>$AD72</f>
        <v>775</v>
      </c>
      <c r="E72" s="80">
        <f>$AF72</f>
        <v>305</v>
      </c>
      <c r="F72" s="80"/>
      <c r="K72" s="74" t="s">
        <v>3095</v>
      </c>
      <c r="AA72" s="78" t="s">
        <v>2032</v>
      </c>
      <c r="AB72" s="68">
        <f>$AH70</f>
        <v>234</v>
      </c>
      <c r="AC72" s="78" t="s">
        <v>72</v>
      </c>
      <c r="AD72" s="68">
        <f>$AH69</f>
        <v>775</v>
      </c>
      <c r="AE72" s="78" t="s">
        <v>2609</v>
      </c>
      <c r="AF72" s="68">
        <f>$AH71</f>
        <v>305</v>
      </c>
    </row>
    <row r="73" spans="1:42" ht="12.75" customHeight="1" x14ac:dyDescent="0.15">
      <c r="A73" s="74" t="s">
        <v>2859</v>
      </c>
      <c r="B73" s="75"/>
      <c r="C73" s="75"/>
      <c r="D73" s="75"/>
      <c r="E73" s="75"/>
      <c r="F73" s="75"/>
      <c r="K73" s="74" t="s">
        <v>2859</v>
      </c>
    </row>
    <row r="74" spans="1:42" ht="12.75" customHeight="1" x14ac:dyDescent="0.15">
      <c r="A74" s="74" t="s">
        <v>3096</v>
      </c>
      <c r="B74" s="75"/>
      <c r="C74" s="75"/>
      <c r="D74" s="75"/>
      <c r="E74" s="75"/>
      <c r="F74" s="75"/>
      <c r="K74" s="74" t="s">
        <v>3097</v>
      </c>
    </row>
    <row r="75" spans="1:42" ht="12.75" customHeight="1" x14ac:dyDescent="0.15">
      <c r="A75" s="77" t="str">
        <f>CONCATENATE("   보통인부  ",TEXT($AB75,"#,##0.00"),"  * 0.1 * 0.1 = ",TEXT($AF75,"#,##0.00"))</f>
        <v xml:space="preserve">   보통인부  165,545.00  * 0.1 * 0.1 = 1,655.00</v>
      </c>
      <c r="B75" s="75">
        <f>SUM($C75,$D75,$E75)</f>
        <v>1655</v>
      </c>
      <c r="C75" s="75"/>
      <c r="D75" s="75">
        <f>$AF75</f>
        <v>1655</v>
      </c>
      <c r="E75" s="75"/>
      <c r="F75" s="75"/>
      <c r="K75" s="74" t="s">
        <v>3098</v>
      </c>
      <c r="AA75" s="78" t="s">
        <v>3099</v>
      </c>
      <c r="AB75" s="72">
        <f>([4]노임!D4*[4]전역변수!C34)</f>
        <v>165545</v>
      </c>
      <c r="AC75" s="78" t="s">
        <v>3100</v>
      </c>
      <c r="AD75" s="68">
        <f>$AB75</f>
        <v>165545</v>
      </c>
      <c r="AE75" s="71" t="s">
        <v>287</v>
      </c>
      <c r="AF75" s="72">
        <f>TRUNC($AD75*0.1*0.1,0)</f>
        <v>1655</v>
      </c>
      <c r="AG75" s="71" t="s">
        <v>1141</v>
      </c>
      <c r="AH75" s="68">
        <f>$AH69+$AF75</f>
        <v>2430</v>
      </c>
    </row>
    <row r="76" spans="1:42" ht="12.75" customHeight="1" x14ac:dyDescent="0.15">
      <c r="A76" s="74" t="s">
        <v>3094</v>
      </c>
      <c r="B76" s="80">
        <f>SUM($C76,$D76,$E76)</f>
        <v>1655</v>
      </c>
      <c r="C76" s="80">
        <f>$AB76</f>
        <v>0</v>
      </c>
      <c r="D76" s="80">
        <f>$AD76</f>
        <v>1655</v>
      </c>
      <c r="E76" s="80">
        <f>$AF76</f>
        <v>0</v>
      </c>
      <c r="F76" s="80"/>
      <c r="K76" s="74" t="s">
        <v>3095</v>
      </c>
      <c r="AA76" s="78" t="s">
        <v>2032</v>
      </c>
      <c r="AB76" s="68">
        <f>$AH70-$AH70</f>
        <v>0</v>
      </c>
      <c r="AC76" s="78" t="s">
        <v>72</v>
      </c>
      <c r="AD76" s="68">
        <f>$AH75-$AH69</f>
        <v>1655</v>
      </c>
      <c r="AE76" s="78" t="s">
        <v>2609</v>
      </c>
      <c r="AF76" s="68">
        <f>$AH71-$AH71</f>
        <v>0</v>
      </c>
    </row>
    <row r="77" spans="1:42" ht="12.75" customHeight="1" x14ac:dyDescent="0.15">
      <c r="A77" s="74" t="s">
        <v>2859</v>
      </c>
      <c r="B77" s="75"/>
      <c r="C77" s="75"/>
      <c r="D77" s="75"/>
      <c r="E77" s="75"/>
      <c r="F77" s="75"/>
      <c r="K77" s="74" t="s">
        <v>2859</v>
      </c>
    </row>
    <row r="78" spans="1:42" ht="12.75" customHeight="1" x14ac:dyDescent="0.15">
      <c r="A78" s="74" t="s">
        <v>704</v>
      </c>
      <c r="B78" s="81">
        <f>SUM($C78,$D78,$E78)</f>
        <v>2969</v>
      </c>
      <c r="C78" s="81">
        <f>$AB78</f>
        <v>234</v>
      </c>
      <c r="D78" s="81">
        <f>$AD78</f>
        <v>2430</v>
      </c>
      <c r="E78" s="81">
        <f>$AF78</f>
        <v>305</v>
      </c>
      <c r="F78" s="81"/>
      <c r="K78" s="74" t="s">
        <v>3101</v>
      </c>
      <c r="AA78" s="78" t="s">
        <v>1148</v>
      </c>
      <c r="AB78" s="68">
        <f>$AH70</f>
        <v>234</v>
      </c>
      <c r="AC78" s="78" t="s">
        <v>2379</v>
      </c>
      <c r="AD78" s="68">
        <f>$AH75</f>
        <v>2430</v>
      </c>
      <c r="AE78" s="78" t="s">
        <v>628</v>
      </c>
      <c r="AF78" s="68">
        <f>$AH71</f>
        <v>305</v>
      </c>
    </row>
    <row r="79" spans="1:42" ht="12.75" customHeight="1" x14ac:dyDescent="0.15">
      <c r="A79" s="74" t="s">
        <v>2859</v>
      </c>
      <c r="B79" s="75"/>
      <c r="C79" s="75"/>
      <c r="D79" s="75"/>
      <c r="E79" s="75"/>
      <c r="F79" s="75"/>
      <c r="K79" s="74" t="s">
        <v>2859</v>
      </c>
    </row>
    <row r="80" spans="1:42" ht="12.75" customHeight="1" x14ac:dyDescent="0.15">
      <c r="A80" s="74" t="s">
        <v>3102</v>
      </c>
      <c r="B80" s="75"/>
      <c r="C80" s="75"/>
      <c r="D80" s="75"/>
      <c r="E80" s="75"/>
      <c r="F80" s="75"/>
      <c r="K80" s="74" t="s">
        <v>3102</v>
      </c>
    </row>
    <row r="81" spans="1:54" ht="12.75" customHeight="1" x14ac:dyDescent="0.15">
      <c r="A81" s="74" t="s">
        <v>2859</v>
      </c>
      <c r="B81" s="75"/>
      <c r="C81" s="75"/>
      <c r="D81" s="75"/>
      <c r="E81" s="75"/>
      <c r="F81" s="75"/>
      <c r="K81" s="74" t="s">
        <v>2859</v>
      </c>
    </row>
    <row r="82" spans="1:54" ht="12.75" customHeight="1" x14ac:dyDescent="0.15">
      <c r="A82" s="77" t="str">
        <f>CONCATENATE("    V=",TEXT($AB82,"#,##0.00")," Km/hr , W=",TEXT($AF82,"#,##0.00")," m , E=",TEXT($AJ82,"#,##0.0"),", N=",TEXT($AN82,"#,##0.00"),", D=",TEXT($AR82,"#,##0.0"),", f=1/1=",TEXT($AZ82,"#,##0.00"))</f>
        <v xml:space="preserve">    V=1.00 Km/hr , W=0.45 m , E=0.6, N=3.00, D=0.1, f=1/1=1.00</v>
      </c>
      <c r="B82" s="75">
        <f t="shared" ref="B82:B87" si="2">SUM($C82,$D82,$E82)</f>
        <v>0</v>
      </c>
      <c r="C82" s="75"/>
      <c r="D82" s="75"/>
      <c r="E82" s="75"/>
      <c r="F82" s="75"/>
      <c r="K82" s="77" t="str">
        <f>SUBSTITUTE(SUBSTITUTE(SUBSTITUTE(SUBSTITUTE(SUBSTITUTE(SUBSTITUTE("    V=1_x001D_Km/hr_x001D_, W=0.45_x001D_m_x001D_, E=0.6, N=3, D=0.1, f=1/1=?","1",TEXT($AB82,"#,##0"),1),"0.45",TEXT($AF82,"#,##0.00"),1),"0.6",TEXT($AJ82,"#,##0.0"),1),"3",TEXT($AN82,"#,##0"),1),"0.1",TEXT($AR82,"#,##0.0"),1),"_x001D_","'")</f>
        <v xml:space="preserve">    V=1'Km/hr', W=0.45'm', E=0.6, N=3, D=0.1, f=1/1=?</v>
      </c>
      <c r="AA82" s="78" t="s">
        <v>120</v>
      </c>
      <c r="AB82" s="79">
        <v>1</v>
      </c>
      <c r="AC82" s="78" t="s">
        <v>120</v>
      </c>
      <c r="AD82" s="68">
        <f>$AB82</f>
        <v>1</v>
      </c>
      <c r="AE82" s="78" t="s">
        <v>1242</v>
      </c>
      <c r="AF82" s="79">
        <v>0.45</v>
      </c>
      <c r="AG82" s="78" t="s">
        <v>1242</v>
      </c>
      <c r="AH82" s="68">
        <f>$AF82</f>
        <v>0.45</v>
      </c>
      <c r="AI82" s="78" t="s">
        <v>1383</v>
      </c>
      <c r="AJ82" s="79">
        <v>0.6</v>
      </c>
      <c r="AK82" s="78" t="s">
        <v>1383</v>
      </c>
      <c r="AL82" s="68">
        <f>$AJ82</f>
        <v>0.6</v>
      </c>
      <c r="AM82" s="78" t="s">
        <v>1395</v>
      </c>
      <c r="AN82" s="79">
        <v>3</v>
      </c>
      <c r="AO82" s="78" t="s">
        <v>1395</v>
      </c>
      <c r="AP82" s="68">
        <f>$AN82</f>
        <v>3</v>
      </c>
      <c r="AQ82" s="78" t="s">
        <v>333</v>
      </c>
      <c r="AR82" s="79">
        <v>0.1</v>
      </c>
      <c r="AS82" s="78" t="s">
        <v>333</v>
      </c>
      <c r="AT82" s="68">
        <f>$AR82</f>
        <v>0.1</v>
      </c>
      <c r="AU82" s="78" t="s">
        <v>1802</v>
      </c>
      <c r="AV82" s="72">
        <f>ROUND(1/1,2)</f>
        <v>1</v>
      </c>
      <c r="AW82" s="78" t="s">
        <v>1652</v>
      </c>
      <c r="AX82" s="68">
        <f>$AV82</f>
        <v>1</v>
      </c>
      <c r="AY82" s="78" t="s">
        <v>3103</v>
      </c>
      <c r="AZ82" s="72">
        <f>ROUND(1/1,2)</f>
        <v>1</v>
      </c>
      <c r="BA82" s="78" t="s">
        <v>3104</v>
      </c>
      <c r="BB82" s="68">
        <f>$AZ82</f>
        <v>1</v>
      </c>
    </row>
    <row r="83" spans="1:54" ht="12.75" customHeight="1" x14ac:dyDescent="0.15">
      <c r="A83" s="77" t="str">
        <f>CONCATENATE("    Q = (1000*V*W*D*E)*f/N =",TEXT($AF83,"#,##0.00"),"  ㎥/HR ")</f>
        <v xml:space="preserve">    Q = (1000*V*W*D*E)*f/N =9.00  ㎥/HR </v>
      </c>
      <c r="B83" s="75">
        <f t="shared" si="2"/>
        <v>0</v>
      </c>
      <c r="C83" s="75"/>
      <c r="D83" s="75"/>
      <c r="E83" s="75"/>
      <c r="F83" s="75"/>
      <c r="K83" s="74" t="s">
        <v>3105</v>
      </c>
      <c r="AA83" s="78" t="s">
        <v>504</v>
      </c>
      <c r="AB83" s="72">
        <f>ROUND((1000*$AD82*$AH82*$AT82*$AL82)*$AX82/$AP82,2)</f>
        <v>9</v>
      </c>
      <c r="AC83" s="78" t="s">
        <v>1972</v>
      </c>
      <c r="AD83" s="68">
        <f>$AB83</f>
        <v>9</v>
      </c>
      <c r="AE83" s="78" t="s">
        <v>3106</v>
      </c>
      <c r="AF83" s="72">
        <f>ROUND((1000*$AD82*$AH82*$AT82*$AL82)*$AX82/$AP82,2)</f>
        <v>9</v>
      </c>
      <c r="AG83" s="78" t="s">
        <v>3107</v>
      </c>
      <c r="AH83" s="68">
        <f>$AF83</f>
        <v>9</v>
      </c>
    </row>
    <row r="84" spans="1:54" ht="12.75" customHeight="1" x14ac:dyDescent="0.15">
      <c r="A84" s="77" t="str">
        <f>CONCATENATE("   노무비 : ",TEXT($AB84,"#,##0.00")," / Q  = ",TEXT($AF84,"#,##0.00"))</f>
        <v xml:space="preserve">   노무비 : 33,571.00 / Q  = 3,730.00</v>
      </c>
      <c r="B84" s="75">
        <f t="shared" si="2"/>
        <v>3730</v>
      </c>
      <c r="C84" s="75"/>
      <c r="D84" s="75">
        <f>$AF84</f>
        <v>3730</v>
      </c>
      <c r="E84" s="75"/>
      <c r="F84" s="75"/>
      <c r="K84" s="74" t="s">
        <v>3108</v>
      </c>
      <c r="AA84" s="78" t="s">
        <v>3109</v>
      </c>
      <c r="AB84" s="72">
        <f>[4]중기사용료목록!F5</f>
        <v>33571</v>
      </c>
      <c r="AC84" s="78" t="s">
        <v>3110</v>
      </c>
      <c r="AD84" s="68">
        <f>$AB84</f>
        <v>33571</v>
      </c>
      <c r="AE84" s="71" t="s">
        <v>287</v>
      </c>
      <c r="AF84" s="72">
        <f>TRUNC($AD84/$AD83,0)</f>
        <v>3730</v>
      </c>
      <c r="AG84" s="71" t="s">
        <v>1141</v>
      </c>
      <c r="AH84" s="68">
        <f>$AH75+$AF84</f>
        <v>6160</v>
      </c>
    </row>
    <row r="85" spans="1:54" ht="12.75" customHeight="1" x14ac:dyDescent="0.15">
      <c r="A85" s="77" t="str">
        <f>CONCATENATE("   재료비 : ",TEXT($AB85,"#,##0.00")," / Q  = ",TEXT($AF85,"#,##0.00"))</f>
        <v xml:space="preserve">   재료비 : 1,862.00 / Q  = 206.00</v>
      </c>
      <c r="B85" s="75">
        <f t="shared" si="2"/>
        <v>206</v>
      </c>
      <c r="C85" s="75">
        <f>$AF85</f>
        <v>206</v>
      </c>
      <c r="D85" s="75"/>
      <c r="E85" s="75"/>
      <c r="F85" s="75"/>
      <c r="K85" s="74" t="s">
        <v>3111</v>
      </c>
      <c r="AA85" s="78" t="s">
        <v>3112</v>
      </c>
      <c r="AB85" s="72">
        <f>[4]중기사용료목록!E5</f>
        <v>1862</v>
      </c>
      <c r="AC85" s="78" t="s">
        <v>3113</v>
      </c>
      <c r="AD85" s="68">
        <f>$AB85</f>
        <v>1862</v>
      </c>
      <c r="AE85" s="71" t="s">
        <v>2113</v>
      </c>
      <c r="AF85" s="72">
        <f>TRUNC($AD85/$AD83,0)</f>
        <v>206</v>
      </c>
      <c r="AG85" s="71" t="s">
        <v>2372</v>
      </c>
      <c r="AH85" s="68">
        <f>$AH70+$AF85</f>
        <v>440</v>
      </c>
    </row>
    <row r="86" spans="1:54" ht="12.75" customHeight="1" x14ac:dyDescent="0.15">
      <c r="A86" s="77" t="str">
        <f>CONCATENATE("   경  비 : ",TEXT($AB86,"#,##0.00")," / Q  = ",TEXT($AF86,"#,##0.00"))</f>
        <v xml:space="preserve">   경  비 : 750.00 / Q  = 83.00</v>
      </c>
      <c r="B86" s="75">
        <f t="shared" si="2"/>
        <v>83</v>
      </c>
      <c r="C86" s="75"/>
      <c r="D86" s="75"/>
      <c r="E86" s="75">
        <f>$AF86</f>
        <v>83</v>
      </c>
      <c r="F86" s="75"/>
      <c r="K86" s="74" t="s">
        <v>3114</v>
      </c>
      <c r="AA86" s="78" t="s">
        <v>3115</v>
      </c>
      <c r="AB86" s="72">
        <f>[4]중기사용료목록!G5</f>
        <v>750</v>
      </c>
      <c r="AC86" s="78" t="s">
        <v>3116</v>
      </c>
      <c r="AD86" s="68">
        <f>$AB86</f>
        <v>750</v>
      </c>
      <c r="AE86" s="71" t="s">
        <v>907</v>
      </c>
      <c r="AF86" s="72">
        <f>TRUNC($AD86/$AD83,0)</f>
        <v>83</v>
      </c>
      <c r="AG86" s="71" t="s">
        <v>1545</v>
      </c>
      <c r="AH86" s="68">
        <f>$AH71+$AF86</f>
        <v>388</v>
      </c>
    </row>
    <row r="87" spans="1:54" ht="12.75" customHeight="1" x14ac:dyDescent="0.15">
      <c r="A87" s="74" t="s">
        <v>704</v>
      </c>
      <c r="B87" s="81">
        <f t="shared" si="2"/>
        <v>4019</v>
      </c>
      <c r="C87" s="81">
        <f>$AB87</f>
        <v>206</v>
      </c>
      <c r="D87" s="81">
        <f>$AD87</f>
        <v>3730</v>
      </c>
      <c r="E87" s="81">
        <f>$AF87</f>
        <v>83</v>
      </c>
      <c r="F87" s="81"/>
      <c r="K87" s="74" t="s">
        <v>3101</v>
      </c>
      <c r="AA87" s="78" t="s">
        <v>1148</v>
      </c>
      <c r="AB87" s="68">
        <f>$AH85-$AH70</f>
        <v>206</v>
      </c>
      <c r="AC87" s="78" t="s">
        <v>2379</v>
      </c>
      <c r="AD87" s="68">
        <f>$AH84-$AH75</f>
        <v>3730</v>
      </c>
      <c r="AE87" s="78" t="s">
        <v>628</v>
      </c>
      <c r="AF87" s="68">
        <f>$AH86-$AH71</f>
        <v>83</v>
      </c>
    </row>
    <row r="88" spans="1:54" ht="12.75" customHeight="1" x14ac:dyDescent="0.15">
      <c r="A88" s="74" t="s">
        <v>2859</v>
      </c>
      <c r="B88" s="75"/>
      <c r="C88" s="75"/>
      <c r="D88" s="75"/>
      <c r="E88" s="75"/>
      <c r="F88" s="75"/>
      <c r="K88" s="74" t="s">
        <v>2859</v>
      </c>
    </row>
    <row r="89" spans="1:54" ht="12.75" customHeight="1" thickBot="1" x14ac:dyDescent="0.2">
      <c r="A89" s="74" t="s">
        <v>3117</v>
      </c>
      <c r="B89" s="76">
        <f>SUM($C89,$D89,$E89)</f>
        <v>6988</v>
      </c>
      <c r="C89" s="76">
        <f>$AB89</f>
        <v>440</v>
      </c>
      <c r="D89" s="76">
        <f>$AD89</f>
        <v>6160</v>
      </c>
      <c r="E89" s="76">
        <f>$AF89</f>
        <v>388</v>
      </c>
      <c r="F89" s="76"/>
      <c r="K89" s="74" t="s">
        <v>3118</v>
      </c>
      <c r="AA89" s="78" t="s">
        <v>3119</v>
      </c>
      <c r="AB89" s="68">
        <f>$AH85</f>
        <v>440</v>
      </c>
      <c r="AC89" s="78" t="s">
        <v>3120</v>
      </c>
      <c r="AD89" s="68">
        <f>$AH84</f>
        <v>6160</v>
      </c>
      <c r="AE89" s="78" t="s">
        <v>3121</v>
      </c>
      <c r="AF89" s="68">
        <f>$AH86</f>
        <v>388</v>
      </c>
    </row>
    <row r="90" spans="1:54" ht="12.75" customHeight="1" x14ac:dyDescent="0.15">
      <c r="A90" s="74"/>
      <c r="B90" s="74"/>
      <c r="C90" s="74"/>
      <c r="D90" s="74"/>
      <c r="E90" s="74"/>
      <c r="F90" s="74"/>
    </row>
    <row r="91" spans="1:54" ht="12.75" customHeight="1" thickBot="1" x14ac:dyDescent="0.2">
      <c r="A91" s="82" t="s">
        <v>1643</v>
      </c>
      <c r="B91" s="76">
        <f>SUM($C91,$D91,$E91)</f>
        <v>6988</v>
      </c>
      <c r="C91" s="76">
        <f>TRUNC(SUM($AH85),0)</f>
        <v>440</v>
      </c>
      <c r="D91" s="76">
        <f>TRUNC(SUM($AH84),0)</f>
        <v>6160</v>
      </c>
      <c r="E91" s="76">
        <f>TRUNC(SUM($AH86),0)</f>
        <v>388</v>
      </c>
      <c r="F91" s="82"/>
    </row>
    <row r="92" spans="1:54" ht="12.75" customHeight="1" x14ac:dyDescent="0.15">
      <c r="A92" s="74"/>
      <c r="B92" s="74"/>
      <c r="C92" s="74"/>
      <c r="D92" s="74"/>
      <c r="E92" s="74"/>
      <c r="F92" s="74"/>
    </row>
    <row r="93" spans="1:54" ht="12.75" customHeight="1" thickBot="1" x14ac:dyDescent="0.2">
      <c r="A93" s="74" t="s">
        <v>3122</v>
      </c>
      <c r="B93" s="75">
        <f>$B127</f>
        <v>10702</v>
      </c>
      <c r="C93" s="75">
        <f>$C127</f>
        <v>1075</v>
      </c>
      <c r="D93" s="75">
        <f>$D127</f>
        <v>8587</v>
      </c>
      <c r="E93" s="75">
        <f>$E127</f>
        <v>1040</v>
      </c>
      <c r="F93" s="74" t="s">
        <v>2859</v>
      </c>
      <c r="G93" s="64" t="s">
        <v>2859</v>
      </c>
      <c r="H93" s="64" t="s">
        <v>3000</v>
      </c>
      <c r="K93" s="64">
        <v>1</v>
      </c>
      <c r="Y93" s="68" t="b">
        <f>EXACT($Z93,$B127)</f>
        <v>0</v>
      </c>
      <c r="Z93" s="76">
        <v>10643</v>
      </c>
    </row>
    <row r="94" spans="1:54" ht="12.75" customHeight="1" x14ac:dyDescent="0.15">
      <c r="A94" s="140"/>
      <c r="B94" s="74"/>
      <c r="C94" s="74"/>
      <c r="D94" s="74"/>
      <c r="E94" s="74"/>
      <c r="F94" s="74"/>
    </row>
    <row r="95" spans="1:54" ht="12.75" customHeight="1" x14ac:dyDescent="0.15">
      <c r="A95" s="74" t="s">
        <v>2859</v>
      </c>
      <c r="B95" s="74"/>
      <c r="C95" s="74"/>
      <c r="D95" s="74"/>
      <c r="E95" s="74"/>
      <c r="F95" s="74"/>
      <c r="G95" s="64" t="s">
        <v>2859</v>
      </c>
      <c r="I95" s="64" t="s">
        <v>322</v>
      </c>
      <c r="J95" s="64" t="s">
        <v>2859</v>
      </c>
      <c r="K95" s="64" t="s">
        <v>2417</v>
      </c>
    </row>
    <row r="96" spans="1:54" ht="12.75" customHeight="1" x14ac:dyDescent="0.15">
      <c r="A96" s="74" t="s">
        <v>3123</v>
      </c>
      <c r="B96" s="75"/>
      <c r="C96" s="75"/>
      <c r="D96" s="75"/>
      <c r="E96" s="75"/>
      <c r="F96" s="75"/>
      <c r="K96" s="74" t="s">
        <v>3124</v>
      </c>
    </row>
    <row r="97" spans="1:46" ht="12.75" customHeight="1" x14ac:dyDescent="0.15">
      <c r="A97" s="74" t="s">
        <v>3125</v>
      </c>
      <c r="B97" s="75"/>
      <c r="C97" s="75"/>
      <c r="D97" s="75"/>
      <c r="E97" s="75"/>
      <c r="F97" s="75"/>
      <c r="K97" s="74" t="s">
        <v>3126</v>
      </c>
    </row>
    <row r="98" spans="1:46" ht="12.75" customHeight="1" x14ac:dyDescent="0.15">
      <c r="A98" s="74" t="s">
        <v>2859</v>
      </c>
      <c r="B98" s="75"/>
      <c r="C98" s="75"/>
      <c r="D98" s="75"/>
      <c r="E98" s="75"/>
      <c r="F98" s="75"/>
      <c r="K98" s="74" t="s">
        <v>2859</v>
      </c>
    </row>
    <row r="99" spans="1:46" ht="12.75" customHeight="1" x14ac:dyDescent="0.15">
      <c r="A99" s="74" t="s">
        <v>3127</v>
      </c>
      <c r="B99" s="75"/>
      <c r="C99" s="75"/>
      <c r="D99" s="75"/>
      <c r="E99" s="75"/>
      <c r="F99" s="75"/>
      <c r="K99" s="74" t="s">
        <v>3128</v>
      </c>
    </row>
    <row r="100" spans="1:46" ht="12.75" customHeight="1" x14ac:dyDescent="0.15">
      <c r="A100" s="77" t="str">
        <f>CONCATENATE(" SQ=",TEXT($AB100,"#,##0.0"),", K=",TEXT($AF100,"#,##0.00")," ,  L=",TEXT($AJ100,"#,##0.00"),", F = 0.875/L = ",TEXT($AR100,"#,##0.00"))</f>
        <v xml:space="preserve"> SQ=0.6, K=0.55 ,  L=1.25, F = 0.875/L = 0.70</v>
      </c>
      <c r="B100" s="75">
        <f>SUM($C100,$D100,$E100)</f>
        <v>0</v>
      </c>
      <c r="C100" s="75"/>
      <c r="D100" s="75"/>
      <c r="E100" s="75"/>
      <c r="F100" s="75"/>
      <c r="K100" s="77" t="str">
        <f>SUBSTITUTE(SUBSTITUTE(SUBSTITUTE(SUBSTITUTE(" SQ = 0.6, K = 0.55 ,  L =1.25, F = 0.875/L = ?","0.6",TEXT($AB100,"#,##0.0"),1),"0.55",TEXT($AF100,"#,##0.00"),1),"1.25",TEXT($AJ100,"#,##0.00"),1),"_x001D_","'")</f>
        <v xml:space="preserve"> SQ = 0.6, K = 0.55 ,  L =1.25, F = 0.875/L = ?</v>
      </c>
      <c r="AA100" s="78" t="s">
        <v>3129</v>
      </c>
      <c r="AB100" s="79">
        <v>0.6</v>
      </c>
      <c r="AC100" s="78" t="s">
        <v>3129</v>
      </c>
      <c r="AD100" s="68">
        <f>$AB100</f>
        <v>0.6</v>
      </c>
      <c r="AE100" s="78" t="s">
        <v>806</v>
      </c>
      <c r="AF100" s="79">
        <v>0.55000000000000004</v>
      </c>
      <c r="AG100" s="78" t="s">
        <v>806</v>
      </c>
      <c r="AH100" s="68">
        <f>$AF100</f>
        <v>0.55000000000000004</v>
      </c>
      <c r="AI100" s="78" t="s">
        <v>2704</v>
      </c>
      <c r="AJ100" s="79">
        <v>1.25</v>
      </c>
      <c r="AK100" s="78" t="s">
        <v>2704</v>
      </c>
      <c r="AL100" s="68">
        <f>$AJ100</f>
        <v>1.25</v>
      </c>
      <c r="AM100" s="78" t="s">
        <v>1802</v>
      </c>
      <c r="AN100" s="72">
        <f>ROUND(0.875/$AL100,2)</f>
        <v>0.7</v>
      </c>
      <c r="AO100" s="78" t="s">
        <v>1652</v>
      </c>
      <c r="AP100" s="68">
        <f>$AN100</f>
        <v>0.7</v>
      </c>
      <c r="AQ100" s="78" t="s">
        <v>3130</v>
      </c>
      <c r="AR100" s="72">
        <f>ROUND(0.875/$AL100,2)</f>
        <v>0.7</v>
      </c>
      <c r="AS100" s="78" t="s">
        <v>3131</v>
      </c>
      <c r="AT100" s="68">
        <f>$AR100</f>
        <v>0.7</v>
      </c>
    </row>
    <row r="101" spans="1:46" ht="12.75" customHeight="1" x14ac:dyDescent="0.15">
      <c r="A101" s="77" t="str">
        <f>CONCATENATE(" E=",TEXT($AB101,"#,##0.00")," , CM=",TEXT($AF101,"#,##0.00"))</f>
        <v xml:space="preserve"> E=0.55 , CM=18.00</v>
      </c>
      <c r="B101" s="75"/>
      <c r="C101" s="75"/>
      <c r="D101" s="75"/>
      <c r="E101" s="75"/>
      <c r="F101" s="75"/>
      <c r="K101" s="77" t="str">
        <f>SUBSTITUTE(SUBSTITUTE(SUBSTITUTE(" E = 0.55 , CM = 18","0.55",TEXT($AB101,"#,##0.00"),1),"18",TEXT($AF101,"#,##0"),1),"_x001D_","'")</f>
        <v xml:space="preserve"> E = 0.55 , CM = 18</v>
      </c>
      <c r="AA101" s="78" t="s">
        <v>1383</v>
      </c>
      <c r="AB101" s="79">
        <v>0.55000000000000004</v>
      </c>
      <c r="AC101" s="78" t="s">
        <v>1383</v>
      </c>
      <c r="AD101" s="68">
        <f>$AB101</f>
        <v>0.55000000000000004</v>
      </c>
      <c r="AE101" s="78" t="s">
        <v>139</v>
      </c>
      <c r="AF101" s="79">
        <v>18</v>
      </c>
      <c r="AG101" s="78" t="s">
        <v>139</v>
      </c>
      <c r="AH101" s="68">
        <f>$AF101</f>
        <v>18</v>
      </c>
    </row>
    <row r="102" spans="1:46" ht="12.75" customHeight="1" x14ac:dyDescent="0.15">
      <c r="A102" s="74" t="s">
        <v>2859</v>
      </c>
      <c r="B102" s="75"/>
      <c r="C102" s="75"/>
      <c r="D102" s="75"/>
      <c r="E102" s="75"/>
      <c r="F102" s="75"/>
      <c r="K102" s="74" t="s">
        <v>2859</v>
      </c>
    </row>
    <row r="103" spans="1:46" ht="12.75" customHeight="1" x14ac:dyDescent="0.15">
      <c r="A103" s="77" t="str">
        <f>CONCATENATE(" Q = 3600*SQ*K*F*E / CM = ",TEXT($AF103,"#,##0.00")," M3/HR ")</f>
        <v xml:space="preserve"> Q = 3600*SQ*K*F*E / CM = 25.41 M3/HR </v>
      </c>
      <c r="B103" s="75">
        <f>SUM($C103,$D103,$E103)</f>
        <v>0</v>
      </c>
      <c r="C103" s="75"/>
      <c r="D103" s="75"/>
      <c r="E103" s="75"/>
      <c r="F103" s="75"/>
      <c r="K103" s="74" t="s">
        <v>3132</v>
      </c>
      <c r="AA103" s="78" t="s">
        <v>504</v>
      </c>
      <c r="AB103" s="72">
        <f>ROUND(3600*$AD100*$AH100*$AP100*$AD101/$AH101,2)</f>
        <v>25.41</v>
      </c>
      <c r="AC103" s="78" t="s">
        <v>1972</v>
      </c>
      <c r="AD103" s="68">
        <f>$AB103</f>
        <v>25.41</v>
      </c>
      <c r="AE103" s="78" t="s">
        <v>2330</v>
      </c>
      <c r="AF103" s="72">
        <f>ROUND(3600*$AD100*$AH100*$AP100*$AD101/$AH101,2)</f>
        <v>25.41</v>
      </c>
      <c r="AG103" s="78" t="s">
        <v>2484</v>
      </c>
      <c r="AH103" s="68">
        <f>$AF103</f>
        <v>25.41</v>
      </c>
    </row>
    <row r="104" spans="1:46" ht="12.75" customHeight="1" x14ac:dyDescent="0.15">
      <c r="A104" s="74" t="s">
        <v>2859</v>
      </c>
      <c r="B104" s="75"/>
      <c r="C104" s="75"/>
      <c r="D104" s="75"/>
      <c r="E104" s="75"/>
      <c r="F104" s="75"/>
      <c r="K104" s="74" t="s">
        <v>2859</v>
      </c>
    </row>
    <row r="105" spans="1:46" ht="12.75" customHeight="1" x14ac:dyDescent="0.15">
      <c r="A105" s="77" t="str">
        <f>CONCATENATE(" 경    비 : ",TEXT($AB105,"#,##0.00")," / Q * 0.9 = ",TEXT($AF105,"#,##0.00"))</f>
        <v xml:space="preserve"> 경    비 : 21,957.00 / Q * 0.9 = 777.00</v>
      </c>
      <c r="B105" s="75">
        <f>SUM($C105,$D105,$E105)</f>
        <v>777</v>
      </c>
      <c r="C105" s="75"/>
      <c r="D105" s="75"/>
      <c r="E105" s="75">
        <f>$AF105</f>
        <v>777</v>
      </c>
      <c r="F105" s="75"/>
      <c r="K105" s="74" t="s">
        <v>3133</v>
      </c>
      <c r="AA105" s="78" t="s">
        <v>1037</v>
      </c>
      <c r="AB105" s="72">
        <f>[4]중기사용료목록!G3</f>
        <v>21957</v>
      </c>
      <c r="AC105" s="78" t="s">
        <v>1020</v>
      </c>
      <c r="AD105" s="68">
        <f>$AB105</f>
        <v>21957</v>
      </c>
      <c r="AE105" s="71" t="s">
        <v>907</v>
      </c>
      <c r="AF105" s="72">
        <f>TRUNC($AD105/$AD103*0.9,0)</f>
        <v>777</v>
      </c>
      <c r="AG105" s="71" t="s">
        <v>1545</v>
      </c>
      <c r="AH105" s="68">
        <f>$AF105</f>
        <v>777</v>
      </c>
    </row>
    <row r="106" spans="1:46" ht="12.75" customHeight="1" x14ac:dyDescent="0.15">
      <c r="A106" s="77" t="str">
        <f>CONCATENATE(" 재 료 비 : ",TEXT($AB106,"#,##0.00")," / Q * 0.9 = ",TEXT($AF106,"#,##0.00"))</f>
        <v xml:space="preserve"> 재 료 비 : 16,824.00 / Q * 0.9 = 595.00</v>
      </c>
      <c r="B106" s="75">
        <f>SUM($C106,$D106,$E106)</f>
        <v>595</v>
      </c>
      <c r="C106" s="75">
        <f>$AF106</f>
        <v>595</v>
      </c>
      <c r="D106" s="75"/>
      <c r="E106" s="75"/>
      <c r="F106" s="75"/>
      <c r="K106" s="74" t="s">
        <v>3134</v>
      </c>
      <c r="AA106" s="78" t="s">
        <v>3135</v>
      </c>
      <c r="AB106" s="72">
        <f>[4]중기사용료목록!E3</f>
        <v>16824</v>
      </c>
      <c r="AC106" s="78" t="s">
        <v>3136</v>
      </c>
      <c r="AD106" s="68">
        <f>$AB106</f>
        <v>16824</v>
      </c>
      <c r="AE106" s="71" t="s">
        <v>2113</v>
      </c>
      <c r="AF106" s="72">
        <f>TRUNC($AD106/$AD103*0.9,0)</f>
        <v>595</v>
      </c>
      <c r="AG106" s="71" t="s">
        <v>2372</v>
      </c>
      <c r="AH106" s="68">
        <f>$AF106</f>
        <v>595</v>
      </c>
    </row>
    <row r="107" spans="1:46" ht="12.75" customHeight="1" x14ac:dyDescent="0.15">
      <c r="A107" s="77" t="str">
        <f>CONCATENATE(" 노 무 비 : ",TEXT($AB107,"#,##0.00")," / Q * 0.9 = ",TEXT($AF107,"#,##0.00"))</f>
        <v xml:space="preserve"> 노 무 비 : 55,700.00 / Q * 0.9 = 1,972.00</v>
      </c>
      <c r="B107" s="75">
        <f>SUM($C107,$D107,$E107)</f>
        <v>1972</v>
      </c>
      <c r="C107" s="75"/>
      <c r="D107" s="75">
        <f>$AF107</f>
        <v>1972</v>
      </c>
      <c r="E107" s="75"/>
      <c r="F107" s="75"/>
      <c r="K107" s="74" t="s">
        <v>3137</v>
      </c>
      <c r="AA107" s="78" t="s">
        <v>3138</v>
      </c>
      <c r="AB107" s="72">
        <f>[4]중기사용료목록!F3</f>
        <v>55700</v>
      </c>
      <c r="AC107" s="78" t="s">
        <v>3139</v>
      </c>
      <c r="AD107" s="68">
        <f>$AB107</f>
        <v>55700</v>
      </c>
      <c r="AE107" s="71" t="s">
        <v>287</v>
      </c>
      <c r="AF107" s="72">
        <f>TRUNC($AD107/$AD103*0.9,0)</f>
        <v>1972</v>
      </c>
      <c r="AG107" s="71" t="s">
        <v>1141</v>
      </c>
      <c r="AH107" s="68">
        <f>$AF107</f>
        <v>1972</v>
      </c>
    </row>
    <row r="108" spans="1:46" ht="12.75" customHeight="1" x14ac:dyDescent="0.15">
      <c r="A108" s="74" t="s">
        <v>3140</v>
      </c>
      <c r="B108" s="80">
        <f>SUM($C108,$D108,$E108)</f>
        <v>3344</v>
      </c>
      <c r="C108" s="80">
        <f>$AB108</f>
        <v>595</v>
      </c>
      <c r="D108" s="80">
        <f>$AD108</f>
        <v>1972</v>
      </c>
      <c r="E108" s="80">
        <f>$AF108</f>
        <v>777</v>
      </c>
      <c r="F108" s="80"/>
      <c r="K108" s="74" t="s">
        <v>3141</v>
      </c>
      <c r="AA108" s="78" t="s">
        <v>2032</v>
      </c>
      <c r="AB108" s="68">
        <f>$AH106</f>
        <v>595</v>
      </c>
      <c r="AC108" s="78" t="s">
        <v>72</v>
      </c>
      <c r="AD108" s="68">
        <f>$AH107</f>
        <v>1972</v>
      </c>
      <c r="AE108" s="78" t="s">
        <v>2609</v>
      </c>
      <c r="AF108" s="68">
        <f>$AH105</f>
        <v>777</v>
      </c>
    </row>
    <row r="109" spans="1:46" ht="12.75" customHeight="1" x14ac:dyDescent="0.15">
      <c r="A109" s="74" t="s">
        <v>2859</v>
      </c>
      <c r="B109" s="75"/>
      <c r="C109" s="75"/>
      <c r="D109" s="75"/>
      <c r="E109" s="75"/>
      <c r="F109" s="75"/>
      <c r="K109" s="74" t="s">
        <v>2859</v>
      </c>
    </row>
    <row r="110" spans="1:46" ht="12.75" customHeight="1" x14ac:dyDescent="0.15">
      <c r="A110" s="74" t="s">
        <v>3142</v>
      </c>
      <c r="B110" s="75"/>
      <c r="C110" s="75"/>
      <c r="D110" s="75"/>
      <c r="E110" s="75"/>
      <c r="F110" s="75"/>
      <c r="K110" s="74" t="s">
        <v>3143</v>
      </c>
    </row>
    <row r="111" spans="1:46" ht="12.75" customHeight="1" x14ac:dyDescent="0.15">
      <c r="A111" s="77" t="str">
        <f>CONCATENATE(TEXT($AB111,"#,##0.00")," * 0.11 * 0.1 = ",TEXT($AF111,"#,##0.00"))</f>
        <v>165,545.00 * 0.11 * 0.1 = 1,820.00</v>
      </c>
      <c r="B111" s="75">
        <f>SUM($C111,$D111,$E111)</f>
        <v>1820</v>
      </c>
      <c r="C111" s="75"/>
      <c r="D111" s="75">
        <f>$AF111</f>
        <v>1820</v>
      </c>
      <c r="E111" s="75"/>
      <c r="F111" s="75"/>
      <c r="K111" s="74" t="s">
        <v>3144</v>
      </c>
      <c r="AA111" s="78" t="s">
        <v>3145</v>
      </c>
      <c r="AB111" s="72">
        <f>([4]노임!D4*[4]전역변수!C34)</f>
        <v>165545</v>
      </c>
      <c r="AC111" s="78" t="s">
        <v>3146</v>
      </c>
      <c r="AD111" s="68">
        <f>$AB111</f>
        <v>165545</v>
      </c>
      <c r="AE111" s="71" t="s">
        <v>287</v>
      </c>
      <c r="AF111" s="72">
        <f>TRUNC($AD111*0.11*0.1,0)</f>
        <v>1820</v>
      </c>
      <c r="AG111" s="71" t="s">
        <v>1141</v>
      </c>
      <c r="AH111" s="68">
        <f>$AH107+$AF111</f>
        <v>3792</v>
      </c>
    </row>
    <row r="112" spans="1:46" ht="12.75" customHeight="1" x14ac:dyDescent="0.15">
      <c r="A112" s="74" t="s">
        <v>3140</v>
      </c>
      <c r="B112" s="80">
        <f>SUM($C112,$D112,$E112)</f>
        <v>1820</v>
      </c>
      <c r="C112" s="80">
        <f>$AB112</f>
        <v>0</v>
      </c>
      <c r="D112" s="80">
        <f>$AD112</f>
        <v>1820</v>
      </c>
      <c r="E112" s="80">
        <f>$AF112</f>
        <v>0</v>
      </c>
      <c r="F112" s="80"/>
      <c r="K112" s="74" t="s">
        <v>3141</v>
      </c>
      <c r="AA112" s="78" t="s">
        <v>2032</v>
      </c>
      <c r="AB112" s="68">
        <f>$AH106-$AH106</f>
        <v>0</v>
      </c>
      <c r="AC112" s="78" t="s">
        <v>72</v>
      </c>
      <c r="AD112" s="68">
        <f>$AH111-$AH107</f>
        <v>1820</v>
      </c>
      <c r="AE112" s="78" t="s">
        <v>2609</v>
      </c>
      <c r="AF112" s="68">
        <f>$AH105-$AH105</f>
        <v>0</v>
      </c>
    </row>
    <row r="113" spans="1:42" ht="12.75" customHeight="1" x14ac:dyDescent="0.15">
      <c r="A113" s="74" t="s">
        <v>2859</v>
      </c>
      <c r="B113" s="75"/>
      <c r="C113" s="75"/>
      <c r="D113" s="75"/>
      <c r="E113" s="75"/>
      <c r="F113" s="75"/>
      <c r="K113" s="74" t="s">
        <v>2859</v>
      </c>
    </row>
    <row r="114" spans="1:42" ht="12.75" customHeight="1" x14ac:dyDescent="0.15">
      <c r="A114" s="74" t="s">
        <v>3147</v>
      </c>
      <c r="B114" s="75"/>
      <c r="C114" s="75"/>
      <c r="D114" s="75"/>
      <c r="E114" s="75"/>
      <c r="F114" s="75"/>
      <c r="K114" s="74" t="s">
        <v>3148</v>
      </c>
    </row>
    <row r="115" spans="1:42" ht="12.75" customHeight="1" x14ac:dyDescent="0.15">
      <c r="A115" s="77" t="str">
        <f>CONCATENATE("N=",TEXT($AB115,"#,##0.00")," , V=",TEXT($AF115,"#,##0.0")," KM/HR  , W=",TEXT($AJ115,"#,##0.0"))</f>
        <v>N=6.00 , V=1.0 KM/HR  , W=0.7</v>
      </c>
      <c r="B115" s="75"/>
      <c r="C115" s="75"/>
      <c r="D115" s="75"/>
      <c r="E115" s="75"/>
      <c r="F115" s="75"/>
      <c r="K115" s="77" t="str">
        <f>SUBSTITUTE(SUBSTITUTE(SUBSTITUTE(SUBSTITUTE("N=6 , V=1.0_x001D_KM/HR_x001D_ , W=0.7 ,","6",TEXT($AB115,"#,##0"),1),"1.0",TEXT($AF115,"#,##0.0"),1),"0.7",TEXT($AJ115,"#,##0.0"),1),"_x001D_","'")</f>
        <v>N=6 , V=1.0'KM/HR' , W=0.7 ,</v>
      </c>
      <c r="AA115" s="78" t="s">
        <v>1395</v>
      </c>
      <c r="AB115" s="79">
        <v>6</v>
      </c>
      <c r="AC115" s="78" t="s">
        <v>1395</v>
      </c>
      <c r="AD115" s="68">
        <f>$AB115</f>
        <v>6</v>
      </c>
      <c r="AE115" s="78" t="s">
        <v>120</v>
      </c>
      <c r="AF115" s="79">
        <v>1</v>
      </c>
      <c r="AG115" s="78" t="s">
        <v>120</v>
      </c>
      <c r="AH115" s="68">
        <f>$AF115</f>
        <v>1</v>
      </c>
      <c r="AI115" s="78" t="s">
        <v>1242</v>
      </c>
      <c r="AJ115" s="79">
        <v>0.7</v>
      </c>
      <c r="AK115" s="78" t="s">
        <v>1242</v>
      </c>
      <c r="AL115" s="68">
        <f>$AJ115</f>
        <v>0.7</v>
      </c>
    </row>
    <row r="116" spans="1:42" ht="12.75" customHeight="1" x14ac:dyDescent="0.15">
      <c r="A116" s="77" t="str">
        <f>CONCATENATE("E=",TEXT($AB116,"#,##0.0")," , f = 1/1="," , D=",TEXT($AN116,"#,##0.0"))</f>
        <v>E=0.6 , f = 1/1= , D=0.1</v>
      </c>
      <c r="B116" s="75">
        <f>SUM($C116,$D116,$E116)</f>
        <v>0</v>
      </c>
      <c r="C116" s="75"/>
      <c r="D116" s="75"/>
      <c r="E116" s="75"/>
      <c r="F116" s="75"/>
      <c r="K116" s="77" t="str">
        <f>SUBSTITUTE(SUBSTITUTE(SUBSTITUTE("E=0.6 , f = 1/1=? , D = 0.1","0.6",TEXT($AB116,"#,##0.0"),1),"0.1",TEXT($AN116,"#,##0.0"),1),"_x001D_","'")</f>
        <v>E=0.6 , f = 1/1=? , D = 0.1</v>
      </c>
      <c r="AA116" s="78" t="s">
        <v>1383</v>
      </c>
      <c r="AB116" s="79">
        <v>0.6</v>
      </c>
      <c r="AC116" s="78" t="s">
        <v>1383</v>
      </c>
      <c r="AD116" s="68">
        <f>$AB116</f>
        <v>0.6</v>
      </c>
      <c r="AE116" s="78" t="s">
        <v>1802</v>
      </c>
      <c r="AF116" s="72">
        <f>ROUND(1/1,2)</f>
        <v>1</v>
      </c>
      <c r="AG116" s="78" t="s">
        <v>1652</v>
      </c>
      <c r="AH116" s="68">
        <f>$AF116</f>
        <v>1</v>
      </c>
      <c r="AI116" s="78" t="s">
        <v>3149</v>
      </c>
      <c r="AJ116" s="72">
        <f>ROUND(1/1,2)</f>
        <v>1</v>
      </c>
      <c r="AK116" s="78" t="s">
        <v>3150</v>
      </c>
      <c r="AL116" s="68">
        <f>$AJ116</f>
        <v>1</v>
      </c>
      <c r="AM116" s="78" t="s">
        <v>333</v>
      </c>
      <c r="AN116" s="79">
        <v>0.1</v>
      </c>
      <c r="AO116" s="78" t="s">
        <v>333</v>
      </c>
      <c r="AP116" s="68">
        <f>$AN116</f>
        <v>0.1</v>
      </c>
    </row>
    <row r="117" spans="1:42" ht="12.75" customHeight="1" x14ac:dyDescent="0.15">
      <c r="A117" s="74" t="s">
        <v>2859</v>
      </c>
      <c r="B117" s="75"/>
      <c r="C117" s="75"/>
      <c r="D117" s="75"/>
      <c r="E117" s="75"/>
      <c r="F117" s="75"/>
      <c r="K117" s="74" t="s">
        <v>2859</v>
      </c>
    </row>
    <row r="118" spans="1:42" ht="12.75" customHeight="1" x14ac:dyDescent="0.15">
      <c r="A118" s="77" t="str">
        <f>CONCATENATE("Q= 1000 * V * W * D *  E * f / N = ",TEXT($AF118,"#,##0.00")," M3/HR ")</f>
        <v xml:space="preserve">Q= 1000 * V * W * D *  E * f / N = 7.00 M3/HR </v>
      </c>
      <c r="B118" s="75">
        <f>SUM($C118,$D118,$E118)</f>
        <v>0</v>
      </c>
      <c r="C118" s="75"/>
      <c r="D118" s="75"/>
      <c r="E118" s="75"/>
      <c r="F118" s="75"/>
      <c r="K118" s="74" t="s">
        <v>3151</v>
      </c>
      <c r="AA118" s="78" t="s">
        <v>504</v>
      </c>
      <c r="AB118" s="72">
        <f>ROUND(1000*$AH115*$AL115*$AP116*$AD116*$AH116/$AD115,2)</f>
        <v>7</v>
      </c>
      <c r="AC118" s="78" t="s">
        <v>1972</v>
      </c>
      <c r="AD118" s="68">
        <f>$AB118</f>
        <v>7</v>
      </c>
      <c r="AE118" s="78" t="s">
        <v>3152</v>
      </c>
      <c r="AF118" s="72">
        <f>ROUND(1000*$AH115*$AL115*$AP116*$AD116*$AH116/$AD115,2)</f>
        <v>7</v>
      </c>
      <c r="AG118" s="78" t="s">
        <v>3153</v>
      </c>
      <c r="AH118" s="68">
        <f>$AF118</f>
        <v>7</v>
      </c>
    </row>
    <row r="119" spans="1:42" ht="12.75" customHeight="1" x14ac:dyDescent="0.15">
      <c r="A119" s="74" t="s">
        <v>2859</v>
      </c>
      <c r="B119" s="75"/>
      <c r="C119" s="75"/>
      <c r="D119" s="75"/>
      <c r="E119" s="75"/>
      <c r="F119" s="75"/>
      <c r="K119" s="74" t="s">
        <v>2859</v>
      </c>
    </row>
    <row r="120" spans="1:42" ht="12.75" customHeight="1" x14ac:dyDescent="0.15">
      <c r="A120" s="77" t="str">
        <f>CONCATENATE(" 재료비: ",TEXT($AB120,"#,##0.00")," / ",TEXT($AF120,"#,##0.00")," =",TEXT($AJ120,"#,##0.00"))</f>
        <v xml:space="preserve"> 재료비: 3,361.00 / 7.00 =480.00</v>
      </c>
      <c r="B120" s="75">
        <f>SUM($C120,$D120,$E120)</f>
        <v>480</v>
      </c>
      <c r="C120" s="75">
        <f>$AJ120</f>
        <v>480</v>
      </c>
      <c r="D120" s="75"/>
      <c r="E120" s="75"/>
      <c r="F120" s="75"/>
      <c r="K120" s="74" t="s">
        <v>3154</v>
      </c>
      <c r="AA120" s="78" t="s">
        <v>3155</v>
      </c>
      <c r="AB120" s="72">
        <f>[4]중기사용료목록!E4</f>
        <v>3361</v>
      </c>
      <c r="AC120" s="78" t="s">
        <v>3156</v>
      </c>
      <c r="AD120" s="68">
        <f>$AB120</f>
        <v>3361</v>
      </c>
      <c r="AE120" s="78" t="s">
        <v>3157</v>
      </c>
      <c r="AF120" s="72">
        <f>$AD118</f>
        <v>7</v>
      </c>
      <c r="AG120" s="78" t="s">
        <v>3158</v>
      </c>
      <c r="AH120" s="68">
        <f>$AF120</f>
        <v>7</v>
      </c>
      <c r="AI120" s="71" t="s">
        <v>2113</v>
      </c>
      <c r="AJ120" s="72">
        <f>TRUNC($AD120/$AH120,0)</f>
        <v>480</v>
      </c>
      <c r="AK120" s="71" t="s">
        <v>2372</v>
      </c>
      <c r="AL120" s="68">
        <f>$AH106+$AJ120</f>
        <v>1075</v>
      </c>
    </row>
    <row r="121" spans="1:42" ht="12.75" customHeight="1" x14ac:dyDescent="0.15">
      <c r="A121" s="77" t="str">
        <f>CONCATENATE(" 노무비: ",TEXT($AB121,"#,##0.00")," / ",TEXT($AF121,"#,##0.00")," =",TEXT($AJ121,"#,##0.00"))</f>
        <v xml:space="preserve"> 노무비: 33,571.00 / 7.00 =4,795.00</v>
      </c>
      <c r="B121" s="75">
        <f>SUM($C121,$D121,$E121)</f>
        <v>4795</v>
      </c>
      <c r="C121" s="75"/>
      <c r="D121" s="75">
        <f>$AJ121</f>
        <v>4795</v>
      </c>
      <c r="E121" s="75"/>
      <c r="F121" s="75"/>
      <c r="K121" s="74" t="s">
        <v>3159</v>
      </c>
      <c r="AA121" s="78" t="s">
        <v>3160</v>
      </c>
      <c r="AB121" s="72">
        <f>[4]중기사용료목록!F4</f>
        <v>33571</v>
      </c>
      <c r="AC121" s="78" t="s">
        <v>3161</v>
      </c>
      <c r="AD121" s="68">
        <f>$AB121</f>
        <v>33571</v>
      </c>
      <c r="AE121" s="78" t="s">
        <v>3162</v>
      </c>
      <c r="AF121" s="72">
        <f>$AD118</f>
        <v>7</v>
      </c>
      <c r="AG121" s="78" t="s">
        <v>3163</v>
      </c>
      <c r="AH121" s="68">
        <f>$AF121</f>
        <v>7</v>
      </c>
      <c r="AI121" s="71" t="s">
        <v>287</v>
      </c>
      <c r="AJ121" s="72">
        <f>TRUNC($AD121/$AH121,0)</f>
        <v>4795</v>
      </c>
      <c r="AK121" s="71" t="s">
        <v>1141</v>
      </c>
      <c r="AL121" s="68">
        <f>$AH111+$AJ121</f>
        <v>8587</v>
      </c>
    </row>
    <row r="122" spans="1:42" ht="12.75" customHeight="1" x14ac:dyDescent="0.15">
      <c r="A122" s="77" t="str">
        <f>CONCATENATE(" 경  비: ",TEXT($AB122,"#,##0.00")," / ",TEXT($AF122,"#,##0.00")," =",TEXT($AJ122,"#,##0.00"))</f>
        <v xml:space="preserve"> 경  비: 1,846.00 / 7.00 =263.00</v>
      </c>
      <c r="B122" s="75">
        <f>SUM($C122,$D122,$E122)</f>
        <v>263</v>
      </c>
      <c r="C122" s="75"/>
      <c r="D122" s="75"/>
      <c r="E122" s="75">
        <f>$AJ122</f>
        <v>263</v>
      </c>
      <c r="F122" s="75"/>
      <c r="K122" s="74" t="s">
        <v>3164</v>
      </c>
      <c r="AA122" s="78" t="s">
        <v>3165</v>
      </c>
      <c r="AB122" s="72">
        <f>[4]중기사용료목록!G4</f>
        <v>1846</v>
      </c>
      <c r="AC122" s="78" t="s">
        <v>3166</v>
      </c>
      <c r="AD122" s="68">
        <f>$AB122</f>
        <v>1846</v>
      </c>
      <c r="AE122" s="78" t="s">
        <v>3167</v>
      </c>
      <c r="AF122" s="72">
        <f>$AD118</f>
        <v>7</v>
      </c>
      <c r="AG122" s="78" t="s">
        <v>3168</v>
      </c>
      <c r="AH122" s="68">
        <f>$AF122</f>
        <v>7</v>
      </c>
      <c r="AI122" s="71" t="s">
        <v>907</v>
      </c>
      <c r="AJ122" s="72">
        <f>TRUNC($AD122/$AH122,0)</f>
        <v>263</v>
      </c>
      <c r="AK122" s="71" t="s">
        <v>1545</v>
      </c>
      <c r="AL122" s="68">
        <f>$AH105+$AJ122</f>
        <v>1040</v>
      </c>
    </row>
    <row r="123" spans="1:42" ht="12.75" customHeight="1" x14ac:dyDescent="0.15">
      <c r="A123" s="74" t="s">
        <v>3140</v>
      </c>
      <c r="B123" s="80">
        <f>SUM($C123,$D123,$E123)</f>
        <v>5538</v>
      </c>
      <c r="C123" s="80">
        <f>$AB123</f>
        <v>480</v>
      </c>
      <c r="D123" s="80">
        <f>$AD123</f>
        <v>4795</v>
      </c>
      <c r="E123" s="80">
        <f>$AF123</f>
        <v>263</v>
      </c>
      <c r="F123" s="80"/>
      <c r="K123" s="74" t="s">
        <v>3141</v>
      </c>
      <c r="AA123" s="78" t="s">
        <v>2032</v>
      </c>
      <c r="AB123" s="68">
        <f>$AL120-$AH106</f>
        <v>480</v>
      </c>
      <c r="AC123" s="78" t="s">
        <v>72</v>
      </c>
      <c r="AD123" s="68">
        <f>$AL121-$AH111</f>
        <v>4795</v>
      </c>
      <c r="AE123" s="78" t="s">
        <v>2609</v>
      </c>
      <c r="AF123" s="68">
        <f>$AL122-$AH105</f>
        <v>263</v>
      </c>
    </row>
    <row r="124" spans="1:42" ht="12.75" customHeight="1" x14ac:dyDescent="0.15">
      <c r="A124" s="74" t="s">
        <v>2859</v>
      </c>
      <c r="B124" s="75"/>
      <c r="C124" s="75"/>
      <c r="D124" s="75"/>
      <c r="E124" s="75"/>
      <c r="F124" s="75"/>
      <c r="K124" s="74" t="s">
        <v>2859</v>
      </c>
    </row>
    <row r="125" spans="1:42" ht="12.75" customHeight="1" x14ac:dyDescent="0.15">
      <c r="A125" s="74" t="s">
        <v>3169</v>
      </c>
      <c r="B125" s="81">
        <f>SUM($C125,$D125,$E125)</f>
        <v>10702</v>
      </c>
      <c r="C125" s="81">
        <f>$AB125</f>
        <v>1075</v>
      </c>
      <c r="D125" s="81">
        <f>$AD125</f>
        <v>8587</v>
      </c>
      <c r="E125" s="81">
        <f>$AF125</f>
        <v>1040</v>
      </c>
      <c r="F125" s="81"/>
      <c r="K125" s="74" t="s">
        <v>3170</v>
      </c>
      <c r="AA125" s="78" t="s">
        <v>1148</v>
      </c>
      <c r="AB125" s="68">
        <f>$AL120</f>
        <v>1075</v>
      </c>
      <c r="AC125" s="78" t="s">
        <v>2379</v>
      </c>
      <c r="AD125" s="68">
        <f>$AL121</f>
        <v>8587</v>
      </c>
      <c r="AE125" s="78" t="s">
        <v>628</v>
      </c>
      <c r="AF125" s="68">
        <f>$AL122</f>
        <v>1040</v>
      </c>
    </row>
    <row r="126" spans="1:42" ht="12.75" customHeight="1" x14ac:dyDescent="0.15">
      <c r="A126" s="74"/>
      <c r="B126" s="74"/>
      <c r="C126" s="74"/>
      <c r="D126" s="74"/>
      <c r="E126" s="74"/>
      <c r="F126" s="74"/>
    </row>
    <row r="127" spans="1:42" ht="12.75" customHeight="1" thickBot="1" x14ac:dyDescent="0.2">
      <c r="A127" s="82" t="s">
        <v>1643</v>
      </c>
      <c r="B127" s="76">
        <f>SUM($C127,$D127,$E127)</f>
        <v>10702</v>
      </c>
      <c r="C127" s="76">
        <f>TRUNC(SUM($AL120),0)</f>
        <v>1075</v>
      </c>
      <c r="D127" s="76">
        <f>TRUNC(SUM($AL121),0)</f>
        <v>8587</v>
      </c>
      <c r="E127" s="76">
        <f>TRUNC(SUM($AL122),0)</f>
        <v>1040</v>
      </c>
      <c r="F127" s="82"/>
    </row>
    <row r="128" spans="1:42" customFormat="1" ht="18.399999999999999" customHeight="1" thickBot="1" x14ac:dyDescent="0.2">
      <c r="A128" s="170" t="s">
        <v>3210</v>
      </c>
      <c r="B128" s="171">
        <f>B208</f>
        <v>105262</v>
      </c>
      <c r="C128" s="171">
        <f>C208</f>
        <v>411</v>
      </c>
      <c r="D128" s="171">
        <f>D208</f>
        <v>41847</v>
      </c>
      <c r="E128" s="171">
        <f>E208</f>
        <v>63004</v>
      </c>
      <c r="F128" s="172" t="s">
        <v>2859</v>
      </c>
      <c r="G128" t="s">
        <v>2859</v>
      </c>
      <c r="H128" t="s">
        <v>764</v>
      </c>
      <c r="K128">
        <v>1</v>
      </c>
      <c r="Y128" s="9" t="e">
        <f>EXACT($Z128,#REF!)</f>
        <v>#REF!</v>
      </c>
      <c r="Z128" s="38">
        <v>72375</v>
      </c>
    </row>
    <row r="129" spans="1:30" customFormat="1" ht="18.399999999999999" customHeight="1" x14ac:dyDescent="0.15">
      <c r="A129" s="3" t="s">
        <v>2859</v>
      </c>
      <c r="B129" s="36"/>
      <c r="C129" s="36"/>
      <c r="D129" s="36"/>
      <c r="E129" s="36"/>
      <c r="F129" s="173"/>
      <c r="K129" s="3" t="s">
        <v>2859</v>
      </c>
    </row>
    <row r="130" spans="1:30" customFormat="1" ht="18.399999999999999" customHeight="1" x14ac:dyDescent="0.15">
      <c r="A130" s="3" t="s">
        <v>1346</v>
      </c>
      <c r="B130" s="36"/>
      <c r="C130" s="36"/>
      <c r="D130" s="36"/>
      <c r="E130" s="36"/>
      <c r="F130" s="173"/>
      <c r="K130" s="3" t="s">
        <v>1346</v>
      </c>
    </row>
    <row r="131" spans="1:30" customFormat="1" ht="18.399999999999999" customHeight="1" x14ac:dyDescent="0.15">
      <c r="A131" s="3" t="s">
        <v>2859</v>
      </c>
      <c r="B131" s="36"/>
      <c r="C131" s="36"/>
      <c r="D131" s="36"/>
      <c r="E131" s="36"/>
      <c r="F131" s="173"/>
      <c r="K131" s="3" t="s">
        <v>2859</v>
      </c>
    </row>
    <row r="132" spans="1:30" customFormat="1" ht="18.399999999999999" customHeight="1" x14ac:dyDescent="0.15">
      <c r="A132" s="12" t="str">
        <f>CONCATENATE("   -가설방음판RPP(500X30T) :  _x001D_42,000_x001D_ * 4 매 * 0.33 =",TEXT($AB132,"#,##0.00"))</f>
        <v xml:space="preserve">   -가설방음판RPP(500X30T) :  _x001D_42,000_x001D_ * 4 매 * 0.33 =55,440.00</v>
      </c>
      <c r="B132" s="36">
        <f>SUM($C132,$D132,$E132)</f>
        <v>55440</v>
      </c>
      <c r="C132" s="36"/>
      <c r="D132" s="36"/>
      <c r="E132" s="36">
        <f>$AB132</f>
        <v>55440</v>
      </c>
      <c r="F132" s="173" t="s">
        <v>2859</v>
      </c>
      <c r="K132" s="3" t="s">
        <v>574</v>
      </c>
      <c r="AA132" s="40" t="s">
        <v>907</v>
      </c>
      <c r="AB132" s="10">
        <f>TRUNC('자재 (신규)'!D8*4*0.33,0)</f>
        <v>55440</v>
      </c>
      <c r="AC132" s="40" t="s">
        <v>1545</v>
      </c>
      <c r="AD132" s="9">
        <f>$AB132</f>
        <v>55440</v>
      </c>
    </row>
    <row r="133" spans="1:30" customFormat="1" ht="18.399999999999999" customHeight="1" x14ac:dyDescent="0.15">
      <c r="A133" s="3" t="s">
        <v>2859</v>
      </c>
      <c r="B133" s="36"/>
      <c r="C133" s="36"/>
      <c r="D133" s="36"/>
      <c r="E133" s="36"/>
      <c r="F133" s="173"/>
      <c r="K133" s="3" t="s">
        <v>2859</v>
      </c>
    </row>
    <row r="134" spans="1:30" customFormat="1" ht="18.399999999999999" customHeight="1" x14ac:dyDescent="0.15">
      <c r="A134" s="12" t="str">
        <f>CONCATENATE("   -가설방음벽 주주파이프(Φ48.6x2.3t):  _x001D_5,250_x001D_ * 2 M * 0.1 =",TEXT($AB134,"#,##0.00"))</f>
        <v xml:space="preserve">   -가설방음벽 주주파이프(Φ48.6x2.3t):  _x001D_5,250_x001D_ * 2 M * 0.1 =1,050.00</v>
      </c>
      <c r="B134" s="36">
        <f>SUM($C134,$D134,$E134)</f>
        <v>1050</v>
      </c>
      <c r="C134" s="36"/>
      <c r="D134" s="36"/>
      <c r="E134" s="36">
        <f>$AB134</f>
        <v>1050</v>
      </c>
      <c r="F134" s="173" t="s">
        <v>2859</v>
      </c>
      <c r="K134" s="3" t="s">
        <v>1029</v>
      </c>
      <c r="AA134" s="40" t="s">
        <v>907</v>
      </c>
      <c r="AB134" s="10">
        <f>TRUNC('자재 (신규)'!D9*2*0.1,0)</f>
        <v>1050</v>
      </c>
      <c r="AC134" s="40" t="s">
        <v>1545</v>
      </c>
      <c r="AD134" s="9">
        <f>$AD132+$AB134</f>
        <v>56490</v>
      </c>
    </row>
    <row r="135" spans="1:30" customFormat="1" ht="18.399999999999999" customHeight="1" x14ac:dyDescent="0.15">
      <c r="A135" s="3" t="s">
        <v>2859</v>
      </c>
      <c r="B135" s="36"/>
      <c r="C135" s="36"/>
      <c r="D135" s="36"/>
      <c r="E135" s="36"/>
      <c r="F135" s="173"/>
      <c r="K135" s="3" t="s">
        <v>2859</v>
      </c>
    </row>
    <row r="136" spans="1:30" customFormat="1" ht="18.399999999999999" customHeight="1" x14ac:dyDescent="0.15">
      <c r="A136" s="12" t="str">
        <f>CONCATENATE("   -가설방음벽 지주파이프(Φ48.6x2.3tx2m):  _x001D_10,500_x001D_ * 1 M * 0.1 =",TEXT($AB136,"#,##0.00"))</f>
        <v xml:space="preserve">   -가설방음벽 지주파이프(Φ48.6x2.3tx2m):  _x001D_10,500_x001D_ * 1 M * 0.1 =1,050.00</v>
      </c>
      <c r="B136" s="36">
        <f>SUM($C136,$D136,$E136)</f>
        <v>1050</v>
      </c>
      <c r="C136" s="36"/>
      <c r="D136" s="36"/>
      <c r="E136" s="36">
        <f>$AB136</f>
        <v>1050</v>
      </c>
      <c r="F136" s="173" t="s">
        <v>2859</v>
      </c>
      <c r="K136" s="3" t="s">
        <v>1029</v>
      </c>
      <c r="AA136" s="40" t="s">
        <v>907</v>
      </c>
      <c r="AB136" s="10">
        <f>TRUNC('자재 (신규)'!D10*1*0.1,0)</f>
        <v>1050</v>
      </c>
      <c r="AC136" s="40" t="s">
        <v>1545</v>
      </c>
      <c r="AD136" s="9">
        <f>$AD134+$AB136</f>
        <v>57540</v>
      </c>
    </row>
    <row r="137" spans="1:30" customFormat="1" ht="18.399999999999999" customHeight="1" x14ac:dyDescent="0.15">
      <c r="A137" s="3"/>
      <c r="B137" s="36"/>
      <c r="C137" s="36"/>
      <c r="D137" s="36"/>
      <c r="E137" s="36"/>
      <c r="F137" s="173"/>
      <c r="K137" s="3"/>
    </row>
    <row r="138" spans="1:30" customFormat="1" ht="18.399999999999999" customHeight="1" x14ac:dyDescent="0.15">
      <c r="A138" s="12" t="str">
        <f>CONCATENATE("   -가설방음벽 횡대파이프(Φ48.6x2.3t):  _x001D_5,250_x001D_ * 4 M * 0.1 =",TEXT($AB138,"#,##0.00"))</f>
        <v xml:space="preserve">   -가설방음벽 횡대파이프(Φ48.6x2.3t):  _x001D_5,250_x001D_ * 4 M * 0.1 =2,100.00</v>
      </c>
      <c r="B138" s="36">
        <f>SUM($C138,$D138,$E138)</f>
        <v>2100</v>
      </c>
      <c r="C138" s="36"/>
      <c r="D138" s="36"/>
      <c r="E138" s="36">
        <f>$AB138</f>
        <v>2100</v>
      </c>
      <c r="F138" s="173" t="s">
        <v>2859</v>
      </c>
      <c r="K138" s="3" t="s">
        <v>1029</v>
      </c>
      <c r="AA138" s="40" t="s">
        <v>907</v>
      </c>
      <c r="AB138" s="10">
        <f>TRUNC('자재 (신규)'!D11*4*0.1,0)</f>
        <v>2100</v>
      </c>
      <c r="AC138" s="40" t="s">
        <v>1545</v>
      </c>
      <c r="AD138" s="9">
        <f>$AD136+$AB138</f>
        <v>59640</v>
      </c>
    </row>
    <row r="139" spans="1:30" customFormat="1" ht="18.399999999999999" customHeight="1" x14ac:dyDescent="0.15">
      <c r="A139" s="3"/>
      <c r="B139" s="36"/>
      <c r="C139" s="36"/>
      <c r="D139" s="36"/>
      <c r="E139" s="36"/>
      <c r="F139" s="173"/>
      <c r="K139" s="3"/>
    </row>
    <row r="140" spans="1:30" customFormat="1" ht="18.399999999999999" customHeight="1" x14ac:dyDescent="0.15">
      <c r="A140" s="12" t="str">
        <f>CONCATENATE("   -가설방음벽 보조지주(Φ48.6x2.3t):  _x001D_5,250_x001D_ * 2 M * 0.1 =",TEXT($AB140,"#,##0.00"))</f>
        <v xml:space="preserve">   -가설방음벽 보조지주(Φ48.6x2.3t):  _x001D_5,250_x001D_ * 2 M * 0.1 =1,050.00</v>
      </c>
      <c r="B140" s="36">
        <f>SUM($C140,$D140,$E140)</f>
        <v>1050</v>
      </c>
      <c r="C140" s="36"/>
      <c r="D140" s="36"/>
      <c r="E140" s="36">
        <f>$AB140</f>
        <v>1050</v>
      </c>
      <c r="F140" s="173" t="s">
        <v>2859</v>
      </c>
      <c r="K140" s="3" t="s">
        <v>1029</v>
      </c>
      <c r="AA140" s="40" t="s">
        <v>907</v>
      </c>
      <c r="AB140" s="10">
        <f>TRUNC('자재 (신규)'!D12*2*0.1,0)</f>
        <v>1050</v>
      </c>
      <c r="AC140" s="40" t="s">
        <v>1545</v>
      </c>
      <c r="AD140" s="9">
        <f>$AD138+$AB140</f>
        <v>60690</v>
      </c>
    </row>
    <row r="141" spans="1:30" customFormat="1" ht="18.399999999999999" customHeight="1" x14ac:dyDescent="0.15">
      <c r="A141" s="3"/>
      <c r="B141" s="36"/>
      <c r="C141" s="36"/>
      <c r="D141" s="36"/>
      <c r="E141" s="36"/>
      <c r="F141" s="173"/>
      <c r="K141" s="3"/>
    </row>
    <row r="142" spans="1:30" customFormat="1" ht="18.399999999999999" customHeight="1" x14ac:dyDescent="0.15">
      <c r="A142" s="12" t="str">
        <f>CONCATENATE("   -클램프(고정)      :  _x001D_3,110_x001D_ * 3.5 EA * 0.1=",TEXT($AB142,"#,##0.00"))</f>
        <v xml:space="preserve">   -클램프(고정)      :  _x001D_3,110_x001D_ * 3.5 EA * 0.1=1,088.00</v>
      </c>
      <c r="B142" s="36">
        <f>SUM($C142,$D142,$E142)</f>
        <v>1088</v>
      </c>
      <c r="C142" s="36"/>
      <c r="D142" s="36"/>
      <c r="E142" s="36">
        <f>$AB142</f>
        <v>1088</v>
      </c>
      <c r="F142" s="173" t="s">
        <v>2859</v>
      </c>
      <c r="K142" s="3" t="s">
        <v>1506</v>
      </c>
      <c r="AA142" s="40" t="s">
        <v>907</v>
      </c>
      <c r="AB142" s="10">
        <f>TRUNC('자재 (신규)'!D13*3.5*0.1,0)</f>
        <v>1088</v>
      </c>
      <c r="AC142" s="40" t="s">
        <v>1545</v>
      </c>
      <c r="AD142" s="9">
        <f>$AD140+$AB142</f>
        <v>61778</v>
      </c>
    </row>
    <row r="143" spans="1:30" customFormat="1" ht="18.399999999999999" customHeight="1" x14ac:dyDescent="0.15">
      <c r="A143" s="3" t="s">
        <v>2859</v>
      </c>
      <c r="B143" s="36"/>
      <c r="C143" s="36"/>
      <c r="D143" s="36"/>
      <c r="E143" s="36"/>
      <c r="F143" s="173"/>
      <c r="K143" s="3" t="s">
        <v>2859</v>
      </c>
    </row>
    <row r="144" spans="1:30" customFormat="1" ht="18.399999999999999" customHeight="1" x14ac:dyDescent="0.15">
      <c r="A144" s="12" t="str">
        <f>CONCATENATE("   -연결핀      :  _x001D_2,080_x001D_ * 0.665 EA  * 0.1=",TEXT($AB144,"#,##0.00"))</f>
        <v xml:space="preserve">   -연결핀      :  _x001D_2,080_x001D_ * 0.665 EA  * 0.1=138.00</v>
      </c>
      <c r="B144" s="36">
        <f>SUM($C144,$D144,$E144)</f>
        <v>138</v>
      </c>
      <c r="C144" s="36"/>
      <c r="D144" s="36"/>
      <c r="E144" s="36">
        <f>$AB144</f>
        <v>138</v>
      </c>
      <c r="F144" s="173" t="s">
        <v>2859</v>
      </c>
      <c r="K144" s="3" t="s">
        <v>393</v>
      </c>
      <c r="AA144" s="40" t="s">
        <v>907</v>
      </c>
      <c r="AB144" s="10">
        <f>TRUNC('자재 (신규)'!D14*0.665*0.1,0)</f>
        <v>138</v>
      </c>
      <c r="AC144" s="40" t="s">
        <v>1545</v>
      </c>
      <c r="AD144" s="9">
        <f>$AD142+$AB144</f>
        <v>61916</v>
      </c>
    </row>
    <row r="145" spans="1:34" customFormat="1" ht="18.399999999999999" customHeight="1" x14ac:dyDescent="0.15">
      <c r="A145" s="3"/>
      <c r="B145" s="36">
        <f>SUM($C145,$D145,$E145)</f>
        <v>0</v>
      </c>
      <c r="C145" s="36"/>
      <c r="D145" s="36"/>
      <c r="E145" s="36"/>
      <c r="F145" s="173"/>
      <c r="K145" s="3"/>
    </row>
    <row r="146" spans="1:34" s="158" customFormat="1" ht="18.399999999999999" customHeight="1" x14ac:dyDescent="0.15">
      <c r="A146" s="159" t="s">
        <v>1273</v>
      </c>
      <c r="B146" s="157">
        <f>SUM($C146,$D146,$E146)</f>
        <v>61916</v>
      </c>
      <c r="C146" s="157">
        <f>SUM(C132:C144)</f>
        <v>0</v>
      </c>
      <c r="D146" s="157">
        <f>SUM(D132:D144)</f>
        <v>0</v>
      </c>
      <c r="E146" s="157">
        <f>SUM(E132:E144)</f>
        <v>61916</v>
      </c>
      <c r="F146" s="174"/>
      <c r="K146" s="159" t="s">
        <v>2859</v>
      </c>
    </row>
    <row r="147" spans="1:34" customFormat="1" ht="18.399999999999999" customHeight="1" x14ac:dyDescent="0.15">
      <c r="A147" s="3" t="s">
        <v>2859</v>
      </c>
      <c r="B147" s="36"/>
      <c r="C147" s="36"/>
      <c r="D147" s="36"/>
      <c r="E147" s="36"/>
      <c r="F147" s="173"/>
      <c r="K147" s="3" t="s">
        <v>2859</v>
      </c>
    </row>
    <row r="148" spans="1:34" customFormat="1" ht="18.399999999999999" customHeight="1" x14ac:dyDescent="0.15">
      <c r="A148" s="3" t="s">
        <v>2141</v>
      </c>
      <c r="B148" s="36"/>
      <c r="C148" s="36"/>
      <c r="D148" s="36"/>
      <c r="E148" s="36"/>
      <c r="F148" s="173"/>
      <c r="K148" s="3" t="s">
        <v>2141</v>
      </c>
    </row>
    <row r="149" spans="1:34" customFormat="1" ht="18.399999999999999" customHeight="1" x14ac:dyDescent="0.15">
      <c r="A149" s="3" t="s">
        <v>2859</v>
      </c>
      <c r="B149" s="36"/>
      <c r="C149" s="36"/>
      <c r="D149" s="36"/>
      <c r="E149" s="36"/>
      <c r="F149" s="173"/>
      <c r="K149" s="3" t="s">
        <v>2859</v>
      </c>
    </row>
    <row r="150" spans="1:34" customFormat="1" ht="18.399999999999999" customHeight="1" x14ac:dyDescent="0.15">
      <c r="A150" s="3" t="s">
        <v>394</v>
      </c>
      <c r="B150" s="36"/>
      <c r="C150" s="36"/>
      <c r="D150" s="36"/>
      <c r="E150" s="36"/>
      <c r="F150" s="173"/>
      <c r="K150" s="3" t="s">
        <v>394</v>
      </c>
    </row>
    <row r="151" spans="1:34" customFormat="1" ht="18.399999999999999" customHeight="1" x14ac:dyDescent="0.15">
      <c r="A151" s="3" t="s">
        <v>2859</v>
      </c>
      <c r="B151" s="36"/>
      <c r="C151" s="36"/>
      <c r="D151" s="36"/>
      <c r="E151" s="36"/>
      <c r="F151" s="173"/>
      <c r="K151" s="3" t="s">
        <v>2859</v>
      </c>
    </row>
    <row r="152" spans="1:34" customFormat="1" ht="18.399999999999999" customHeight="1" x14ac:dyDescent="0.15">
      <c r="A152" s="3" t="s">
        <v>732</v>
      </c>
      <c r="B152" s="36"/>
      <c r="C152" s="36"/>
      <c r="D152" s="36"/>
      <c r="E152" s="36"/>
      <c r="F152" s="173"/>
      <c r="K152" s="3" t="s">
        <v>732</v>
      </c>
    </row>
    <row r="153" spans="1:34" customFormat="1" ht="18.399999999999999" customHeight="1" x14ac:dyDescent="0.15">
      <c r="A153" s="3" t="s">
        <v>2859</v>
      </c>
      <c r="B153" s="36"/>
      <c r="C153" s="36"/>
      <c r="D153" s="36"/>
      <c r="E153" s="36"/>
      <c r="F153" s="173"/>
      <c r="K153" s="3" t="s">
        <v>2859</v>
      </c>
    </row>
    <row r="154" spans="1:34" customFormat="1" ht="18.399999999999999" customHeight="1" x14ac:dyDescent="0.15">
      <c r="A154" s="12" t="str">
        <f>CONCATENATE("    비   계  공:  0.046 인  * _x001D_282,352_x001D_ = ",TEXT($AB154,"#,##0.00"))</f>
        <v xml:space="preserve">    비   계  공:  0.046 인  * _x001D_282,352_x001D_ = 12,988.00</v>
      </c>
      <c r="B154" s="36">
        <f>SUM($C154,$D154,$E154)</f>
        <v>12988</v>
      </c>
      <c r="C154" s="36"/>
      <c r="D154" s="36">
        <f>$AB154</f>
        <v>12988</v>
      </c>
      <c r="E154" s="36"/>
      <c r="F154" s="173" t="s">
        <v>2859</v>
      </c>
      <c r="K154" s="3" t="s">
        <v>2442</v>
      </c>
      <c r="AA154" s="40" t="s">
        <v>287</v>
      </c>
      <c r="AB154" s="10">
        <v>12988</v>
      </c>
      <c r="AC154" s="40" t="s">
        <v>1141</v>
      </c>
      <c r="AD154" s="9">
        <f>$AB154</f>
        <v>12988</v>
      </c>
      <c r="AE154" s="40" t="s">
        <v>1938</v>
      </c>
      <c r="AF154" s="10">
        <f>$AB154</f>
        <v>12988</v>
      </c>
      <c r="AG154" s="40" t="s">
        <v>2672</v>
      </c>
      <c r="AH154" s="9">
        <f>$AF154</f>
        <v>12988</v>
      </c>
    </row>
    <row r="155" spans="1:34" customFormat="1" ht="18.399999999999999" customHeight="1" x14ac:dyDescent="0.15">
      <c r="A155" s="12" t="str">
        <f>CONCATENATE("    보 통 인 부:  0.016 인  * _x001D_167,081_x001D_ = ",TEXT($AB155,"#,##0.00"))</f>
        <v xml:space="preserve">    보 통 인 부:  0.016 인  * _x001D_167,081_x001D_ = 2,673.00</v>
      </c>
      <c r="B155" s="36">
        <f>SUM($C155,$D155,$E155)</f>
        <v>2673</v>
      </c>
      <c r="C155" s="36"/>
      <c r="D155" s="36">
        <f>$AB155</f>
        <v>2673</v>
      </c>
      <c r="E155" s="36"/>
      <c r="F155" s="173" t="s">
        <v>2859</v>
      </c>
      <c r="K155" s="3" t="s">
        <v>1518</v>
      </c>
      <c r="AA155" s="40" t="s">
        <v>287</v>
      </c>
      <c r="AB155" s="10">
        <v>2673</v>
      </c>
      <c r="AC155" s="40" t="s">
        <v>1141</v>
      </c>
      <c r="AD155" s="9">
        <f>$AD154+$AB155</f>
        <v>15661</v>
      </c>
      <c r="AE155" s="40" t="s">
        <v>1430</v>
      </c>
      <c r="AF155" s="10">
        <f>$AB155</f>
        <v>2673</v>
      </c>
      <c r="AG155" s="40" t="s">
        <v>6</v>
      </c>
      <c r="AH155" s="9">
        <f>$AF155</f>
        <v>2673</v>
      </c>
    </row>
    <row r="156" spans="1:34" customFormat="1" ht="18.399999999999999" customHeight="1" x14ac:dyDescent="0.15">
      <c r="A156" s="3" t="s">
        <v>2859</v>
      </c>
      <c r="B156" s="36"/>
      <c r="C156" s="36"/>
      <c r="D156" s="36"/>
      <c r="E156" s="36"/>
      <c r="F156" s="173"/>
      <c r="K156" s="3" t="s">
        <v>2859</v>
      </c>
    </row>
    <row r="157" spans="1:34" customFormat="1" ht="18.399999999999999" customHeight="1" x14ac:dyDescent="0.15">
      <c r="A157" s="3" t="s">
        <v>2544</v>
      </c>
      <c r="B157" s="36"/>
      <c r="C157" s="36"/>
      <c r="D157" s="36"/>
      <c r="E157" s="36"/>
      <c r="F157" s="173"/>
      <c r="K157" s="3" t="s">
        <v>2544</v>
      </c>
    </row>
    <row r="158" spans="1:34" customFormat="1" ht="18.399999999999999" customHeight="1" x14ac:dyDescent="0.15">
      <c r="A158" s="3" t="s">
        <v>2859</v>
      </c>
      <c r="B158" s="36"/>
      <c r="C158" s="36"/>
      <c r="D158" s="36"/>
      <c r="E158" s="36"/>
      <c r="F158" s="173"/>
      <c r="K158" s="3" t="s">
        <v>2859</v>
      </c>
    </row>
    <row r="159" spans="1:34" customFormat="1" ht="18.399999999999999" customHeight="1" x14ac:dyDescent="0.15">
      <c r="A159" s="12" t="str">
        <f>CONCATENATE("    재  료  비 :   _x001D_8,409_x001D_ * 0.035 = ",TEXT($AB159,"#,##0.00"))</f>
        <v xml:space="preserve">    재  료  비 :   _x001D_8,409_x001D_ * 0.035 = 294.00</v>
      </c>
      <c r="B159" s="36">
        <f>SUM($C159,$D159,$E159)</f>
        <v>294</v>
      </c>
      <c r="C159" s="36">
        <f>$AB159</f>
        <v>294</v>
      </c>
      <c r="D159" s="36"/>
      <c r="E159" s="36"/>
      <c r="F159" s="173" t="s">
        <v>2859</v>
      </c>
      <c r="K159" s="3" t="s">
        <v>2173</v>
      </c>
      <c r="AA159" s="40" t="s">
        <v>2113</v>
      </c>
      <c r="AB159" s="10">
        <v>294</v>
      </c>
      <c r="AC159" s="40" t="s">
        <v>2372</v>
      </c>
      <c r="AD159" s="9">
        <f>$AB159</f>
        <v>294</v>
      </c>
    </row>
    <row r="160" spans="1:34" customFormat="1" ht="18.399999999999999" customHeight="1" x14ac:dyDescent="0.15">
      <c r="A160" s="12" t="str">
        <f>CONCATENATE("    노  무  비 :   _x001D_56,874_x001D_ * 0.035 = ",TEXT($AB160,"#,##0.00"))</f>
        <v xml:space="preserve">    노  무  비 :   _x001D_56,874_x001D_ * 0.035 = 1,990.00</v>
      </c>
      <c r="B160" s="36">
        <f>SUM($C160,$D160,$E160)</f>
        <v>1990</v>
      </c>
      <c r="C160" s="36"/>
      <c r="D160" s="36">
        <f>$AB160</f>
        <v>1990</v>
      </c>
      <c r="E160" s="36"/>
      <c r="F160" s="173" t="s">
        <v>2859</v>
      </c>
      <c r="K160" s="3" t="s">
        <v>2456</v>
      </c>
      <c r="AA160" s="40" t="s">
        <v>287</v>
      </c>
      <c r="AB160" s="10">
        <v>1990</v>
      </c>
      <c r="AC160" s="40" t="s">
        <v>1141</v>
      </c>
      <c r="AD160" s="9">
        <f>$AD155+$AB160</f>
        <v>17651</v>
      </c>
    </row>
    <row r="161" spans="1:34" customFormat="1" ht="18.399999999999999" customHeight="1" x14ac:dyDescent="0.15">
      <c r="A161" s="12" t="str">
        <f>CONCATENATE("    경      비 :   _x001D_56,874_x001D_ * 0.035 = ",TEXT($AB161,"#,##0.00"))</f>
        <v xml:space="preserve">    경      비 :   _x001D_56,874_x001D_ * 0.035 = 1,990.00</v>
      </c>
      <c r="B161" s="36">
        <f>SUM($C161,$D161,$E161)</f>
        <v>1990</v>
      </c>
      <c r="C161" s="36"/>
      <c r="D161" s="36">
        <f>$AB161</f>
        <v>1990</v>
      </c>
      <c r="E161" s="36"/>
      <c r="F161" s="173" t="s">
        <v>2859</v>
      </c>
      <c r="K161" s="3" t="s">
        <v>2433</v>
      </c>
      <c r="AA161" s="40" t="s">
        <v>287</v>
      </c>
      <c r="AB161" s="10">
        <v>1990</v>
      </c>
      <c r="AC161" s="40" t="s">
        <v>1141</v>
      </c>
      <c r="AD161" s="9">
        <f>$AD160+$AB161</f>
        <v>19641</v>
      </c>
    </row>
    <row r="162" spans="1:34" customFormat="1" ht="18.399999999999999" customHeight="1" x14ac:dyDescent="0.15">
      <c r="A162" s="3" t="s">
        <v>2859</v>
      </c>
      <c r="B162" s="36"/>
      <c r="C162" s="36"/>
      <c r="D162" s="36"/>
      <c r="E162" s="36"/>
      <c r="F162" s="173"/>
      <c r="K162" s="3" t="s">
        <v>2859</v>
      </c>
    </row>
    <row r="163" spans="1:34" s="158" customFormat="1" ht="18.399999999999999" customHeight="1" x14ac:dyDescent="0.15">
      <c r="A163" s="159" t="s">
        <v>1273</v>
      </c>
      <c r="B163" s="160">
        <f>SUM($C163,$D163,$E163)</f>
        <v>19935</v>
      </c>
      <c r="C163" s="160">
        <f>SUM(C154:C161)</f>
        <v>294</v>
      </c>
      <c r="D163" s="160">
        <f>SUM(D154:D161)</f>
        <v>19641</v>
      </c>
      <c r="E163" s="160">
        <f>SUM(E154:E161)</f>
        <v>0</v>
      </c>
      <c r="F163" s="175"/>
      <c r="K163" s="159" t="s">
        <v>1603</v>
      </c>
      <c r="AA163" s="161" t="s">
        <v>2032</v>
      </c>
      <c r="AB163" s="162">
        <v>294</v>
      </c>
      <c r="AC163" s="161" t="s">
        <v>72</v>
      </c>
      <c r="AD163" s="162">
        <f>$AD161</f>
        <v>19641</v>
      </c>
      <c r="AE163" s="161" t="s">
        <v>2609</v>
      </c>
      <c r="AF163" s="162" t="e">
        <f>#REF!</f>
        <v>#REF!</v>
      </c>
    </row>
    <row r="164" spans="1:34" customFormat="1" ht="18.399999999999999" customHeight="1" x14ac:dyDescent="0.15">
      <c r="A164" s="3" t="s">
        <v>2859</v>
      </c>
      <c r="B164" s="36"/>
      <c r="C164" s="36"/>
      <c r="D164" s="36"/>
      <c r="E164" s="36"/>
      <c r="F164" s="173"/>
      <c r="K164" s="3" t="s">
        <v>2859</v>
      </c>
    </row>
    <row r="165" spans="1:34" customFormat="1" ht="18.399999999999999" customHeight="1" x14ac:dyDescent="0.15">
      <c r="A165" s="3" t="s">
        <v>1716</v>
      </c>
      <c r="B165" s="36"/>
      <c r="C165" s="36"/>
      <c r="D165" s="36"/>
      <c r="E165" s="36"/>
      <c r="F165" s="173"/>
      <c r="K165" s="3" t="s">
        <v>1716</v>
      </c>
    </row>
    <row r="166" spans="1:34" customFormat="1" ht="18.399999999999999" customHeight="1" x14ac:dyDescent="0.15">
      <c r="A166" s="3" t="s">
        <v>2859</v>
      </c>
      <c r="B166" s="36"/>
      <c r="C166" s="36"/>
      <c r="D166" s="36"/>
      <c r="E166" s="36"/>
      <c r="F166" s="173"/>
      <c r="K166" s="3" t="s">
        <v>2859</v>
      </c>
    </row>
    <row r="167" spans="1:34" customFormat="1" ht="18.399999999999999" customHeight="1" x14ac:dyDescent="0.15">
      <c r="A167" s="180" t="s">
        <v>732</v>
      </c>
      <c r="B167" s="41"/>
      <c r="C167" s="41"/>
      <c r="D167" s="41"/>
      <c r="E167" s="41"/>
      <c r="F167" s="181"/>
      <c r="K167" s="3" t="s">
        <v>732</v>
      </c>
    </row>
    <row r="168" spans="1:34" customFormat="1" ht="18.399999999999999" customHeight="1" x14ac:dyDescent="0.15">
      <c r="A168" s="3" t="s">
        <v>2859</v>
      </c>
      <c r="B168" s="36"/>
      <c r="C168" s="36"/>
      <c r="D168" s="36"/>
      <c r="E168" s="36"/>
      <c r="F168" s="173"/>
      <c r="K168" s="3" t="s">
        <v>2859</v>
      </c>
    </row>
    <row r="169" spans="1:34" customFormat="1" ht="18.399999999999999" customHeight="1" x14ac:dyDescent="0.15">
      <c r="A169" s="12" t="str">
        <f>CONCATENATE("    비   계  공:  0.030 인  * _x001D_282,352_x001D_ = ",TEXT($AB169,"#,##0.00"))</f>
        <v xml:space="preserve">    비   계  공:  0.030 인  * _x001D_282,352_x001D_ = 8,470.00</v>
      </c>
      <c r="B169" s="36">
        <f>SUM($C169,$D169,$E169)</f>
        <v>8470</v>
      </c>
      <c r="C169" s="36"/>
      <c r="D169" s="36">
        <f>$AB169</f>
        <v>8470</v>
      </c>
      <c r="E169" s="36"/>
      <c r="F169" s="173" t="s">
        <v>2859</v>
      </c>
      <c r="K169" s="3" t="s">
        <v>1757</v>
      </c>
      <c r="AA169" s="40" t="s">
        <v>287</v>
      </c>
      <c r="AB169" s="10">
        <v>8470</v>
      </c>
      <c r="AC169" s="40" t="s">
        <v>1141</v>
      </c>
      <c r="AD169" s="9">
        <f>$AD161+$AB169</f>
        <v>28111</v>
      </c>
      <c r="AE169" s="40" t="s">
        <v>2295</v>
      </c>
      <c r="AF169" s="10">
        <f>$AB169</f>
        <v>8470</v>
      </c>
      <c r="AG169" s="40" t="s">
        <v>1152</v>
      </c>
      <c r="AH169" s="9">
        <f>$AF169</f>
        <v>8470</v>
      </c>
    </row>
    <row r="170" spans="1:34" customFormat="1" ht="18.399999999999999" customHeight="1" x14ac:dyDescent="0.15">
      <c r="A170" s="12" t="str">
        <f>CONCATENATE("    보 통 인 부:  0.011 인  * _x001D_167,081_x001D_ = ",TEXT($AB170,"#,##0.00"))</f>
        <v xml:space="preserve">    보 통 인 부:  0.011 인  * _x001D_167,081_x001D_ = 1,837.00</v>
      </c>
      <c r="B170" s="36">
        <f>SUM($C170,$D170,$E170)</f>
        <v>1837</v>
      </c>
      <c r="C170" s="36"/>
      <c r="D170" s="36">
        <f>$AB170</f>
        <v>1837</v>
      </c>
      <c r="E170" s="36"/>
      <c r="F170" s="173" t="s">
        <v>2859</v>
      </c>
      <c r="K170" s="3" t="s">
        <v>37</v>
      </c>
      <c r="AA170" s="40" t="s">
        <v>287</v>
      </c>
      <c r="AB170" s="10">
        <v>1837</v>
      </c>
      <c r="AC170" s="40" t="s">
        <v>1141</v>
      </c>
      <c r="AD170" s="9">
        <f>$AD169+$AB170</f>
        <v>29948</v>
      </c>
      <c r="AE170" s="40" t="s">
        <v>2517</v>
      </c>
      <c r="AF170" s="10">
        <f>$AB170</f>
        <v>1837</v>
      </c>
      <c r="AG170" s="40" t="s">
        <v>2473</v>
      </c>
      <c r="AH170" s="9">
        <f>$AF170</f>
        <v>1837</v>
      </c>
    </row>
    <row r="171" spans="1:34" customFormat="1" ht="18.399999999999999" customHeight="1" x14ac:dyDescent="0.15">
      <c r="A171" s="3" t="s">
        <v>2859</v>
      </c>
      <c r="B171" s="36"/>
      <c r="C171" s="36"/>
      <c r="D171" s="36"/>
      <c r="E171" s="36"/>
      <c r="F171" s="173"/>
      <c r="K171" s="3" t="s">
        <v>2859</v>
      </c>
    </row>
    <row r="172" spans="1:34" s="158" customFormat="1" ht="18.399999999999999" customHeight="1" x14ac:dyDescent="0.15">
      <c r="A172" s="159" t="s">
        <v>1631</v>
      </c>
      <c r="B172" s="160">
        <f>SUM($C172,$D172,$E172)</f>
        <v>10307</v>
      </c>
      <c r="C172" s="160">
        <f>$AB172</f>
        <v>0</v>
      </c>
      <c r="D172" s="160">
        <f>SUM(D169:D170)</f>
        <v>10307</v>
      </c>
      <c r="E172" s="160">
        <f>SUM(E169:E170)</f>
        <v>0</v>
      </c>
      <c r="F172" s="175"/>
      <c r="K172" s="159" t="s">
        <v>2849</v>
      </c>
      <c r="AA172" s="161" t="s">
        <v>2032</v>
      </c>
      <c r="AB172" s="162">
        <f>$AD159-$AD159</f>
        <v>0</v>
      </c>
      <c r="AC172" s="161" t="s">
        <v>72</v>
      </c>
      <c r="AD172" s="162">
        <f>$AD170-$AD161</f>
        <v>10307</v>
      </c>
      <c r="AE172" s="161" t="s">
        <v>2609</v>
      </c>
      <c r="AF172" s="162" t="e">
        <f>#REF!-#REF!</f>
        <v>#REF!</v>
      </c>
    </row>
    <row r="173" spans="1:34" customFormat="1" ht="18.399999999999999" customHeight="1" x14ac:dyDescent="0.15">
      <c r="A173" s="3" t="s">
        <v>2859</v>
      </c>
      <c r="B173" s="36"/>
      <c r="C173" s="36"/>
      <c r="D173" s="36"/>
      <c r="E173" s="36"/>
      <c r="F173" s="173"/>
      <c r="K173" s="3" t="s">
        <v>2859</v>
      </c>
    </row>
    <row r="174" spans="1:34" customFormat="1" ht="18.399999999999999" customHeight="1" x14ac:dyDescent="0.15">
      <c r="A174" s="3" t="s">
        <v>2375</v>
      </c>
      <c r="B174" s="36"/>
      <c r="C174" s="36"/>
      <c r="D174" s="36"/>
      <c r="E174" s="36"/>
      <c r="F174" s="173"/>
      <c r="K174" s="3" t="s">
        <v>2375</v>
      </c>
    </row>
    <row r="175" spans="1:34" customFormat="1" ht="18.399999999999999" customHeight="1" x14ac:dyDescent="0.15">
      <c r="A175" s="3" t="s">
        <v>2859</v>
      </c>
      <c r="B175" s="36"/>
      <c r="C175" s="36"/>
      <c r="D175" s="36"/>
      <c r="E175" s="36"/>
      <c r="F175" s="173"/>
      <c r="K175" s="3" t="s">
        <v>2859</v>
      </c>
    </row>
    <row r="176" spans="1:34" customFormat="1" ht="18.399999999999999" customHeight="1" x14ac:dyDescent="0.15">
      <c r="A176" s="3" t="s">
        <v>451</v>
      </c>
      <c r="B176" s="36"/>
      <c r="C176" s="36"/>
      <c r="D176" s="36"/>
      <c r="E176" s="36"/>
      <c r="F176" s="173"/>
      <c r="K176" s="3" t="s">
        <v>451</v>
      </c>
    </row>
    <row r="177" spans="1:34" customFormat="1" ht="18.399999999999999" customHeight="1" x14ac:dyDescent="0.15">
      <c r="A177" s="3" t="s">
        <v>2859</v>
      </c>
      <c r="B177" s="36"/>
      <c r="C177" s="36"/>
      <c r="D177" s="36"/>
      <c r="E177" s="36"/>
      <c r="F177" s="173"/>
      <c r="K177" s="3" t="s">
        <v>2859</v>
      </c>
    </row>
    <row r="178" spans="1:34" customFormat="1" ht="18.399999999999999" customHeight="1" x14ac:dyDescent="0.15">
      <c r="A178" s="3" t="s">
        <v>732</v>
      </c>
      <c r="B178" s="36"/>
      <c r="C178" s="36"/>
      <c r="D178" s="36"/>
      <c r="E178" s="36"/>
      <c r="F178" s="173"/>
      <c r="K178" s="3" t="s">
        <v>732</v>
      </c>
    </row>
    <row r="179" spans="1:34" customFormat="1" ht="18.399999999999999" customHeight="1" x14ac:dyDescent="0.15">
      <c r="A179" s="3" t="s">
        <v>2859</v>
      </c>
      <c r="B179" s="36"/>
      <c r="C179" s="36"/>
      <c r="D179" s="36"/>
      <c r="E179" s="36"/>
      <c r="F179" s="173"/>
      <c r="K179" s="3" t="s">
        <v>2859</v>
      </c>
    </row>
    <row r="180" spans="1:34" customFormat="1" ht="18.399999999999999" customHeight="1" x14ac:dyDescent="0.15">
      <c r="A180" s="12" t="str">
        <f>CONCATENATE("    비   계  공:  0.018 인  * _x001D_282,352_x001D_ = ",TEXT($AB180,"#,##0.00"))</f>
        <v xml:space="preserve">    비   계  공:  0.018 인  * _x001D_282,352_x001D_ = 5,082.00</v>
      </c>
      <c r="B180" s="36">
        <f>SUM($C180,$D180,$E180)</f>
        <v>5082</v>
      </c>
      <c r="C180" s="36"/>
      <c r="D180" s="36">
        <f>$AB180</f>
        <v>5082</v>
      </c>
      <c r="E180" s="36"/>
      <c r="F180" s="173" t="s">
        <v>2859</v>
      </c>
      <c r="K180" s="3" t="s">
        <v>157</v>
      </c>
      <c r="AA180" s="40" t="s">
        <v>287</v>
      </c>
      <c r="AB180" s="10">
        <v>5082</v>
      </c>
      <c r="AC180" s="40" t="s">
        <v>1141</v>
      </c>
      <c r="AD180" s="9">
        <f>$AD170+$AB180</f>
        <v>35030</v>
      </c>
      <c r="AE180" s="40" t="s">
        <v>1252</v>
      </c>
      <c r="AF180" s="10">
        <f>$AB180</f>
        <v>5082</v>
      </c>
      <c r="AG180" s="40" t="s">
        <v>2059</v>
      </c>
      <c r="AH180" s="9">
        <f>$AF180</f>
        <v>5082</v>
      </c>
    </row>
    <row r="181" spans="1:34" customFormat="1" ht="18.399999999999999" customHeight="1" x14ac:dyDescent="0.15">
      <c r="A181" s="12" t="str">
        <f>CONCATENATE("    보 통 인 부:  0.006 인  * _x001D_167,081_x001D_ = ",TEXT($AB181,"#,##0.00"))</f>
        <v xml:space="preserve">    보 통 인 부:  0.006 인  * _x001D_167,081_x001D_ = 1,002.00</v>
      </c>
      <c r="B181" s="36">
        <f>SUM($C181,$D181,$E181)</f>
        <v>1002</v>
      </c>
      <c r="C181" s="36"/>
      <c r="D181" s="36">
        <f>$AB181</f>
        <v>1002</v>
      </c>
      <c r="E181" s="36"/>
      <c r="F181" s="173" t="s">
        <v>2859</v>
      </c>
      <c r="K181" s="3" t="s">
        <v>949</v>
      </c>
      <c r="AA181" s="40" t="s">
        <v>287</v>
      </c>
      <c r="AB181" s="10">
        <v>1002</v>
      </c>
      <c r="AC181" s="40" t="s">
        <v>1141</v>
      </c>
      <c r="AD181" s="9">
        <f>$AD180+$AB181</f>
        <v>36032</v>
      </c>
      <c r="AE181" s="40" t="s">
        <v>2126</v>
      </c>
      <c r="AF181" s="10">
        <f>$AB181</f>
        <v>1002</v>
      </c>
      <c r="AG181" s="40" t="s">
        <v>973</v>
      </c>
      <c r="AH181" s="9">
        <f>$AF181</f>
        <v>1002</v>
      </c>
    </row>
    <row r="182" spans="1:34" customFormat="1" ht="18.399999999999999" customHeight="1" x14ac:dyDescent="0.15">
      <c r="A182" s="3" t="s">
        <v>2859</v>
      </c>
      <c r="B182" s="36"/>
      <c r="C182" s="36"/>
      <c r="D182" s="36"/>
      <c r="E182" s="36"/>
      <c r="F182" s="173"/>
      <c r="K182" s="3" t="s">
        <v>2859</v>
      </c>
    </row>
    <row r="183" spans="1:34" customFormat="1" ht="18.399999999999999" customHeight="1" x14ac:dyDescent="0.15">
      <c r="A183" s="3" t="s">
        <v>2544</v>
      </c>
      <c r="B183" s="36"/>
      <c r="C183" s="36"/>
      <c r="D183" s="36"/>
      <c r="E183" s="36"/>
      <c r="F183" s="173"/>
      <c r="K183" s="3" t="s">
        <v>2544</v>
      </c>
    </row>
    <row r="184" spans="1:34" customFormat="1" ht="18.399999999999999" customHeight="1" x14ac:dyDescent="0.15">
      <c r="A184" s="3" t="s">
        <v>2859</v>
      </c>
      <c r="B184" s="36"/>
      <c r="C184" s="36"/>
      <c r="D184" s="36"/>
      <c r="E184" s="36"/>
      <c r="F184" s="173"/>
      <c r="K184" s="3" t="s">
        <v>2859</v>
      </c>
    </row>
    <row r="185" spans="1:34" customFormat="1" ht="18.399999999999999" customHeight="1" x14ac:dyDescent="0.15">
      <c r="A185" s="12" t="str">
        <f>CONCATENATE("    재  료  비 :   _x001D_8,409_x001D_ * 0.014 = ",TEXT($AB185,"#,##0.00"))</f>
        <v xml:space="preserve">    재  료  비 :   _x001D_8,409_x001D_ * 0.014 = 117.00</v>
      </c>
      <c r="B185" s="36">
        <f>SUM($C185,$D185,$E185)</f>
        <v>117</v>
      </c>
      <c r="C185" s="36">
        <f>$AB185</f>
        <v>117</v>
      </c>
      <c r="D185" s="36"/>
      <c r="E185" s="36"/>
      <c r="F185" s="173" t="s">
        <v>2859</v>
      </c>
      <c r="K185" s="3" t="s">
        <v>2405</v>
      </c>
      <c r="AA185" s="40" t="s">
        <v>2113</v>
      </c>
      <c r="AB185" s="10">
        <v>117</v>
      </c>
      <c r="AC185" s="40" t="s">
        <v>2372</v>
      </c>
      <c r="AD185" s="9">
        <f>$AD159+$AB185</f>
        <v>411</v>
      </c>
    </row>
    <row r="186" spans="1:34" customFormat="1" ht="18.399999999999999" customHeight="1" x14ac:dyDescent="0.15">
      <c r="A186" s="12" t="str">
        <f>CONCATENATE("    노  무  비 :   _x001D_56,874_x001D_ * 0.014 = ",TEXT($AB186,"#,##0.00"))</f>
        <v xml:space="preserve">    노  무  비 :   _x001D_56,874_x001D_ * 0.014 = 796.00</v>
      </c>
      <c r="B186" s="36">
        <f>SUM($C186,$D186,$E186)</f>
        <v>796</v>
      </c>
      <c r="C186" s="36"/>
      <c r="D186" s="36">
        <f>$AB186</f>
        <v>796</v>
      </c>
      <c r="E186" s="36"/>
      <c r="F186" s="173" t="s">
        <v>2859</v>
      </c>
      <c r="K186" s="3" t="s">
        <v>2219</v>
      </c>
      <c r="AA186" s="40" t="s">
        <v>287</v>
      </c>
      <c r="AB186" s="10">
        <v>796</v>
      </c>
      <c r="AC186" s="40" t="s">
        <v>1141</v>
      </c>
      <c r="AD186" s="9">
        <f>$AD181+$AB186</f>
        <v>36828</v>
      </c>
    </row>
    <row r="187" spans="1:34" customFormat="1" ht="18.399999999999999" customHeight="1" x14ac:dyDescent="0.15">
      <c r="A187" s="12" t="str">
        <f>CONCATENATE("    경      비 :   _x001D_56,874_x001D_ * 0.014 = ",TEXT($AB187,"#,##0.00"))</f>
        <v xml:space="preserve">    경      비 :   _x001D_56,874_x001D_ * 0.014 = 796.00</v>
      </c>
      <c r="B187" s="36">
        <f>SUM($C187,$D187,$E187)</f>
        <v>796</v>
      </c>
      <c r="C187" s="36"/>
      <c r="D187" s="36">
        <f>$AB187</f>
        <v>796</v>
      </c>
      <c r="E187" s="36"/>
      <c r="F187" s="173" t="s">
        <v>2859</v>
      </c>
      <c r="K187" s="3" t="s">
        <v>2255</v>
      </c>
      <c r="AA187" s="40" t="s">
        <v>287</v>
      </c>
      <c r="AB187" s="10">
        <v>796</v>
      </c>
      <c r="AC187" s="40" t="s">
        <v>1141</v>
      </c>
      <c r="AD187" s="9">
        <f>$AD186+$AB187</f>
        <v>37624</v>
      </c>
    </row>
    <row r="188" spans="1:34" customFormat="1" ht="18.399999999999999" customHeight="1" x14ac:dyDescent="0.15">
      <c r="A188" s="3" t="s">
        <v>2859</v>
      </c>
      <c r="B188" s="36"/>
      <c r="C188" s="36"/>
      <c r="D188" s="36"/>
      <c r="E188" s="36"/>
      <c r="F188" s="173"/>
      <c r="K188" s="3" t="s">
        <v>2859</v>
      </c>
    </row>
    <row r="189" spans="1:34" s="158" customFormat="1" ht="18.399999999999999" customHeight="1" x14ac:dyDescent="0.15">
      <c r="A189" s="159" t="s">
        <v>1273</v>
      </c>
      <c r="B189" s="160">
        <f>SUM($C189,$D189,$E189)</f>
        <v>7793</v>
      </c>
      <c r="C189" s="160">
        <f>SUM(C178:C188)</f>
        <v>117</v>
      </c>
      <c r="D189" s="160">
        <f>SUM(D178:D188)</f>
        <v>7676</v>
      </c>
      <c r="E189" s="160">
        <f>SUM(E178:E188)</f>
        <v>0</v>
      </c>
      <c r="F189" s="175"/>
      <c r="K189" s="159" t="s">
        <v>1603</v>
      </c>
      <c r="AA189" s="161" t="s">
        <v>2032</v>
      </c>
      <c r="AB189" s="162">
        <f>$AD185-$AD159</f>
        <v>117</v>
      </c>
      <c r="AC189" s="161" t="s">
        <v>72</v>
      </c>
      <c r="AD189" s="162">
        <f>$AD187-$AD170</f>
        <v>7676</v>
      </c>
      <c r="AE189" s="161" t="s">
        <v>2609</v>
      </c>
      <c r="AF189" s="162" t="e">
        <f>#REF!-#REF!</f>
        <v>#REF!</v>
      </c>
    </row>
    <row r="190" spans="1:34" customFormat="1" ht="18.399999999999999" customHeight="1" x14ac:dyDescent="0.15">
      <c r="A190" s="3" t="s">
        <v>2859</v>
      </c>
      <c r="B190" s="36"/>
      <c r="C190" s="36"/>
      <c r="D190" s="36"/>
      <c r="E190" s="36"/>
      <c r="F190" s="173"/>
      <c r="K190" s="3" t="s">
        <v>2859</v>
      </c>
    </row>
    <row r="191" spans="1:34" customFormat="1" ht="18.399999999999999" customHeight="1" x14ac:dyDescent="0.15">
      <c r="A191" s="3" t="s">
        <v>2802</v>
      </c>
      <c r="B191" s="36"/>
      <c r="C191" s="36"/>
      <c r="D191" s="36"/>
      <c r="E191" s="36"/>
      <c r="F191" s="173"/>
      <c r="K191" s="3" t="s">
        <v>2802</v>
      </c>
    </row>
    <row r="192" spans="1:34" customFormat="1" ht="18.399999999999999" customHeight="1" x14ac:dyDescent="0.15">
      <c r="A192" s="3" t="s">
        <v>2859</v>
      </c>
      <c r="B192" s="36"/>
      <c r="C192" s="36"/>
      <c r="D192" s="36"/>
      <c r="E192" s="36"/>
      <c r="F192" s="173"/>
      <c r="K192" s="3" t="s">
        <v>2859</v>
      </c>
    </row>
    <row r="193" spans="1:34" customFormat="1" ht="18.399999999999999" customHeight="1" x14ac:dyDescent="0.15">
      <c r="A193" s="3" t="s">
        <v>732</v>
      </c>
      <c r="B193" s="36"/>
      <c r="C193" s="36"/>
      <c r="D193" s="36"/>
      <c r="E193" s="36"/>
      <c r="F193" s="173"/>
      <c r="K193" s="3" t="s">
        <v>732</v>
      </c>
    </row>
    <row r="194" spans="1:34" customFormat="1" ht="18.399999999999999" customHeight="1" x14ac:dyDescent="0.15">
      <c r="A194" s="3" t="s">
        <v>2859</v>
      </c>
      <c r="B194" s="36"/>
      <c r="C194" s="36"/>
      <c r="D194" s="36"/>
      <c r="E194" s="36"/>
      <c r="F194" s="173"/>
      <c r="K194" s="3" t="s">
        <v>2859</v>
      </c>
    </row>
    <row r="195" spans="1:34" customFormat="1" ht="18.399999999999999" customHeight="1" x14ac:dyDescent="0.15">
      <c r="A195" s="12" t="str">
        <f>CONCATENATE("    비   계  공:  0.012 인  * _x001D_282,352_x001D_ = ",TEXT($AB195,"#,##0.00"))</f>
        <v xml:space="preserve">    비   계  공:  0.012 인  * _x001D_282,352_x001D_ = 3,388.00</v>
      </c>
      <c r="B195" s="36">
        <f>SUM($C195,$D195,$E195)</f>
        <v>3388</v>
      </c>
      <c r="C195" s="36"/>
      <c r="D195" s="36">
        <f>$AB195</f>
        <v>3388</v>
      </c>
      <c r="E195" s="36"/>
      <c r="F195" s="173" t="s">
        <v>2859</v>
      </c>
      <c r="K195" s="3" t="s">
        <v>342</v>
      </c>
      <c r="AA195" s="40" t="s">
        <v>287</v>
      </c>
      <c r="AB195" s="10">
        <v>3388</v>
      </c>
      <c r="AC195" s="40" t="s">
        <v>1141</v>
      </c>
      <c r="AD195" s="9">
        <f>$AD187+$AB195</f>
        <v>41012</v>
      </c>
      <c r="AE195" s="40" t="s">
        <v>156</v>
      </c>
      <c r="AF195" s="10">
        <f>$AB195</f>
        <v>3388</v>
      </c>
      <c r="AG195" s="40" t="s">
        <v>533</v>
      </c>
      <c r="AH195" s="9">
        <f>$AF195</f>
        <v>3388</v>
      </c>
    </row>
    <row r="196" spans="1:34" customFormat="1" ht="18.399999999999999" customHeight="1" x14ac:dyDescent="0.15">
      <c r="A196" s="12" t="str">
        <f>CONCATENATE("    보 통 인 부:  0.005 인  * _x001D_167,081_x001D_ = ",TEXT($AB196,"#,##0.00"))</f>
        <v xml:space="preserve">    보 통 인 부:  0.005 인  * _x001D_167,081_x001D_ = 835.00</v>
      </c>
      <c r="B196" s="36">
        <f>SUM($C196,$D196,$E196)</f>
        <v>835</v>
      </c>
      <c r="C196" s="36"/>
      <c r="D196" s="36">
        <f>$AB196</f>
        <v>835</v>
      </c>
      <c r="E196" s="36"/>
      <c r="F196" s="173" t="s">
        <v>2859</v>
      </c>
      <c r="K196" s="3" t="s">
        <v>10</v>
      </c>
      <c r="AA196" s="40" t="s">
        <v>287</v>
      </c>
      <c r="AB196" s="10">
        <v>835</v>
      </c>
      <c r="AC196" s="40" t="s">
        <v>1141</v>
      </c>
      <c r="AD196" s="9">
        <f>$AD195+$AB196</f>
        <v>41847</v>
      </c>
      <c r="AE196" s="40" t="s">
        <v>2496</v>
      </c>
      <c r="AF196" s="10">
        <f>$AB196</f>
        <v>835</v>
      </c>
      <c r="AG196" s="40" t="s">
        <v>1140</v>
      </c>
      <c r="AH196" s="9">
        <f>$AF196</f>
        <v>835</v>
      </c>
    </row>
    <row r="197" spans="1:34" customFormat="1" ht="18.399999999999999" customHeight="1" x14ac:dyDescent="0.15">
      <c r="A197" s="3" t="s">
        <v>2859</v>
      </c>
      <c r="B197" s="36"/>
      <c r="C197" s="36"/>
      <c r="D197" s="36"/>
      <c r="E197" s="36"/>
      <c r="F197" s="173"/>
      <c r="K197" s="3" t="s">
        <v>2859</v>
      </c>
    </row>
    <row r="198" spans="1:34" s="158" customFormat="1" ht="18.399999999999999" customHeight="1" x14ac:dyDescent="0.15">
      <c r="A198" s="159" t="s">
        <v>1631</v>
      </c>
      <c r="B198" s="160">
        <f>SUM($C198,$D198,$E198)</f>
        <v>4223</v>
      </c>
      <c r="C198" s="160">
        <f>SUM(C193:C197)</f>
        <v>0</v>
      </c>
      <c r="D198" s="160">
        <f>SUM(D193:D197)</f>
        <v>4223</v>
      </c>
      <c r="E198" s="160">
        <f>SUM(E193:E197)</f>
        <v>0</v>
      </c>
      <c r="F198" s="175"/>
      <c r="K198" s="159" t="s">
        <v>2849</v>
      </c>
      <c r="AA198" s="161" t="s">
        <v>2032</v>
      </c>
      <c r="AB198" s="162">
        <f>$AD185-$AD185</f>
        <v>0</v>
      </c>
      <c r="AC198" s="161" t="s">
        <v>72</v>
      </c>
      <c r="AD198" s="162">
        <f>$AD196-$AD187</f>
        <v>4223</v>
      </c>
      <c r="AE198" s="161" t="s">
        <v>2609</v>
      </c>
      <c r="AF198" s="162" t="e">
        <f>#REF!-#REF!</f>
        <v>#REF!</v>
      </c>
    </row>
    <row r="199" spans="1:34" customFormat="1" ht="18.399999999999999" customHeight="1" x14ac:dyDescent="0.15">
      <c r="A199" s="3" t="s">
        <v>2859</v>
      </c>
      <c r="B199" s="36"/>
      <c r="C199" s="36"/>
      <c r="D199" s="36"/>
      <c r="E199" s="36"/>
      <c r="F199" s="173"/>
      <c r="K199" s="3" t="s">
        <v>2859</v>
      </c>
    </row>
    <row r="200" spans="1:34" customFormat="1" ht="18.399999999999999" customHeight="1" x14ac:dyDescent="0.15">
      <c r="A200" s="3" t="s">
        <v>2</v>
      </c>
      <c r="B200" s="36"/>
      <c r="C200" s="36"/>
      <c r="D200" s="36"/>
      <c r="E200" s="36"/>
      <c r="F200" s="173"/>
      <c r="K200" s="3" t="s">
        <v>2</v>
      </c>
    </row>
    <row r="201" spans="1:34" customFormat="1" ht="18.399999999999999" customHeight="1" x14ac:dyDescent="0.15">
      <c r="A201" s="3" t="s">
        <v>2859</v>
      </c>
      <c r="B201" s="36"/>
      <c r="C201" s="36"/>
      <c r="D201" s="36"/>
      <c r="E201" s="36"/>
      <c r="F201" s="173"/>
      <c r="K201" s="3" t="s">
        <v>2859</v>
      </c>
    </row>
    <row r="202" spans="1:34" customFormat="1" ht="18.399999999999999" customHeight="1" x14ac:dyDescent="0.15">
      <c r="A202" s="12" t="str">
        <f>CONCATENATE(TEXT($AB202,"#,##0.00")," * 0.03 =",TEXT($AF202,"#,##0.00"))</f>
        <v>36,275.00 * 0.03 =1,088.00</v>
      </c>
      <c r="B202" s="36">
        <f>SUM($C202,$D202,$E202)</f>
        <v>1088</v>
      </c>
      <c r="C202" s="36"/>
      <c r="D202" s="36"/>
      <c r="E202" s="36">
        <f>$AF202</f>
        <v>1088</v>
      </c>
      <c r="F202" s="173"/>
      <c r="K202" s="3" t="s">
        <v>2590</v>
      </c>
      <c r="AA202" s="39" t="s">
        <v>1056</v>
      </c>
      <c r="AB202" s="10">
        <f>$AH154+$AH155+$AH169+$AH170+$AH180+$AH181+$AH195+$AH196</f>
        <v>36275</v>
      </c>
      <c r="AC202" s="39" t="s">
        <v>1564</v>
      </c>
      <c r="AD202" s="9">
        <f>$AB202</f>
        <v>36275</v>
      </c>
      <c r="AE202" s="40" t="s">
        <v>907</v>
      </c>
      <c r="AF202" s="10">
        <f>TRUNC($AD202*0.03,0)</f>
        <v>1088</v>
      </c>
      <c r="AG202" s="40" t="s">
        <v>1545</v>
      </c>
      <c r="AH202" s="9" t="e">
        <f>#REF!+$AF202</f>
        <v>#REF!</v>
      </c>
    </row>
    <row r="203" spans="1:34" customFormat="1" ht="18.399999999999999" customHeight="1" x14ac:dyDescent="0.15">
      <c r="A203" s="3" t="s">
        <v>2859</v>
      </c>
      <c r="B203" s="36"/>
      <c r="C203" s="36"/>
      <c r="D203" s="36"/>
      <c r="E203" s="36"/>
      <c r="F203" s="173"/>
      <c r="K203" s="3" t="s">
        <v>2859</v>
      </c>
    </row>
    <row r="204" spans="1:34" s="158" customFormat="1" ht="18.399999999999999" customHeight="1" x14ac:dyDescent="0.15">
      <c r="A204" s="159" t="s">
        <v>1273</v>
      </c>
      <c r="B204" s="160">
        <f>SUM($C204,$D204,$E204)</f>
        <v>1088</v>
      </c>
      <c r="C204" s="160">
        <f>C202</f>
        <v>0</v>
      </c>
      <c r="D204" s="160">
        <f>D202</f>
        <v>0</v>
      </c>
      <c r="E204" s="160">
        <f>E202</f>
        <v>1088</v>
      </c>
      <c r="F204" s="175"/>
      <c r="K204" s="159" t="s">
        <v>1603</v>
      </c>
      <c r="AA204" s="161" t="s">
        <v>2032</v>
      </c>
      <c r="AB204" s="162">
        <f>$AD185-$AD185</f>
        <v>0</v>
      </c>
      <c r="AC204" s="161" t="s">
        <v>72</v>
      </c>
      <c r="AD204" s="162">
        <f>$AD196-$AD196</f>
        <v>0</v>
      </c>
      <c r="AE204" s="161" t="s">
        <v>2609</v>
      </c>
      <c r="AF204" s="162" t="e">
        <f>$AH202-#REF!</f>
        <v>#REF!</v>
      </c>
    </row>
    <row r="205" spans="1:34" customFormat="1" ht="18.399999999999999" customHeight="1" x14ac:dyDescent="0.15">
      <c r="A205" s="3" t="s">
        <v>2859</v>
      </c>
      <c r="B205" s="36"/>
      <c r="C205" s="36"/>
      <c r="D205" s="36"/>
      <c r="E205" s="36"/>
      <c r="F205" s="173"/>
      <c r="K205" s="3" t="s">
        <v>2859</v>
      </c>
    </row>
    <row r="206" spans="1:34" s="158" customFormat="1" ht="18.399999999999999" customHeight="1" x14ac:dyDescent="0.15">
      <c r="A206" s="159" t="s">
        <v>1261</v>
      </c>
      <c r="B206" s="182">
        <f>SUM(B146,B163,B172,B189,B198,B204)</f>
        <v>105262</v>
      </c>
      <c r="C206" s="182">
        <f>SUM(C146,C163,C172,C189,C198,C204)</f>
        <v>411</v>
      </c>
      <c r="D206" s="182">
        <f>SUM(D146,D163,D172,D189,D198,D204)</f>
        <v>41847</v>
      </c>
      <c r="E206" s="182">
        <f>SUM(E146,E163,E172,E189,E198,E204)</f>
        <v>63004</v>
      </c>
      <c r="F206" s="183"/>
      <c r="K206" s="159" t="s">
        <v>2692</v>
      </c>
      <c r="AA206" s="161" t="s">
        <v>1148</v>
      </c>
      <c r="AB206" s="162">
        <f>$AD185</f>
        <v>411</v>
      </c>
      <c r="AC206" s="161" t="s">
        <v>2379</v>
      </c>
      <c r="AD206" s="162">
        <f>$AD196</f>
        <v>41847</v>
      </c>
      <c r="AE206" s="161" t="s">
        <v>628</v>
      </c>
      <c r="AF206" s="162" t="e">
        <f>$AH202</f>
        <v>#REF!</v>
      </c>
    </row>
    <row r="207" spans="1:34" customFormat="1" ht="18.399999999999999" customHeight="1" x14ac:dyDescent="0.15">
      <c r="A207" s="177"/>
      <c r="B207" s="3"/>
      <c r="C207" s="3"/>
      <c r="D207" s="3"/>
      <c r="E207" s="3"/>
      <c r="F207" s="178"/>
    </row>
    <row r="208" spans="1:34" s="158" customFormat="1" ht="18.399999999999999" customHeight="1" x14ac:dyDescent="0.15">
      <c r="A208" s="179" t="s">
        <v>1643</v>
      </c>
      <c r="B208" s="163">
        <f>SUM($C208,$D208,$E208)</f>
        <v>105262</v>
      </c>
      <c r="C208" s="163">
        <f>C206</f>
        <v>411</v>
      </c>
      <c r="D208" s="163">
        <f>D206</f>
        <v>41847</v>
      </c>
      <c r="E208" s="163">
        <f>E206</f>
        <v>63004</v>
      </c>
      <c r="F208" s="176" t="s">
        <v>2859</v>
      </c>
      <c r="K208" s="159" t="s">
        <v>2334</v>
      </c>
      <c r="AA208" s="164" t="s">
        <v>907</v>
      </c>
      <c r="AB208" s="165">
        <v>132217</v>
      </c>
      <c r="AC208" s="164" t="s">
        <v>1545</v>
      </c>
      <c r="AD208" s="162">
        <f>$AB208</f>
        <v>132217</v>
      </c>
    </row>
    <row r="209" spans="1:6" customFormat="1" ht="18.399999999999999" customHeight="1" x14ac:dyDescent="0.15">
      <c r="A209" s="42"/>
      <c r="B209" s="169"/>
      <c r="C209" s="3"/>
      <c r="D209" s="3"/>
      <c r="E209" s="3"/>
      <c r="F209" s="46"/>
    </row>
  </sheetData>
  <mergeCells count="2">
    <mergeCell ref="AA3:AG3"/>
    <mergeCell ref="AA4:AG4"/>
  </mergeCells>
  <phoneticPr fontId="5" type="noConversion"/>
  <pageMargins left="0.31496062992125984" right="0.31496062992125984" top="0.98425196850393704" bottom="0.59055118110236227" header="0.51181102362204722" footer="0.51181102362204722"/>
  <pageSetup paperSize="9" scale="96" orientation="portrait" r:id="rId1"/>
  <headerFooter alignWithMargins="0"/>
  <rowBreaks count="6" manualBreakCount="6">
    <brk id="33" max="5" man="1"/>
    <brk id="58" max="5" man="1"/>
    <brk id="91" max="5" man="1"/>
    <brk id="127" max="5" man="1"/>
    <brk id="167" max="5" man="1"/>
    <brk id="208" max="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1C90-8F92-468C-B0B0-0732BC84B887}">
  <sheetPr>
    <tabColor rgb="FFFF0000"/>
  </sheetPr>
  <dimension ref="A1:K5"/>
  <sheetViews>
    <sheetView view="pageBreakPreview" zoomScale="60" zoomScaleNormal="100" workbookViewId="0">
      <selection activeCell="F8" sqref="F8"/>
    </sheetView>
  </sheetViews>
  <sheetFormatPr defaultRowHeight="12.75" customHeight="1" x14ac:dyDescent="0.15"/>
  <cols>
    <col min="1" max="1" width="28.5" style="64" customWidth="1"/>
    <col min="2" max="2" width="17.1640625" style="64" customWidth="1"/>
    <col min="3" max="3" width="11.5" style="64" customWidth="1"/>
    <col min="4" max="4" width="5.6640625" style="64" customWidth="1"/>
    <col min="5" max="8" width="17.1640625" style="64" customWidth="1"/>
    <col min="9" max="9" width="11.5" style="64" customWidth="1"/>
    <col min="10" max="13" width="0" style="64" hidden="1" customWidth="1"/>
    <col min="14" max="256" width="9.1640625" style="64"/>
    <col min="257" max="257" width="28.5" style="64" customWidth="1"/>
    <col min="258" max="258" width="17.1640625" style="64" customWidth="1"/>
    <col min="259" max="259" width="11.5" style="64" customWidth="1"/>
    <col min="260" max="260" width="5.6640625" style="64" customWidth="1"/>
    <col min="261" max="264" width="17.1640625" style="64" customWidth="1"/>
    <col min="265" max="265" width="11.5" style="64" customWidth="1"/>
    <col min="266" max="269" width="0" style="64" hidden="1" customWidth="1"/>
    <col min="270" max="512" width="9.1640625" style="64"/>
    <col min="513" max="513" width="28.5" style="64" customWidth="1"/>
    <col min="514" max="514" width="17.1640625" style="64" customWidth="1"/>
    <col min="515" max="515" width="11.5" style="64" customWidth="1"/>
    <col min="516" max="516" width="5.6640625" style="64" customWidth="1"/>
    <col min="517" max="520" width="17.1640625" style="64" customWidth="1"/>
    <col min="521" max="521" width="11.5" style="64" customWidth="1"/>
    <col min="522" max="525" width="0" style="64" hidden="1" customWidth="1"/>
    <col min="526" max="768" width="9.1640625" style="64"/>
    <col min="769" max="769" width="28.5" style="64" customWidth="1"/>
    <col min="770" max="770" width="17.1640625" style="64" customWidth="1"/>
    <col min="771" max="771" width="11.5" style="64" customWidth="1"/>
    <col min="772" max="772" width="5.6640625" style="64" customWidth="1"/>
    <col min="773" max="776" width="17.1640625" style="64" customWidth="1"/>
    <col min="777" max="777" width="11.5" style="64" customWidth="1"/>
    <col min="778" max="781" width="0" style="64" hidden="1" customWidth="1"/>
    <col min="782" max="1024" width="9.1640625" style="64"/>
    <col min="1025" max="1025" width="28.5" style="64" customWidth="1"/>
    <col min="1026" max="1026" width="17.1640625" style="64" customWidth="1"/>
    <col min="1027" max="1027" width="11.5" style="64" customWidth="1"/>
    <col min="1028" max="1028" width="5.6640625" style="64" customWidth="1"/>
    <col min="1029" max="1032" width="17.1640625" style="64" customWidth="1"/>
    <col min="1033" max="1033" width="11.5" style="64" customWidth="1"/>
    <col min="1034" max="1037" width="0" style="64" hidden="1" customWidth="1"/>
    <col min="1038" max="1280" width="9.1640625" style="64"/>
    <col min="1281" max="1281" width="28.5" style="64" customWidth="1"/>
    <col min="1282" max="1282" width="17.1640625" style="64" customWidth="1"/>
    <col min="1283" max="1283" width="11.5" style="64" customWidth="1"/>
    <col min="1284" max="1284" width="5.6640625" style="64" customWidth="1"/>
    <col min="1285" max="1288" width="17.1640625" style="64" customWidth="1"/>
    <col min="1289" max="1289" width="11.5" style="64" customWidth="1"/>
    <col min="1290" max="1293" width="0" style="64" hidden="1" customWidth="1"/>
    <col min="1294" max="1536" width="9.1640625" style="64"/>
    <col min="1537" max="1537" width="28.5" style="64" customWidth="1"/>
    <col min="1538" max="1538" width="17.1640625" style="64" customWidth="1"/>
    <col min="1539" max="1539" width="11.5" style="64" customWidth="1"/>
    <col min="1540" max="1540" width="5.6640625" style="64" customWidth="1"/>
    <col min="1541" max="1544" width="17.1640625" style="64" customWidth="1"/>
    <col min="1545" max="1545" width="11.5" style="64" customWidth="1"/>
    <col min="1546" max="1549" width="0" style="64" hidden="1" customWidth="1"/>
    <col min="1550" max="1792" width="9.1640625" style="64"/>
    <col min="1793" max="1793" width="28.5" style="64" customWidth="1"/>
    <col min="1794" max="1794" width="17.1640625" style="64" customWidth="1"/>
    <col min="1795" max="1795" width="11.5" style="64" customWidth="1"/>
    <col min="1796" max="1796" width="5.6640625" style="64" customWidth="1"/>
    <col min="1797" max="1800" width="17.1640625" style="64" customWidth="1"/>
    <col min="1801" max="1801" width="11.5" style="64" customWidth="1"/>
    <col min="1802" max="1805" width="0" style="64" hidden="1" customWidth="1"/>
    <col min="1806" max="2048" width="9.1640625" style="64"/>
    <col min="2049" max="2049" width="28.5" style="64" customWidth="1"/>
    <col min="2050" max="2050" width="17.1640625" style="64" customWidth="1"/>
    <col min="2051" max="2051" width="11.5" style="64" customWidth="1"/>
    <col min="2052" max="2052" width="5.6640625" style="64" customWidth="1"/>
    <col min="2053" max="2056" width="17.1640625" style="64" customWidth="1"/>
    <col min="2057" max="2057" width="11.5" style="64" customWidth="1"/>
    <col min="2058" max="2061" width="0" style="64" hidden="1" customWidth="1"/>
    <col min="2062" max="2304" width="9.1640625" style="64"/>
    <col min="2305" max="2305" width="28.5" style="64" customWidth="1"/>
    <col min="2306" max="2306" width="17.1640625" style="64" customWidth="1"/>
    <col min="2307" max="2307" width="11.5" style="64" customWidth="1"/>
    <col min="2308" max="2308" width="5.6640625" style="64" customWidth="1"/>
    <col min="2309" max="2312" width="17.1640625" style="64" customWidth="1"/>
    <col min="2313" max="2313" width="11.5" style="64" customWidth="1"/>
    <col min="2314" max="2317" width="0" style="64" hidden="1" customWidth="1"/>
    <col min="2318" max="2560" width="9.1640625" style="64"/>
    <col min="2561" max="2561" width="28.5" style="64" customWidth="1"/>
    <col min="2562" max="2562" width="17.1640625" style="64" customWidth="1"/>
    <col min="2563" max="2563" width="11.5" style="64" customWidth="1"/>
    <col min="2564" max="2564" width="5.6640625" style="64" customWidth="1"/>
    <col min="2565" max="2568" width="17.1640625" style="64" customWidth="1"/>
    <col min="2569" max="2569" width="11.5" style="64" customWidth="1"/>
    <col min="2570" max="2573" width="0" style="64" hidden="1" customWidth="1"/>
    <col min="2574" max="2816" width="9.1640625" style="64"/>
    <col min="2817" max="2817" width="28.5" style="64" customWidth="1"/>
    <col min="2818" max="2818" width="17.1640625" style="64" customWidth="1"/>
    <col min="2819" max="2819" width="11.5" style="64" customWidth="1"/>
    <col min="2820" max="2820" width="5.6640625" style="64" customWidth="1"/>
    <col min="2821" max="2824" width="17.1640625" style="64" customWidth="1"/>
    <col min="2825" max="2825" width="11.5" style="64" customWidth="1"/>
    <col min="2826" max="2829" width="0" style="64" hidden="1" customWidth="1"/>
    <col min="2830" max="3072" width="9.1640625" style="64"/>
    <col min="3073" max="3073" width="28.5" style="64" customWidth="1"/>
    <col min="3074" max="3074" width="17.1640625" style="64" customWidth="1"/>
    <col min="3075" max="3075" width="11.5" style="64" customWidth="1"/>
    <col min="3076" max="3076" width="5.6640625" style="64" customWidth="1"/>
    <col min="3077" max="3080" width="17.1640625" style="64" customWidth="1"/>
    <col min="3081" max="3081" width="11.5" style="64" customWidth="1"/>
    <col min="3082" max="3085" width="0" style="64" hidden="1" customWidth="1"/>
    <col min="3086" max="3328" width="9.1640625" style="64"/>
    <col min="3329" max="3329" width="28.5" style="64" customWidth="1"/>
    <col min="3330" max="3330" width="17.1640625" style="64" customWidth="1"/>
    <col min="3331" max="3331" width="11.5" style="64" customWidth="1"/>
    <col min="3332" max="3332" width="5.6640625" style="64" customWidth="1"/>
    <col min="3333" max="3336" width="17.1640625" style="64" customWidth="1"/>
    <col min="3337" max="3337" width="11.5" style="64" customWidth="1"/>
    <col min="3338" max="3341" width="0" style="64" hidden="1" customWidth="1"/>
    <col min="3342" max="3584" width="9.1640625" style="64"/>
    <col min="3585" max="3585" width="28.5" style="64" customWidth="1"/>
    <col min="3586" max="3586" width="17.1640625" style="64" customWidth="1"/>
    <col min="3587" max="3587" width="11.5" style="64" customWidth="1"/>
    <col min="3588" max="3588" width="5.6640625" style="64" customWidth="1"/>
    <col min="3589" max="3592" width="17.1640625" style="64" customWidth="1"/>
    <col min="3593" max="3593" width="11.5" style="64" customWidth="1"/>
    <col min="3594" max="3597" width="0" style="64" hidden="1" customWidth="1"/>
    <col min="3598" max="3840" width="9.1640625" style="64"/>
    <col min="3841" max="3841" width="28.5" style="64" customWidth="1"/>
    <col min="3842" max="3842" width="17.1640625" style="64" customWidth="1"/>
    <col min="3843" max="3843" width="11.5" style="64" customWidth="1"/>
    <col min="3844" max="3844" width="5.6640625" style="64" customWidth="1"/>
    <col min="3845" max="3848" width="17.1640625" style="64" customWidth="1"/>
    <col min="3849" max="3849" width="11.5" style="64" customWidth="1"/>
    <col min="3850" max="3853" width="0" style="64" hidden="1" customWidth="1"/>
    <col min="3854" max="4096" width="9.1640625" style="64"/>
    <col min="4097" max="4097" width="28.5" style="64" customWidth="1"/>
    <col min="4098" max="4098" width="17.1640625" style="64" customWidth="1"/>
    <col min="4099" max="4099" width="11.5" style="64" customWidth="1"/>
    <col min="4100" max="4100" width="5.6640625" style="64" customWidth="1"/>
    <col min="4101" max="4104" width="17.1640625" style="64" customWidth="1"/>
    <col min="4105" max="4105" width="11.5" style="64" customWidth="1"/>
    <col min="4106" max="4109" width="0" style="64" hidden="1" customWidth="1"/>
    <col min="4110" max="4352" width="9.1640625" style="64"/>
    <col min="4353" max="4353" width="28.5" style="64" customWidth="1"/>
    <col min="4354" max="4354" width="17.1640625" style="64" customWidth="1"/>
    <col min="4355" max="4355" width="11.5" style="64" customWidth="1"/>
    <col min="4356" max="4356" width="5.6640625" style="64" customWidth="1"/>
    <col min="4357" max="4360" width="17.1640625" style="64" customWidth="1"/>
    <col min="4361" max="4361" width="11.5" style="64" customWidth="1"/>
    <col min="4362" max="4365" width="0" style="64" hidden="1" customWidth="1"/>
    <col min="4366" max="4608" width="9.1640625" style="64"/>
    <col min="4609" max="4609" width="28.5" style="64" customWidth="1"/>
    <col min="4610" max="4610" width="17.1640625" style="64" customWidth="1"/>
    <col min="4611" max="4611" width="11.5" style="64" customWidth="1"/>
    <col min="4612" max="4612" width="5.6640625" style="64" customWidth="1"/>
    <col min="4613" max="4616" width="17.1640625" style="64" customWidth="1"/>
    <col min="4617" max="4617" width="11.5" style="64" customWidth="1"/>
    <col min="4618" max="4621" width="0" style="64" hidden="1" customWidth="1"/>
    <col min="4622" max="4864" width="9.1640625" style="64"/>
    <col min="4865" max="4865" width="28.5" style="64" customWidth="1"/>
    <col min="4866" max="4866" width="17.1640625" style="64" customWidth="1"/>
    <col min="4867" max="4867" width="11.5" style="64" customWidth="1"/>
    <col min="4868" max="4868" width="5.6640625" style="64" customWidth="1"/>
    <col min="4869" max="4872" width="17.1640625" style="64" customWidth="1"/>
    <col min="4873" max="4873" width="11.5" style="64" customWidth="1"/>
    <col min="4874" max="4877" width="0" style="64" hidden="1" customWidth="1"/>
    <col min="4878" max="5120" width="9.1640625" style="64"/>
    <col min="5121" max="5121" width="28.5" style="64" customWidth="1"/>
    <col min="5122" max="5122" width="17.1640625" style="64" customWidth="1"/>
    <col min="5123" max="5123" width="11.5" style="64" customWidth="1"/>
    <col min="5124" max="5124" width="5.6640625" style="64" customWidth="1"/>
    <col min="5125" max="5128" width="17.1640625" style="64" customWidth="1"/>
    <col min="5129" max="5129" width="11.5" style="64" customWidth="1"/>
    <col min="5130" max="5133" width="0" style="64" hidden="1" customWidth="1"/>
    <col min="5134" max="5376" width="9.1640625" style="64"/>
    <col min="5377" max="5377" width="28.5" style="64" customWidth="1"/>
    <col min="5378" max="5378" width="17.1640625" style="64" customWidth="1"/>
    <col min="5379" max="5379" width="11.5" style="64" customWidth="1"/>
    <col min="5380" max="5380" width="5.6640625" style="64" customWidth="1"/>
    <col min="5381" max="5384" width="17.1640625" style="64" customWidth="1"/>
    <col min="5385" max="5385" width="11.5" style="64" customWidth="1"/>
    <col min="5386" max="5389" width="0" style="64" hidden="1" customWidth="1"/>
    <col min="5390" max="5632" width="9.1640625" style="64"/>
    <col min="5633" max="5633" width="28.5" style="64" customWidth="1"/>
    <col min="5634" max="5634" width="17.1640625" style="64" customWidth="1"/>
    <col min="5635" max="5635" width="11.5" style="64" customWidth="1"/>
    <col min="5636" max="5636" width="5.6640625" style="64" customWidth="1"/>
    <col min="5637" max="5640" width="17.1640625" style="64" customWidth="1"/>
    <col min="5641" max="5641" width="11.5" style="64" customWidth="1"/>
    <col min="5642" max="5645" width="0" style="64" hidden="1" customWidth="1"/>
    <col min="5646" max="5888" width="9.1640625" style="64"/>
    <col min="5889" max="5889" width="28.5" style="64" customWidth="1"/>
    <col min="5890" max="5890" width="17.1640625" style="64" customWidth="1"/>
    <col min="5891" max="5891" width="11.5" style="64" customWidth="1"/>
    <col min="5892" max="5892" width="5.6640625" style="64" customWidth="1"/>
    <col min="5893" max="5896" width="17.1640625" style="64" customWidth="1"/>
    <col min="5897" max="5897" width="11.5" style="64" customWidth="1"/>
    <col min="5898" max="5901" width="0" style="64" hidden="1" customWidth="1"/>
    <col min="5902" max="6144" width="9.1640625" style="64"/>
    <col min="6145" max="6145" width="28.5" style="64" customWidth="1"/>
    <col min="6146" max="6146" width="17.1640625" style="64" customWidth="1"/>
    <col min="6147" max="6147" width="11.5" style="64" customWidth="1"/>
    <col min="6148" max="6148" width="5.6640625" style="64" customWidth="1"/>
    <col min="6149" max="6152" width="17.1640625" style="64" customWidth="1"/>
    <col min="6153" max="6153" width="11.5" style="64" customWidth="1"/>
    <col min="6154" max="6157" width="0" style="64" hidden="1" customWidth="1"/>
    <col min="6158" max="6400" width="9.1640625" style="64"/>
    <col min="6401" max="6401" width="28.5" style="64" customWidth="1"/>
    <col min="6402" max="6402" width="17.1640625" style="64" customWidth="1"/>
    <col min="6403" max="6403" width="11.5" style="64" customWidth="1"/>
    <col min="6404" max="6404" width="5.6640625" style="64" customWidth="1"/>
    <col min="6405" max="6408" width="17.1640625" style="64" customWidth="1"/>
    <col min="6409" max="6409" width="11.5" style="64" customWidth="1"/>
    <col min="6410" max="6413" width="0" style="64" hidden="1" customWidth="1"/>
    <col min="6414" max="6656" width="9.1640625" style="64"/>
    <col min="6657" max="6657" width="28.5" style="64" customWidth="1"/>
    <col min="6658" max="6658" width="17.1640625" style="64" customWidth="1"/>
    <col min="6659" max="6659" width="11.5" style="64" customWidth="1"/>
    <col min="6660" max="6660" width="5.6640625" style="64" customWidth="1"/>
    <col min="6661" max="6664" width="17.1640625" style="64" customWidth="1"/>
    <col min="6665" max="6665" width="11.5" style="64" customWidth="1"/>
    <col min="6666" max="6669" width="0" style="64" hidden="1" customWidth="1"/>
    <col min="6670" max="6912" width="9.1640625" style="64"/>
    <col min="6913" max="6913" width="28.5" style="64" customWidth="1"/>
    <col min="6914" max="6914" width="17.1640625" style="64" customWidth="1"/>
    <col min="6915" max="6915" width="11.5" style="64" customWidth="1"/>
    <col min="6916" max="6916" width="5.6640625" style="64" customWidth="1"/>
    <col min="6917" max="6920" width="17.1640625" style="64" customWidth="1"/>
    <col min="6921" max="6921" width="11.5" style="64" customWidth="1"/>
    <col min="6922" max="6925" width="0" style="64" hidden="1" customWidth="1"/>
    <col min="6926" max="7168" width="9.1640625" style="64"/>
    <col min="7169" max="7169" width="28.5" style="64" customWidth="1"/>
    <col min="7170" max="7170" width="17.1640625" style="64" customWidth="1"/>
    <col min="7171" max="7171" width="11.5" style="64" customWidth="1"/>
    <col min="7172" max="7172" width="5.6640625" style="64" customWidth="1"/>
    <col min="7173" max="7176" width="17.1640625" style="64" customWidth="1"/>
    <col min="7177" max="7177" width="11.5" style="64" customWidth="1"/>
    <col min="7178" max="7181" width="0" style="64" hidden="1" customWidth="1"/>
    <col min="7182" max="7424" width="9.1640625" style="64"/>
    <col min="7425" max="7425" width="28.5" style="64" customWidth="1"/>
    <col min="7426" max="7426" width="17.1640625" style="64" customWidth="1"/>
    <col min="7427" max="7427" width="11.5" style="64" customWidth="1"/>
    <col min="7428" max="7428" width="5.6640625" style="64" customWidth="1"/>
    <col min="7429" max="7432" width="17.1640625" style="64" customWidth="1"/>
    <col min="7433" max="7433" width="11.5" style="64" customWidth="1"/>
    <col min="7434" max="7437" width="0" style="64" hidden="1" customWidth="1"/>
    <col min="7438" max="7680" width="9.1640625" style="64"/>
    <col min="7681" max="7681" width="28.5" style="64" customWidth="1"/>
    <col min="7682" max="7682" width="17.1640625" style="64" customWidth="1"/>
    <col min="7683" max="7683" width="11.5" style="64" customWidth="1"/>
    <col min="7684" max="7684" width="5.6640625" style="64" customWidth="1"/>
    <col min="7685" max="7688" width="17.1640625" style="64" customWidth="1"/>
    <col min="7689" max="7689" width="11.5" style="64" customWidth="1"/>
    <col min="7690" max="7693" width="0" style="64" hidden="1" customWidth="1"/>
    <col min="7694" max="7936" width="9.1640625" style="64"/>
    <col min="7937" max="7937" width="28.5" style="64" customWidth="1"/>
    <col min="7938" max="7938" width="17.1640625" style="64" customWidth="1"/>
    <col min="7939" max="7939" width="11.5" style="64" customWidth="1"/>
    <col min="7940" max="7940" width="5.6640625" style="64" customWidth="1"/>
    <col min="7941" max="7944" width="17.1640625" style="64" customWidth="1"/>
    <col min="7945" max="7945" width="11.5" style="64" customWidth="1"/>
    <col min="7946" max="7949" width="0" style="64" hidden="1" customWidth="1"/>
    <col min="7950" max="8192" width="9.1640625" style="64"/>
    <col min="8193" max="8193" width="28.5" style="64" customWidth="1"/>
    <col min="8194" max="8194" width="17.1640625" style="64" customWidth="1"/>
    <col min="8195" max="8195" width="11.5" style="64" customWidth="1"/>
    <col min="8196" max="8196" width="5.6640625" style="64" customWidth="1"/>
    <col min="8197" max="8200" width="17.1640625" style="64" customWidth="1"/>
    <col min="8201" max="8201" width="11.5" style="64" customWidth="1"/>
    <col min="8202" max="8205" width="0" style="64" hidden="1" customWidth="1"/>
    <col min="8206" max="8448" width="9.1640625" style="64"/>
    <col min="8449" max="8449" width="28.5" style="64" customWidth="1"/>
    <col min="8450" max="8450" width="17.1640625" style="64" customWidth="1"/>
    <col min="8451" max="8451" width="11.5" style="64" customWidth="1"/>
    <col min="8452" max="8452" width="5.6640625" style="64" customWidth="1"/>
    <col min="8453" max="8456" width="17.1640625" style="64" customWidth="1"/>
    <col min="8457" max="8457" width="11.5" style="64" customWidth="1"/>
    <col min="8458" max="8461" width="0" style="64" hidden="1" customWidth="1"/>
    <col min="8462" max="8704" width="9.1640625" style="64"/>
    <col min="8705" max="8705" width="28.5" style="64" customWidth="1"/>
    <col min="8706" max="8706" width="17.1640625" style="64" customWidth="1"/>
    <col min="8707" max="8707" width="11.5" style="64" customWidth="1"/>
    <col min="8708" max="8708" width="5.6640625" style="64" customWidth="1"/>
    <col min="8709" max="8712" width="17.1640625" style="64" customWidth="1"/>
    <col min="8713" max="8713" width="11.5" style="64" customWidth="1"/>
    <col min="8714" max="8717" width="0" style="64" hidden="1" customWidth="1"/>
    <col min="8718" max="8960" width="9.1640625" style="64"/>
    <col min="8961" max="8961" width="28.5" style="64" customWidth="1"/>
    <col min="8962" max="8962" width="17.1640625" style="64" customWidth="1"/>
    <col min="8963" max="8963" width="11.5" style="64" customWidth="1"/>
    <col min="8964" max="8964" width="5.6640625" style="64" customWidth="1"/>
    <col min="8965" max="8968" width="17.1640625" style="64" customWidth="1"/>
    <col min="8969" max="8969" width="11.5" style="64" customWidth="1"/>
    <col min="8970" max="8973" width="0" style="64" hidden="1" customWidth="1"/>
    <col min="8974" max="9216" width="9.1640625" style="64"/>
    <col min="9217" max="9217" width="28.5" style="64" customWidth="1"/>
    <col min="9218" max="9218" width="17.1640625" style="64" customWidth="1"/>
    <col min="9219" max="9219" width="11.5" style="64" customWidth="1"/>
    <col min="9220" max="9220" width="5.6640625" style="64" customWidth="1"/>
    <col min="9221" max="9224" width="17.1640625" style="64" customWidth="1"/>
    <col min="9225" max="9225" width="11.5" style="64" customWidth="1"/>
    <col min="9226" max="9229" width="0" style="64" hidden="1" customWidth="1"/>
    <col min="9230" max="9472" width="9.1640625" style="64"/>
    <col min="9473" max="9473" width="28.5" style="64" customWidth="1"/>
    <col min="9474" max="9474" width="17.1640625" style="64" customWidth="1"/>
    <col min="9475" max="9475" width="11.5" style="64" customWidth="1"/>
    <col min="9476" max="9476" width="5.6640625" style="64" customWidth="1"/>
    <col min="9477" max="9480" width="17.1640625" style="64" customWidth="1"/>
    <col min="9481" max="9481" width="11.5" style="64" customWidth="1"/>
    <col min="9482" max="9485" width="0" style="64" hidden="1" customWidth="1"/>
    <col min="9486" max="9728" width="9.1640625" style="64"/>
    <col min="9729" max="9729" width="28.5" style="64" customWidth="1"/>
    <col min="9730" max="9730" width="17.1640625" style="64" customWidth="1"/>
    <col min="9731" max="9731" width="11.5" style="64" customWidth="1"/>
    <col min="9732" max="9732" width="5.6640625" style="64" customWidth="1"/>
    <col min="9733" max="9736" width="17.1640625" style="64" customWidth="1"/>
    <col min="9737" max="9737" width="11.5" style="64" customWidth="1"/>
    <col min="9738" max="9741" width="0" style="64" hidden="1" customWidth="1"/>
    <col min="9742" max="9984" width="9.1640625" style="64"/>
    <col min="9985" max="9985" width="28.5" style="64" customWidth="1"/>
    <col min="9986" max="9986" width="17.1640625" style="64" customWidth="1"/>
    <col min="9987" max="9987" width="11.5" style="64" customWidth="1"/>
    <col min="9988" max="9988" width="5.6640625" style="64" customWidth="1"/>
    <col min="9989" max="9992" width="17.1640625" style="64" customWidth="1"/>
    <col min="9993" max="9993" width="11.5" style="64" customWidth="1"/>
    <col min="9994" max="9997" width="0" style="64" hidden="1" customWidth="1"/>
    <col min="9998" max="10240" width="9.1640625" style="64"/>
    <col min="10241" max="10241" width="28.5" style="64" customWidth="1"/>
    <col min="10242" max="10242" width="17.1640625" style="64" customWidth="1"/>
    <col min="10243" max="10243" width="11.5" style="64" customWidth="1"/>
    <col min="10244" max="10244" width="5.6640625" style="64" customWidth="1"/>
    <col min="10245" max="10248" width="17.1640625" style="64" customWidth="1"/>
    <col min="10249" max="10249" width="11.5" style="64" customWidth="1"/>
    <col min="10250" max="10253" width="0" style="64" hidden="1" customWidth="1"/>
    <col min="10254" max="10496" width="9.1640625" style="64"/>
    <col min="10497" max="10497" width="28.5" style="64" customWidth="1"/>
    <col min="10498" max="10498" width="17.1640625" style="64" customWidth="1"/>
    <col min="10499" max="10499" width="11.5" style="64" customWidth="1"/>
    <col min="10500" max="10500" width="5.6640625" style="64" customWidth="1"/>
    <col min="10501" max="10504" width="17.1640625" style="64" customWidth="1"/>
    <col min="10505" max="10505" width="11.5" style="64" customWidth="1"/>
    <col min="10506" max="10509" width="0" style="64" hidden="1" customWidth="1"/>
    <col min="10510" max="10752" width="9.1640625" style="64"/>
    <col min="10753" max="10753" width="28.5" style="64" customWidth="1"/>
    <col min="10754" max="10754" width="17.1640625" style="64" customWidth="1"/>
    <col min="10755" max="10755" width="11.5" style="64" customWidth="1"/>
    <col min="10756" max="10756" width="5.6640625" style="64" customWidth="1"/>
    <col min="10757" max="10760" width="17.1640625" style="64" customWidth="1"/>
    <col min="10761" max="10761" width="11.5" style="64" customWidth="1"/>
    <col min="10762" max="10765" width="0" style="64" hidden="1" customWidth="1"/>
    <col min="10766" max="11008" width="9.1640625" style="64"/>
    <col min="11009" max="11009" width="28.5" style="64" customWidth="1"/>
    <col min="11010" max="11010" width="17.1640625" style="64" customWidth="1"/>
    <col min="11011" max="11011" width="11.5" style="64" customWidth="1"/>
    <col min="11012" max="11012" width="5.6640625" style="64" customWidth="1"/>
    <col min="11013" max="11016" width="17.1640625" style="64" customWidth="1"/>
    <col min="11017" max="11017" width="11.5" style="64" customWidth="1"/>
    <col min="11018" max="11021" width="0" style="64" hidden="1" customWidth="1"/>
    <col min="11022" max="11264" width="9.1640625" style="64"/>
    <col min="11265" max="11265" width="28.5" style="64" customWidth="1"/>
    <col min="11266" max="11266" width="17.1640625" style="64" customWidth="1"/>
    <col min="11267" max="11267" width="11.5" style="64" customWidth="1"/>
    <col min="11268" max="11268" width="5.6640625" style="64" customWidth="1"/>
    <col min="11269" max="11272" width="17.1640625" style="64" customWidth="1"/>
    <col min="11273" max="11273" width="11.5" style="64" customWidth="1"/>
    <col min="11274" max="11277" width="0" style="64" hidden="1" customWidth="1"/>
    <col min="11278" max="11520" width="9.1640625" style="64"/>
    <col min="11521" max="11521" width="28.5" style="64" customWidth="1"/>
    <col min="11522" max="11522" width="17.1640625" style="64" customWidth="1"/>
    <col min="11523" max="11523" width="11.5" style="64" customWidth="1"/>
    <col min="11524" max="11524" width="5.6640625" style="64" customWidth="1"/>
    <col min="11525" max="11528" width="17.1640625" style="64" customWidth="1"/>
    <col min="11529" max="11529" width="11.5" style="64" customWidth="1"/>
    <col min="11530" max="11533" width="0" style="64" hidden="1" customWidth="1"/>
    <col min="11534" max="11776" width="9.1640625" style="64"/>
    <col min="11777" max="11777" width="28.5" style="64" customWidth="1"/>
    <col min="11778" max="11778" width="17.1640625" style="64" customWidth="1"/>
    <col min="11779" max="11779" width="11.5" style="64" customWidth="1"/>
    <col min="11780" max="11780" width="5.6640625" style="64" customWidth="1"/>
    <col min="11781" max="11784" width="17.1640625" style="64" customWidth="1"/>
    <col min="11785" max="11785" width="11.5" style="64" customWidth="1"/>
    <col min="11786" max="11789" width="0" style="64" hidden="1" customWidth="1"/>
    <col min="11790" max="12032" width="9.1640625" style="64"/>
    <col min="12033" max="12033" width="28.5" style="64" customWidth="1"/>
    <col min="12034" max="12034" width="17.1640625" style="64" customWidth="1"/>
    <col min="12035" max="12035" width="11.5" style="64" customWidth="1"/>
    <col min="12036" max="12036" width="5.6640625" style="64" customWidth="1"/>
    <col min="12037" max="12040" width="17.1640625" style="64" customWidth="1"/>
    <col min="12041" max="12041" width="11.5" style="64" customWidth="1"/>
    <col min="12042" max="12045" width="0" style="64" hidden="1" customWidth="1"/>
    <col min="12046" max="12288" width="9.1640625" style="64"/>
    <col min="12289" max="12289" width="28.5" style="64" customWidth="1"/>
    <col min="12290" max="12290" width="17.1640625" style="64" customWidth="1"/>
    <col min="12291" max="12291" width="11.5" style="64" customWidth="1"/>
    <col min="12292" max="12292" width="5.6640625" style="64" customWidth="1"/>
    <col min="12293" max="12296" width="17.1640625" style="64" customWidth="1"/>
    <col min="12297" max="12297" width="11.5" style="64" customWidth="1"/>
    <col min="12298" max="12301" width="0" style="64" hidden="1" customWidth="1"/>
    <col min="12302" max="12544" width="9.1640625" style="64"/>
    <col min="12545" max="12545" width="28.5" style="64" customWidth="1"/>
    <col min="12546" max="12546" width="17.1640625" style="64" customWidth="1"/>
    <col min="12547" max="12547" width="11.5" style="64" customWidth="1"/>
    <col min="12548" max="12548" width="5.6640625" style="64" customWidth="1"/>
    <col min="12549" max="12552" width="17.1640625" style="64" customWidth="1"/>
    <col min="12553" max="12553" width="11.5" style="64" customWidth="1"/>
    <col min="12554" max="12557" width="0" style="64" hidden="1" customWidth="1"/>
    <col min="12558" max="12800" width="9.1640625" style="64"/>
    <col min="12801" max="12801" width="28.5" style="64" customWidth="1"/>
    <col min="12802" max="12802" width="17.1640625" style="64" customWidth="1"/>
    <col min="12803" max="12803" width="11.5" style="64" customWidth="1"/>
    <col min="12804" max="12804" width="5.6640625" style="64" customWidth="1"/>
    <col min="12805" max="12808" width="17.1640625" style="64" customWidth="1"/>
    <col min="12809" max="12809" width="11.5" style="64" customWidth="1"/>
    <col min="12810" max="12813" width="0" style="64" hidden="1" customWidth="1"/>
    <col min="12814" max="13056" width="9.1640625" style="64"/>
    <col min="13057" max="13057" width="28.5" style="64" customWidth="1"/>
    <col min="13058" max="13058" width="17.1640625" style="64" customWidth="1"/>
    <col min="13059" max="13059" width="11.5" style="64" customWidth="1"/>
    <col min="13060" max="13060" width="5.6640625" style="64" customWidth="1"/>
    <col min="13061" max="13064" width="17.1640625" style="64" customWidth="1"/>
    <col min="13065" max="13065" width="11.5" style="64" customWidth="1"/>
    <col min="13066" max="13069" width="0" style="64" hidden="1" customWidth="1"/>
    <col min="13070" max="13312" width="9.1640625" style="64"/>
    <col min="13313" max="13313" width="28.5" style="64" customWidth="1"/>
    <col min="13314" max="13314" width="17.1640625" style="64" customWidth="1"/>
    <col min="13315" max="13315" width="11.5" style="64" customWidth="1"/>
    <col min="13316" max="13316" width="5.6640625" style="64" customWidth="1"/>
    <col min="13317" max="13320" width="17.1640625" style="64" customWidth="1"/>
    <col min="13321" max="13321" width="11.5" style="64" customWidth="1"/>
    <col min="13322" max="13325" width="0" style="64" hidden="1" customWidth="1"/>
    <col min="13326" max="13568" width="9.1640625" style="64"/>
    <col min="13569" max="13569" width="28.5" style="64" customWidth="1"/>
    <col min="13570" max="13570" width="17.1640625" style="64" customWidth="1"/>
    <col min="13571" max="13571" width="11.5" style="64" customWidth="1"/>
    <col min="13572" max="13572" width="5.6640625" style="64" customWidth="1"/>
    <col min="13573" max="13576" width="17.1640625" style="64" customWidth="1"/>
    <col min="13577" max="13577" width="11.5" style="64" customWidth="1"/>
    <col min="13578" max="13581" width="0" style="64" hidden="1" customWidth="1"/>
    <col min="13582" max="13824" width="9.1640625" style="64"/>
    <col min="13825" max="13825" width="28.5" style="64" customWidth="1"/>
    <col min="13826" max="13826" width="17.1640625" style="64" customWidth="1"/>
    <col min="13827" max="13827" width="11.5" style="64" customWidth="1"/>
    <col min="13828" max="13828" width="5.6640625" style="64" customWidth="1"/>
    <col min="13829" max="13832" width="17.1640625" style="64" customWidth="1"/>
    <col min="13833" max="13833" width="11.5" style="64" customWidth="1"/>
    <col min="13834" max="13837" width="0" style="64" hidden="1" customWidth="1"/>
    <col min="13838" max="14080" width="9.1640625" style="64"/>
    <col min="14081" max="14081" width="28.5" style="64" customWidth="1"/>
    <col min="14082" max="14082" width="17.1640625" style="64" customWidth="1"/>
    <col min="14083" max="14083" width="11.5" style="64" customWidth="1"/>
    <col min="14084" max="14084" width="5.6640625" style="64" customWidth="1"/>
    <col min="14085" max="14088" width="17.1640625" style="64" customWidth="1"/>
    <col min="14089" max="14089" width="11.5" style="64" customWidth="1"/>
    <col min="14090" max="14093" width="0" style="64" hidden="1" customWidth="1"/>
    <col min="14094" max="14336" width="9.1640625" style="64"/>
    <col min="14337" max="14337" width="28.5" style="64" customWidth="1"/>
    <col min="14338" max="14338" width="17.1640625" style="64" customWidth="1"/>
    <col min="14339" max="14339" width="11.5" style="64" customWidth="1"/>
    <col min="14340" max="14340" width="5.6640625" style="64" customWidth="1"/>
    <col min="14341" max="14344" width="17.1640625" style="64" customWidth="1"/>
    <col min="14345" max="14345" width="11.5" style="64" customWidth="1"/>
    <col min="14346" max="14349" width="0" style="64" hidden="1" customWidth="1"/>
    <col min="14350" max="14592" width="9.1640625" style="64"/>
    <col min="14593" max="14593" width="28.5" style="64" customWidth="1"/>
    <col min="14594" max="14594" width="17.1640625" style="64" customWidth="1"/>
    <col min="14595" max="14595" width="11.5" style="64" customWidth="1"/>
    <col min="14596" max="14596" width="5.6640625" style="64" customWidth="1"/>
    <col min="14597" max="14600" width="17.1640625" style="64" customWidth="1"/>
    <col min="14601" max="14601" width="11.5" style="64" customWidth="1"/>
    <col min="14602" max="14605" width="0" style="64" hidden="1" customWidth="1"/>
    <col min="14606" max="14848" width="9.1640625" style="64"/>
    <col min="14849" max="14849" width="28.5" style="64" customWidth="1"/>
    <col min="14850" max="14850" width="17.1640625" style="64" customWidth="1"/>
    <col min="14851" max="14851" width="11.5" style="64" customWidth="1"/>
    <col min="14852" max="14852" width="5.6640625" style="64" customWidth="1"/>
    <col min="14853" max="14856" width="17.1640625" style="64" customWidth="1"/>
    <col min="14857" max="14857" width="11.5" style="64" customWidth="1"/>
    <col min="14858" max="14861" width="0" style="64" hidden="1" customWidth="1"/>
    <col min="14862" max="15104" width="9.1640625" style="64"/>
    <col min="15105" max="15105" width="28.5" style="64" customWidth="1"/>
    <col min="15106" max="15106" width="17.1640625" style="64" customWidth="1"/>
    <col min="15107" max="15107" width="11.5" style="64" customWidth="1"/>
    <col min="15108" max="15108" width="5.6640625" style="64" customWidth="1"/>
    <col min="15109" max="15112" width="17.1640625" style="64" customWidth="1"/>
    <col min="15113" max="15113" width="11.5" style="64" customWidth="1"/>
    <col min="15114" max="15117" width="0" style="64" hidden="1" customWidth="1"/>
    <col min="15118" max="15360" width="9.1640625" style="64"/>
    <col min="15361" max="15361" width="28.5" style="64" customWidth="1"/>
    <col min="15362" max="15362" width="17.1640625" style="64" customWidth="1"/>
    <col min="15363" max="15363" width="11.5" style="64" customWidth="1"/>
    <col min="15364" max="15364" width="5.6640625" style="64" customWidth="1"/>
    <col min="15365" max="15368" width="17.1640625" style="64" customWidth="1"/>
    <col min="15369" max="15369" width="11.5" style="64" customWidth="1"/>
    <col min="15370" max="15373" width="0" style="64" hidden="1" customWidth="1"/>
    <col min="15374" max="15616" width="9.1640625" style="64"/>
    <col min="15617" max="15617" width="28.5" style="64" customWidth="1"/>
    <col min="15618" max="15618" width="17.1640625" style="64" customWidth="1"/>
    <col min="15619" max="15619" width="11.5" style="64" customWidth="1"/>
    <col min="15620" max="15620" width="5.6640625" style="64" customWidth="1"/>
    <col min="15621" max="15624" width="17.1640625" style="64" customWidth="1"/>
    <col min="15625" max="15625" width="11.5" style="64" customWidth="1"/>
    <col min="15626" max="15629" width="0" style="64" hidden="1" customWidth="1"/>
    <col min="15630" max="15872" width="9.1640625" style="64"/>
    <col min="15873" max="15873" width="28.5" style="64" customWidth="1"/>
    <col min="15874" max="15874" width="17.1640625" style="64" customWidth="1"/>
    <col min="15875" max="15875" width="11.5" style="64" customWidth="1"/>
    <col min="15876" max="15876" width="5.6640625" style="64" customWidth="1"/>
    <col min="15877" max="15880" width="17.1640625" style="64" customWidth="1"/>
    <col min="15881" max="15881" width="11.5" style="64" customWidth="1"/>
    <col min="15882" max="15885" width="0" style="64" hidden="1" customWidth="1"/>
    <col min="15886" max="16128" width="9.1640625" style="64"/>
    <col min="16129" max="16129" width="28.5" style="64" customWidth="1"/>
    <col min="16130" max="16130" width="17.1640625" style="64" customWidth="1"/>
    <col min="16131" max="16131" width="11.5" style="64" customWidth="1"/>
    <col min="16132" max="16132" width="5.6640625" style="64" customWidth="1"/>
    <col min="16133" max="16136" width="17.1640625" style="64" customWidth="1"/>
    <col min="16137" max="16137" width="11.5" style="64" customWidth="1"/>
    <col min="16138" max="16141" width="0" style="64" hidden="1" customWidth="1"/>
    <col min="16142" max="16384" width="9.1640625" style="64"/>
  </cols>
  <sheetData>
    <row r="1" spans="1:11" ht="12.75" customHeight="1" x14ac:dyDescent="0.15">
      <c r="A1" s="64" t="s">
        <v>2221</v>
      </c>
    </row>
    <row r="2" spans="1:11" ht="12.75" customHeight="1" x14ac:dyDescent="0.15">
      <c r="A2" s="65" t="s">
        <v>445</v>
      </c>
      <c r="B2" s="65" t="s">
        <v>1092</v>
      </c>
      <c r="C2" s="65" t="s">
        <v>73</v>
      </c>
      <c r="D2" s="65" t="s">
        <v>2682</v>
      </c>
      <c r="E2" s="65" t="s">
        <v>1942</v>
      </c>
      <c r="F2" s="65" t="s">
        <v>1175</v>
      </c>
      <c r="G2" s="65" t="s">
        <v>171</v>
      </c>
      <c r="H2" s="65" t="s">
        <v>2786</v>
      </c>
      <c r="I2" s="65" t="s">
        <v>716</v>
      </c>
    </row>
    <row r="3" spans="1:11" ht="12.75" customHeight="1" x14ac:dyDescent="0.15">
      <c r="A3" s="66" t="s">
        <v>894</v>
      </c>
      <c r="B3" s="66" t="s">
        <v>981</v>
      </c>
      <c r="C3" s="66">
        <v>1</v>
      </c>
      <c r="D3" s="66" t="s">
        <v>722</v>
      </c>
      <c r="E3" s="67">
        <f>[4]중기사용료!G10</f>
        <v>16824</v>
      </c>
      <c r="F3" s="67">
        <f>[4]중기사용료!G12</f>
        <v>55700</v>
      </c>
      <c r="G3" s="67">
        <f>[4]중기사용료!G7</f>
        <v>21957</v>
      </c>
      <c r="H3" s="67">
        <f>E3+F3+G3</f>
        <v>94481</v>
      </c>
      <c r="I3" s="66" t="s">
        <v>2859</v>
      </c>
      <c r="J3" s="64" t="s">
        <v>2859</v>
      </c>
      <c r="K3" s="64" t="s">
        <v>353</v>
      </c>
    </row>
    <row r="4" spans="1:11" ht="12.75" customHeight="1" x14ac:dyDescent="0.15">
      <c r="A4" s="66" t="s">
        <v>1586</v>
      </c>
      <c r="B4" s="66" t="s">
        <v>912</v>
      </c>
      <c r="C4" s="66">
        <v>1</v>
      </c>
      <c r="D4" s="66" t="s">
        <v>722</v>
      </c>
      <c r="E4" s="67">
        <f>[4]중기사용료!G22</f>
        <v>3361</v>
      </c>
      <c r="F4" s="67">
        <f>[4]중기사용료!G24</f>
        <v>33571</v>
      </c>
      <c r="G4" s="67">
        <f>[4]중기사용료!G19</f>
        <v>1846</v>
      </c>
      <c r="H4" s="67">
        <f>E4+F4+G4</f>
        <v>38778</v>
      </c>
      <c r="I4" s="66" t="s">
        <v>2859</v>
      </c>
      <c r="J4" s="64" t="s">
        <v>2859</v>
      </c>
      <c r="K4" s="64" t="s">
        <v>2688</v>
      </c>
    </row>
    <row r="5" spans="1:11" ht="12.75" customHeight="1" x14ac:dyDescent="0.15">
      <c r="A5" s="66" t="s">
        <v>1331</v>
      </c>
      <c r="B5" s="66" t="s">
        <v>2425</v>
      </c>
      <c r="C5" s="66">
        <v>1</v>
      </c>
      <c r="D5" s="66" t="s">
        <v>722</v>
      </c>
      <c r="E5" s="67">
        <f>[4]중기사용료!G34</f>
        <v>1862</v>
      </c>
      <c r="F5" s="67">
        <f>[4]중기사용료!G36</f>
        <v>33571</v>
      </c>
      <c r="G5" s="67">
        <f>[4]중기사용료!G31</f>
        <v>750</v>
      </c>
      <c r="H5" s="67">
        <f>E5+F5+G5</f>
        <v>36183</v>
      </c>
      <c r="I5" s="66" t="s">
        <v>2859</v>
      </c>
      <c r="J5" s="64" t="s">
        <v>2859</v>
      </c>
      <c r="K5" s="64" t="s">
        <v>871</v>
      </c>
    </row>
  </sheetData>
  <phoneticPr fontId="5" type="noConversion"/>
  <pageMargins left="0.31496062992125984" right="0.31496062992125984" top="1" bottom="0.59055118110236215" header="0.5" footer="0.5"/>
  <pageSetup paperSize="9" scale="84" orientation="portrait" r:id="rId1"/>
  <headerFooter alignWithMargins="0">
    <oddHeader>&amp;RPage : &amp;P/&amp;N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A1B76-6571-4BD7-8558-13ABFCFE685D}">
  <sheetPr>
    <tabColor rgb="FFFF0000"/>
  </sheetPr>
  <dimension ref="A1:N38"/>
  <sheetViews>
    <sheetView workbookViewId="0">
      <selection activeCell="F8" sqref="F8"/>
    </sheetView>
  </sheetViews>
  <sheetFormatPr defaultRowHeight="12.75" customHeight="1" x14ac:dyDescent="0.15"/>
  <cols>
    <col min="1" max="1" width="11.5" style="64" customWidth="1"/>
    <col min="2" max="2" width="22.83203125" style="64" customWidth="1"/>
    <col min="3" max="3" width="17.1640625" style="64" customWidth="1"/>
    <col min="4" max="4" width="11.5" style="64" customWidth="1"/>
    <col min="5" max="5" width="8" style="64" customWidth="1"/>
    <col min="6" max="7" width="17.1640625" style="64" customWidth="1"/>
    <col min="8" max="8" width="11.5" style="64" customWidth="1"/>
    <col min="9" max="31" width="0" style="64" hidden="1" customWidth="1"/>
    <col min="32" max="256" width="9.1640625" style="64"/>
    <col min="257" max="257" width="11.5" style="64" customWidth="1"/>
    <col min="258" max="258" width="22.83203125" style="64" customWidth="1"/>
    <col min="259" max="259" width="17.1640625" style="64" customWidth="1"/>
    <col min="260" max="260" width="11.5" style="64" customWidth="1"/>
    <col min="261" max="261" width="8" style="64" customWidth="1"/>
    <col min="262" max="263" width="17.1640625" style="64" customWidth="1"/>
    <col min="264" max="264" width="11.5" style="64" customWidth="1"/>
    <col min="265" max="287" width="0" style="64" hidden="1" customWidth="1"/>
    <col min="288" max="512" width="9.1640625" style="64"/>
    <col min="513" max="513" width="11.5" style="64" customWidth="1"/>
    <col min="514" max="514" width="22.83203125" style="64" customWidth="1"/>
    <col min="515" max="515" width="17.1640625" style="64" customWidth="1"/>
    <col min="516" max="516" width="11.5" style="64" customWidth="1"/>
    <col min="517" max="517" width="8" style="64" customWidth="1"/>
    <col min="518" max="519" width="17.1640625" style="64" customWidth="1"/>
    <col min="520" max="520" width="11.5" style="64" customWidth="1"/>
    <col min="521" max="543" width="0" style="64" hidden="1" customWidth="1"/>
    <col min="544" max="768" width="9.1640625" style="64"/>
    <col min="769" max="769" width="11.5" style="64" customWidth="1"/>
    <col min="770" max="770" width="22.83203125" style="64" customWidth="1"/>
    <col min="771" max="771" width="17.1640625" style="64" customWidth="1"/>
    <col min="772" max="772" width="11.5" style="64" customWidth="1"/>
    <col min="773" max="773" width="8" style="64" customWidth="1"/>
    <col min="774" max="775" width="17.1640625" style="64" customWidth="1"/>
    <col min="776" max="776" width="11.5" style="64" customWidth="1"/>
    <col min="777" max="799" width="0" style="64" hidden="1" customWidth="1"/>
    <col min="800" max="1024" width="9.1640625" style="64"/>
    <col min="1025" max="1025" width="11.5" style="64" customWidth="1"/>
    <col min="1026" max="1026" width="22.83203125" style="64" customWidth="1"/>
    <col min="1027" max="1027" width="17.1640625" style="64" customWidth="1"/>
    <col min="1028" max="1028" width="11.5" style="64" customWidth="1"/>
    <col min="1029" max="1029" width="8" style="64" customWidth="1"/>
    <col min="1030" max="1031" width="17.1640625" style="64" customWidth="1"/>
    <col min="1032" max="1032" width="11.5" style="64" customWidth="1"/>
    <col min="1033" max="1055" width="0" style="64" hidden="1" customWidth="1"/>
    <col min="1056" max="1280" width="9.1640625" style="64"/>
    <col min="1281" max="1281" width="11.5" style="64" customWidth="1"/>
    <col min="1282" max="1282" width="22.83203125" style="64" customWidth="1"/>
    <col min="1283" max="1283" width="17.1640625" style="64" customWidth="1"/>
    <col min="1284" max="1284" width="11.5" style="64" customWidth="1"/>
    <col min="1285" max="1285" width="8" style="64" customWidth="1"/>
    <col min="1286" max="1287" width="17.1640625" style="64" customWidth="1"/>
    <col min="1288" max="1288" width="11.5" style="64" customWidth="1"/>
    <col min="1289" max="1311" width="0" style="64" hidden="1" customWidth="1"/>
    <col min="1312" max="1536" width="9.1640625" style="64"/>
    <col min="1537" max="1537" width="11.5" style="64" customWidth="1"/>
    <col min="1538" max="1538" width="22.83203125" style="64" customWidth="1"/>
    <col min="1539" max="1539" width="17.1640625" style="64" customWidth="1"/>
    <col min="1540" max="1540" width="11.5" style="64" customWidth="1"/>
    <col min="1541" max="1541" width="8" style="64" customWidth="1"/>
    <col min="1542" max="1543" width="17.1640625" style="64" customWidth="1"/>
    <col min="1544" max="1544" width="11.5" style="64" customWidth="1"/>
    <col min="1545" max="1567" width="0" style="64" hidden="1" customWidth="1"/>
    <col min="1568" max="1792" width="9.1640625" style="64"/>
    <col min="1793" max="1793" width="11.5" style="64" customWidth="1"/>
    <col min="1794" max="1794" width="22.83203125" style="64" customWidth="1"/>
    <col min="1795" max="1795" width="17.1640625" style="64" customWidth="1"/>
    <col min="1796" max="1796" width="11.5" style="64" customWidth="1"/>
    <col min="1797" max="1797" width="8" style="64" customWidth="1"/>
    <col min="1798" max="1799" width="17.1640625" style="64" customWidth="1"/>
    <col min="1800" max="1800" width="11.5" style="64" customWidth="1"/>
    <col min="1801" max="1823" width="0" style="64" hidden="1" customWidth="1"/>
    <col min="1824" max="2048" width="9.1640625" style="64"/>
    <col min="2049" max="2049" width="11.5" style="64" customWidth="1"/>
    <col min="2050" max="2050" width="22.83203125" style="64" customWidth="1"/>
    <col min="2051" max="2051" width="17.1640625" style="64" customWidth="1"/>
    <col min="2052" max="2052" width="11.5" style="64" customWidth="1"/>
    <col min="2053" max="2053" width="8" style="64" customWidth="1"/>
    <col min="2054" max="2055" width="17.1640625" style="64" customWidth="1"/>
    <col min="2056" max="2056" width="11.5" style="64" customWidth="1"/>
    <col min="2057" max="2079" width="0" style="64" hidden="1" customWidth="1"/>
    <col min="2080" max="2304" width="9.1640625" style="64"/>
    <col min="2305" max="2305" width="11.5" style="64" customWidth="1"/>
    <col min="2306" max="2306" width="22.83203125" style="64" customWidth="1"/>
    <col min="2307" max="2307" width="17.1640625" style="64" customWidth="1"/>
    <col min="2308" max="2308" width="11.5" style="64" customWidth="1"/>
    <col min="2309" max="2309" width="8" style="64" customWidth="1"/>
    <col min="2310" max="2311" width="17.1640625" style="64" customWidth="1"/>
    <col min="2312" max="2312" width="11.5" style="64" customWidth="1"/>
    <col min="2313" max="2335" width="0" style="64" hidden="1" customWidth="1"/>
    <col min="2336" max="2560" width="9.1640625" style="64"/>
    <col min="2561" max="2561" width="11.5" style="64" customWidth="1"/>
    <col min="2562" max="2562" width="22.83203125" style="64" customWidth="1"/>
    <col min="2563" max="2563" width="17.1640625" style="64" customWidth="1"/>
    <col min="2564" max="2564" width="11.5" style="64" customWidth="1"/>
    <col min="2565" max="2565" width="8" style="64" customWidth="1"/>
    <col min="2566" max="2567" width="17.1640625" style="64" customWidth="1"/>
    <col min="2568" max="2568" width="11.5" style="64" customWidth="1"/>
    <col min="2569" max="2591" width="0" style="64" hidden="1" customWidth="1"/>
    <col min="2592" max="2816" width="9.1640625" style="64"/>
    <col min="2817" max="2817" width="11.5" style="64" customWidth="1"/>
    <col min="2818" max="2818" width="22.83203125" style="64" customWidth="1"/>
    <col min="2819" max="2819" width="17.1640625" style="64" customWidth="1"/>
    <col min="2820" max="2820" width="11.5" style="64" customWidth="1"/>
    <col min="2821" max="2821" width="8" style="64" customWidth="1"/>
    <col min="2822" max="2823" width="17.1640625" style="64" customWidth="1"/>
    <col min="2824" max="2824" width="11.5" style="64" customWidth="1"/>
    <col min="2825" max="2847" width="0" style="64" hidden="1" customWidth="1"/>
    <col min="2848" max="3072" width="9.1640625" style="64"/>
    <col min="3073" max="3073" width="11.5" style="64" customWidth="1"/>
    <col min="3074" max="3074" width="22.83203125" style="64" customWidth="1"/>
    <col min="3075" max="3075" width="17.1640625" style="64" customWidth="1"/>
    <col min="3076" max="3076" width="11.5" style="64" customWidth="1"/>
    <col min="3077" max="3077" width="8" style="64" customWidth="1"/>
    <col min="3078" max="3079" width="17.1640625" style="64" customWidth="1"/>
    <col min="3080" max="3080" width="11.5" style="64" customWidth="1"/>
    <col min="3081" max="3103" width="0" style="64" hidden="1" customWidth="1"/>
    <col min="3104" max="3328" width="9.1640625" style="64"/>
    <col min="3329" max="3329" width="11.5" style="64" customWidth="1"/>
    <col min="3330" max="3330" width="22.83203125" style="64" customWidth="1"/>
    <col min="3331" max="3331" width="17.1640625" style="64" customWidth="1"/>
    <col min="3332" max="3332" width="11.5" style="64" customWidth="1"/>
    <col min="3333" max="3333" width="8" style="64" customWidth="1"/>
    <col min="3334" max="3335" width="17.1640625" style="64" customWidth="1"/>
    <col min="3336" max="3336" width="11.5" style="64" customWidth="1"/>
    <col min="3337" max="3359" width="0" style="64" hidden="1" customWidth="1"/>
    <col min="3360" max="3584" width="9.1640625" style="64"/>
    <col min="3585" max="3585" width="11.5" style="64" customWidth="1"/>
    <col min="3586" max="3586" width="22.83203125" style="64" customWidth="1"/>
    <col min="3587" max="3587" width="17.1640625" style="64" customWidth="1"/>
    <col min="3588" max="3588" width="11.5" style="64" customWidth="1"/>
    <col min="3589" max="3589" width="8" style="64" customWidth="1"/>
    <col min="3590" max="3591" width="17.1640625" style="64" customWidth="1"/>
    <col min="3592" max="3592" width="11.5" style="64" customWidth="1"/>
    <col min="3593" max="3615" width="0" style="64" hidden="1" customWidth="1"/>
    <col min="3616" max="3840" width="9.1640625" style="64"/>
    <col min="3841" max="3841" width="11.5" style="64" customWidth="1"/>
    <col min="3842" max="3842" width="22.83203125" style="64" customWidth="1"/>
    <col min="3843" max="3843" width="17.1640625" style="64" customWidth="1"/>
    <col min="3844" max="3844" width="11.5" style="64" customWidth="1"/>
    <col min="3845" max="3845" width="8" style="64" customWidth="1"/>
    <col min="3846" max="3847" width="17.1640625" style="64" customWidth="1"/>
    <col min="3848" max="3848" width="11.5" style="64" customWidth="1"/>
    <col min="3849" max="3871" width="0" style="64" hidden="1" customWidth="1"/>
    <col min="3872" max="4096" width="9.1640625" style="64"/>
    <col min="4097" max="4097" width="11.5" style="64" customWidth="1"/>
    <col min="4098" max="4098" width="22.83203125" style="64" customWidth="1"/>
    <col min="4099" max="4099" width="17.1640625" style="64" customWidth="1"/>
    <col min="4100" max="4100" width="11.5" style="64" customWidth="1"/>
    <col min="4101" max="4101" width="8" style="64" customWidth="1"/>
    <col min="4102" max="4103" width="17.1640625" style="64" customWidth="1"/>
    <col min="4104" max="4104" width="11.5" style="64" customWidth="1"/>
    <col min="4105" max="4127" width="0" style="64" hidden="1" customWidth="1"/>
    <col min="4128" max="4352" width="9.1640625" style="64"/>
    <col min="4353" max="4353" width="11.5" style="64" customWidth="1"/>
    <col min="4354" max="4354" width="22.83203125" style="64" customWidth="1"/>
    <col min="4355" max="4355" width="17.1640625" style="64" customWidth="1"/>
    <col min="4356" max="4356" width="11.5" style="64" customWidth="1"/>
    <col min="4357" max="4357" width="8" style="64" customWidth="1"/>
    <col min="4358" max="4359" width="17.1640625" style="64" customWidth="1"/>
    <col min="4360" max="4360" width="11.5" style="64" customWidth="1"/>
    <col min="4361" max="4383" width="0" style="64" hidden="1" customWidth="1"/>
    <col min="4384" max="4608" width="9.1640625" style="64"/>
    <col min="4609" max="4609" width="11.5" style="64" customWidth="1"/>
    <col min="4610" max="4610" width="22.83203125" style="64" customWidth="1"/>
    <col min="4611" max="4611" width="17.1640625" style="64" customWidth="1"/>
    <col min="4612" max="4612" width="11.5" style="64" customWidth="1"/>
    <col min="4613" max="4613" width="8" style="64" customWidth="1"/>
    <col min="4614" max="4615" width="17.1640625" style="64" customWidth="1"/>
    <col min="4616" max="4616" width="11.5" style="64" customWidth="1"/>
    <col min="4617" max="4639" width="0" style="64" hidden="1" customWidth="1"/>
    <col min="4640" max="4864" width="9.1640625" style="64"/>
    <col min="4865" max="4865" width="11.5" style="64" customWidth="1"/>
    <col min="4866" max="4866" width="22.83203125" style="64" customWidth="1"/>
    <col min="4867" max="4867" width="17.1640625" style="64" customWidth="1"/>
    <col min="4868" max="4868" width="11.5" style="64" customWidth="1"/>
    <col min="4869" max="4869" width="8" style="64" customWidth="1"/>
    <col min="4870" max="4871" width="17.1640625" style="64" customWidth="1"/>
    <col min="4872" max="4872" width="11.5" style="64" customWidth="1"/>
    <col min="4873" max="4895" width="0" style="64" hidden="1" customWidth="1"/>
    <col min="4896" max="5120" width="9.1640625" style="64"/>
    <col min="5121" max="5121" width="11.5" style="64" customWidth="1"/>
    <col min="5122" max="5122" width="22.83203125" style="64" customWidth="1"/>
    <col min="5123" max="5123" width="17.1640625" style="64" customWidth="1"/>
    <col min="5124" max="5124" width="11.5" style="64" customWidth="1"/>
    <col min="5125" max="5125" width="8" style="64" customWidth="1"/>
    <col min="5126" max="5127" width="17.1640625" style="64" customWidth="1"/>
    <col min="5128" max="5128" width="11.5" style="64" customWidth="1"/>
    <col min="5129" max="5151" width="0" style="64" hidden="1" customWidth="1"/>
    <col min="5152" max="5376" width="9.1640625" style="64"/>
    <col min="5377" max="5377" width="11.5" style="64" customWidth="1"/>
    <col min="5378" max="5378" width="22.83203125" style="64" customWidth="1"/>
    <col min="5379" max="5379" width="17.1640625" style="64" customWidth="1"/>
    <col min="5380" max="5380" width="11.5" style="64" customWidth="1"/>
    <col min="5381" max="5381" width="8" style="64" customWidth="1"/>
    <col min="5382" max="5383" width="17.1640625" style="64" customWidth="1"/>
    <col min="5384" max="5384" width="11.5" style="64" customWidth="1"/>
    <col min="5385" max="5407" width="0" style="64" hidden="1" customWidth="1"/>
    <col min="5408" max="5632" width="9.1640625" style="64"/>
    <col min="5633" max="5633" width="11.5" style="64" customWidth="1"/>
    <col min="5634" max="5634" width="22.83203125" style="64" customWidth="1"/>
    <col min="5635" max="5635" width="17.1640625" style="64" customWidth="1"/>
    <col min="5636" max="5636" width="11.5" style="64" customWidth="1"/>
    <col min="5637" max="5637" width="8" style="64" customWidth="1"/>
    <col min="5638" max="5639" width="17.1640625" style="64" customWidth="1"/>
    <col min="5640" max="5640" width="11.5" style="64" customWidth="1"/>
    <col min="5641" max="5663" width="0" style="64" hidden="1" customWidth="1"/>
    <col min="5664" max="5888" width="9.1640625" style="64"/>
    <col min="5889" max="5889" width="11.5" style="64" customWidth="1"/>
    <col min="5890" max="5890" width="22.83203125" style="64" customWidth="1"/>
    <col min="5891" max="5891" width="17.1640625" style="64" customWidth="1"/>
    <col min="5892" max="5892" width="11.5" style="64" customWidth="1"/>
    <col min="5893" max="5893" width="8" style="64" customWidth="1"/>
    <col min="5894" max="5895" width="17.1640625" style="64" customWidth="1"/>
    <col min="5896" max="5896" width="11.5" style="64" customWidth="1"/>
    <col min="5897" max="5919" width="0" style="64" hidden="1" customWidth="1"/>
    <col min="5920" max="6144" width="9.1640625" style="64"/>
    <col min="6145" max="6145" width="11.5" style="64" customWidth="1"/>
    <col min="6146" max="6146" width="22.83203125" style="64" customWidth="1"/>
    <col min="6147" max="6147" width="17.1640625" style="64" customWidth="1"/>
    <col min="6148" max="6148" width="11.5" style="64" customWidth="1"/>
    <col min="6149" max="6149" width="8" style="64" customWidth="1"/>
    <col min="6150" max="6151" width="17.1640625" style="64" customWidth="1"/>
    <col min="6152" max="6152" width="11.5" style="64" customWidth="1"/>
    <col min="6153" max="6175" width="0" style="64" hidden="1" customWidth="1"/>
    <col min="6176" max="6400" width="9.1640625" style="64"/>
    <col min="6401" max="6401" width="11.5" style="64" customWidth="1"/>
    <col min="6402" max="6402" width="22.83203125" style="64" customWidth="1"/>
    <col min="6403" max="6403" width="17.1640625" style="64" customWidth="1"/>
    <col min="6404" max="6404" width="11.5" style="64" customWidth="1"/>
    <col min="6405" max="6405" width="8" style="64" customWidth="1"/>
    <col min="6406" max="6407" width="17.1640625" style="64" customWidth="1"/>
    <col min="6408" max="6408" width="11.5" style="64" customWidth="1"/>
    <col min="6409" max="6431" width="0" style="64" hidden="1" customWidth="1"/>
    <col min="6432" max="6656" width="9.1640625" style="64"/>
    <col min="6657" max="6657" width="11.5" style="64" customWidth="1"/>
    <col min="6658" max="6658" width="22.83203125" style="64" customWidth="1"/>
    <col min="6659" max="6659" width="17.1640625" style="64" customWidth="1"/>
    <col min="6660" max="6660" width="11.5" style="64" customWidth="1"/>
    <col min="6661" max="6661" width="8" style="64" customWidth="1"/>
    <col min="6662" max="6663" width="17.1640625" style="64" customWidth="1"/>
    <col min="6664" max="6664" width="11.5" style="64" customWidth="1"/>
    <col min="6665" max="6687" width="0" style="64" hidden="1" customWidth="1"/>
    <col min="6688" max="6912" width="9.1640625" style="64"/>
    <col min="6913" max="6913" width="11.5" style="64" customWidth="1"/>
    <col min="6914" max="6914" width="22.83203125" style="64" customWidth="1"/>
    <col min="6915" max="6915" width="17.1640625" style="64" customWidth="1"/>
    <col min="6916" max="6916" width="11.5" style="64" customWidth="1"/>
    <col min="6917" max="6917" width="8" style="64" customWidth="1"/>
    <col min="6918" max="6919" width="17.1640625" style="64" customWidth="1"/>
    <col min="6920" max="6920" width="11.5" style="64" customWidth="1"/>
    <col min="6921" max="6943" width="0" style="64" hidden="1" customWidth="1"/>
    <col min="6944" max="7168" width="9.1640625" style="64"/>
    <col min="7169" max="7169" width="11.5" style="64" customWidth="1"/>
    <col min="7170" max="7170" width="22.83203125" style="64" customWidth="1"/>
    <col min="7171" max="7171" width="17.1640625" style="64" customWidth="1"/>
    <col min="7172" max="7172" width="11.5" style="64" customWidth="1"/>
    <col min="7173" max="7173" width="8" style="64" customWidth="1"/>
    <col min="7174" max="7175" width="17.1640625" style="64" customWidth="1"/>
    <col min="7176" max="7176" width="11.5" style="64" customWidth="1"/>
    <col min="7177" max="7199" width="0" style="64" hidden="1" customWidth="1"/>
    <col min="7200" max="7424" width="9.1640625" style="64"/>
    <col min="7425" max="7425" width="11.5" style="64" customWidth="1"/>
    <col min="7426" max="7426" width="22.83203125" style="64" customWidth="1"/>
    <col min="7427" max="7427" width="17.1640625" style="64" customWidth="1"/>
    <col min="7428" max="7428" width="11.5" style="64" customWidth="1"/>
    <col min="7429" max="7429" width="8" style="64" customWidth="1"/>
    <col min="7430" max="7431" width="17.1640625" style="64" customWidth="1"/>
    <col min="7432" max="7432" width="11.5" style="64" customWidth="1"/>
    <col min="7433" max="7455" width="0" style="64" hidden="1" customWidth="1"/>
    <col min="7456" max="7680" width="9.1640625" style="64"/>
    <col min="7681" max="7681" width="11.5" style="64" customWidth="1"/>
    <col min="7682" max="7682" width="22.83203125" style="64" customWidth="1"/>
    <col min="7683" max="7683" width="17.1640625" style="64" customWidth="1"/>
    <col min="7684" max="7684" width="11.5" style="64" customWidth="1"/>
    <col min="7685" max="7685" width="8" style="64" customWidth="1"/>
    <col min="7686" max="7687" width="17.1640625" style="64" customWidth="1"/>
    <col min="7688" max="7688" width="11.5" style="64" customWidth="1"/>
    <col min="7689" max="7711" width="0" style="64" hidden="1" customWidth="1"/>
    <col min="7712" max="7936" width="9.1640625" style="64"/>
    <col min="7937" max="7937" width="11.5" style="64" customWidth="1"/>
    <col min="7938" max="7938" width="22.83203125" style="64" customWidth="1"/>
    <col min="7939" max="7939" width="17.1640625" style="64" customWidth="1"/>
    <col min="7940" max="7940" width="11.5" style="64" customWidth="1"/>
    <col min="7941" max="7941" width="8" style="64" customWidth="1"/>
    <col min="7942" max="7943" width="17.1640625" style="64" customWidth="1"/>
    <col min="7944" max="7944" width="11.5" style="64" customWidth="1"/>
    <col min="7945" max="7967" width="0" style="64" hidden="1" customWidth="1"/>
    <col min="7968" max="8192" width="9.1640625" style="64"/>
    <col min="8193" max="8193" width="11.5" style="64" customWidth="1"/>
    <col min="8194" max="8194" width="22.83203125" style="64" customWidth="1"/>
    <col min="8195" max="8195" width="17.1640625" style="64" customWidth="1"/>
    <col min="8196" max="8196" width="11.5" style="64" customWidth="1"/>
    <col min="8197" max="8197" width="8" style="64" customWidth="1"/>
    <col min="8198" max="8199" width="17.1640625" style="64" customWidth="1"/>
    <col min="8200" max="8200" width="11.5" style="64" customWidth="1"/>
    <col min="8201" max="8223" width="0" style="64" hidden="1" customWidth="1"/>
    <col min="8224" max="8448" width="9.1640625" style="64"/>
    <col min="8449" max="8449" width="11.5" style="64" customWidth="1"/>
    <col min="8450" max="8450" width="22.83203125" style="64" customWidth="1"/>
    <col min="8451" max="8451" width="17.1640625" style="64" customWidth="1"/>
    <col min="8452" max="8452" width="11.5" style="64" customWidth="1"/>
    <col min="8453" max="8453" width="8" style="64" customWidth="1"/>
    <col min="8454" max="8455" width="17.1640625" style="64" customWidth="1"/>
    <col min="8456" max="8456" width="11.5" style="64" customWidth="1"/>
    <col min="8457" max="8479" width="0" style="64" hidden="1" customWidth="1"/>
    <col min="8480" max="8704" width="9.1640625" style="64"/>
    <col min="8705" max="8705" width="11.5" style="64" customWidth="1"/>
    <col min="8706" max="8706" width="22.83203125" style="64" customWidth="1"/>
    <col min="8707" max="8707" width="17.1640625" style="64" customWidth="1"/>
    <col min="8708" max="8708" width="11.5" style="64" customWidth="1"/>
    <col min="8709" max="8709" width="8" style="64" customWidth="1"/>
    <col min="8710" max="8711" width="17.1640625" style="64" customWidth="1"/>
    <col min="8712" max="8712" width="11.5" style="64" customWidth="1"/>
    <col min="8713" max="8735" width="0" style="64" hidden="1" customWidth="1"/>
    <col min="8736" max="8960" width="9.1640625" style="64"/>
    <col min="8961" max="8961" width="11.5" style="64" customWidth="1"/>
    <col min="8962" max="8962" width="22.83203125" style="64" customWidth="1"/>
    <col min="8963" max="8963" width="17.1640625" style="64" customWidth="1"/>
    <col min="8964" max="8964" width="11.5" style="64" customWidth="1"/>
    <col min="8965" max="8965" width="8" style="64" customWidth="1"/>
    <col min="8966" max="8967" width="17.1640625" style="64" customWidth="1"/>
    <col min="8968" max="8968" width="11.5" style="64" customWidth="1"/>
    <col min="8969" max="8991" width="0" style="64" hidden="1" customWidth="1"/>
    <col min="8992" max="9216" width="9.1640625" style="64"/>
    <col min="9217" max="9217" width="11.5" style="64" customWidth="1"/>
    <col min="9218" max="9218" width="22.83203125" style="64" customWidth="1"/>
    <col min="9219" max="9219" width="17.1640625" style="64" customWidth="1"/>
    <col min="9220" max="9220" width="11.5" style="64" customWidth="1"/>
    <col min="9221" max="9221" width="8" style="64" customWidth="1"/>
    <col min="9222" max="9223" width="17.1640625" style="64" customWidth="1"/>
    <col min="9224" max="9224" width="11.5" style="64" customWidth="1"/>
    <col min="9225" max="9247" width="0" style="64" hidden="1" customWidth="1"/>
    <col min="9248" max="9472" width="9.1640625" style="64"/>
    <col min="9473" max="9473" width="11.5" style="64" customWidth="1"/>
    <col min="9474" max="9474" width="22.83203125" style="64" customWidth="1"/>
    <col min="9475" max="9475" width="17.1640625" style="64" customWidth="1"/>
    <col min="9476" max="9476" width="11.5" style="64" customWidth="1"/>
    <col min="9477" max="9477" width="8" style="64" customWidth="1"/>
    <col min="9478" max="9479" width="17.1640625" style="64" customWidth="1"/>
    <col min="9480" max="9480" width="11.5" style="64" customWidth="1"/>
    <col min="9481" max="9503" width="0" style="64" hidden="1" customWidth="1"/>
    <col min="9504" max="9728" width="9.1640625" style="64"/>
    <col min="9729" max="9729" width="11.5" style="64" customWidth="1"/>
    <col min="9730" max="9730" width="22.83203125" style="64" customWidth="1"/>
    <col min="9731" max="9731" width="17.1640625" style="64" customWidth="1"/>
    <col min="9732" max="9732" width="11.5" style="64" customWidth="1"/>
    <col min="9733" max="9733" width="8" style="64" customWidth="1"/>
    <col min="9734" max="9735" width="17.1640625" style="64" customWidth="1"/>
    <col min="9736" max="9736" width="11.5" style="64" customWidth="1"/>
    <col min="9737" max="9759" width="0" style="64" hidden="1" customWidth="1"/>
    <col min="9760" max="9984" width="9.1640625" style="64"/>
    <col min="9985" max="9985" width="11.5" style="64" customWidth="1"/>
    <col min="9986" max="9986" width="22.83203125" style="64" customWidth="1"/>
    <col min="9987" max="9987" width="17.1640625" style="64" customWidth="1"/>
    <col min="9988" max="9988" width="11.5" style="64" customWidth="1"/>
    <col min="9989" max="9989" width="8" style="64" customWidth="1"/>
    <col min="9990" max="9991" width="17.1640625" style="64" customWidth="1"/>
    <col min="9992" max="9992" width="11.5" style="64" customWidth="1"/>
    <col min="9993" max="10015" width="0" style="64" hidden="1" customWidth="1"/>
    <col min="10016" max="10240" width="9.1640625" style="64"/>
    <col min="10241" max="10241" width="11.5" style="64" customWidth="1"/>
    <col min="10242" max="10242" width="22.83203125" style="64" customWidth="1"/>
    <col min="10243" max="10243" width="17.1640625" style="64" customWidth="1"/>
    <col min="10244" max="10244" width="11.5" style="64" customWidth="1"/>
    <col min="10245" max="10245" width="8" style="64" customWidth="1"/>
    <col min="10246" max="10247" width="17.1640625" style="64" customWidth="1"/>
    <col min="10248" max="10248" width="11.5" style="64" customWidth="1"/>
    <col min="10249" max="10271" width="0" style="64" hidden="1" customWidth="1"/>
    <col min="10272" max="10496" width="9.1640625" style="64"/>
    <col min="10497" max="10497" width="11.5" style="64" customWidth="1"/>
    <col min="10498" max="10498" width="22.83203125" style="64" customWidth="1"/>
    <col min="10499" max="10499" width="17.1640625" style="64" customWidth="1"/>
    <col min="10500" max="10500" width="11.5" style="64" customWidth="1"/>
    <col min="10501" max="10501" width="8" style="64" customWidth="1"/>
    <col min="10502" max="10503" width="17.1640625" style="64" customWidth="1"/>
    <col min="10504" max="10504" width="11.5" style="64" customWidth="1"/>
    <col min="10505" max="10527" width="0" style="64" hidden="1" customWidth="1"/>
    <col min="10528" max="10752" width="9.1640625" style="64"/>
    <col min="10753" max="10753" width="11.5" style="64" customWidth="1"/>
    <col min="10754" max="10754" width="22.83203125" style="64" customWidth="1"/>
    <col min="10755" max="10755" width="17.1640625" style="64" customWidth="1"/>
    <col min="10756" max="10756" width="11.5" style="64" customWidth="1"/>
    <col min="10757" max="10757" width="8" style="64" customWidth="1"/>
    <col min="10758" max="10759" width="17.1640625" style="64" customWidth="1"/>
    <col min="10760" max="10760" width="11.5" style="64" customWidth="1"/>
    <col min="10761" max="10783" width="0" style="64" hidden="1" customWidth="1"/>
    <col min="10784" max="11008" width="9.1640625" style="64"/>
    <col min="11009" max="11009" width="11.5" style="64" customWidth="1"/>
    <col min="11010" max="11010" width="22.83203125" style="64" customWidth="1"/>
    <col min="11011" max="11011" width="17.1640625" style="64" customWidth="1"/>
    <col min="11012" max="11012" width="11.5" style="64" customWidth="1"/>
    <col min="11013" max="11013" width="8" style="64" customWidth="1"/>
    <col min="11014" max="11015" width="17.1640625" style="64" customWidth="1"/>
    <col min="11016" max="11016" width="11.5" style="64" customWidth="1"/>
    <col min="11017" max="11039" width="0" style="64" hidden="1" customWidth="1"/>
    <col min="11040" max="11264" width="9.1640625" style="64"/>
    <col min="11265" max="11265" width="11.5" style="64" customWidth="1"/>
    <col min="11266" max="11266" width="22.83203125" style="64" customWidth="1"/>
    <col min="11267" max="11267" width="17.1640625" style="64" customWidth="1"/>
    <col min="11268" max="11268" width="11.5" style="64" customWidth="1"/>
    <col min="11269" max="11269" width="8" style="64" customWidth="1"/>
    <col min="11270" max="11271" width="17.1640625" style="64" customWidth="1"/>
    <col min="11272" max="11272" width="11.5" style="64" customWidth="1"/>
    <col min="11273" max="11295" width="0" style="64" hidden="1" customWidth="1"/>
    <col min="11296" max="11520" width="9.1640625" style="64"/>
    <col min="11521" max="11521" width="11.5" style="64" customWidth="1"/>
    <col min="11522" max="11522" width="22.83203125" style="64" customWidth="1"/>
    <col min="11523" max="11523" width="17.1640625" style="64" customWidth="1"/>
    <col min="11524" max="11524" width="11.5" style="64" customWidth="1"/>
    <col min="11525" max="11525" width="8" style="64" customWidth="1"/>
    <col min="11526" max="11527" width="17.1640625" style="64" customWidth="1"/>
    <col min="11528" max="11528" width="11.5" style="64" customWidth="1"/>
    <col min="11529" max="11551" width="0" style="64" hidden="1" customWidth="1"/>
    <col min="11552" max="11776" width="9.1640625" style="64"/>
    <col min="11777" max="11777" width="11.5" style="64" customWidth="1"/>
    <col min="11778" max="11778" width="22.83203125" style="64" customWidth="1"/>
    <col min="11779" max="11779" width="17.1640625" style="64" customWidth="1"/>
    <col min="11780" max="11780" width="11.5" style="64" customWidth="1"/>
    <col min="11781" max="11781" width="8" style="64" customWidth="1"/>
    <col min="11782" max="11783" width="17.1640625" style="64" customWidth="1"/>
    <col min="11784" max="11784" width="11.5" style="64" customWidth="1"/>
    <col min="11785" max="11807" width="0" style="64" hidden="1" customWidth="1"/>
    <col min="11808" max="12032" width="9.1640625" style="64"/>
    <col min="12033" max="12033" width="11.5" style="64" customWidth="1"/>
    <col min="12034" max="12034" width="22.83203125" style="64" customWidth="1"/>
    <col min="12035" max="12035" width="17.1640625" style="64" customWidth="1"/>
    <col min="12036" max="12036" width="11.5" style="64" customWidth="1"/>
    <col min="12037" max="12037" width="8" style="64" customWidth="1"/>
    <col min="12038" max="12039" width="17.1640625" style="64" customWidth="1"/>
    <col min="12040" max="12040" width="11.5" style="64" customWidth="1"/>
    <col min="12041" max="12063" width="0" style="64" hidden="1" customWidth="1"/>
    <col min="12064" max="12288" width="9.1640625" style="64"/>
    <col min="12289" max="12289" width="11.5" style="64" customWidth="1"/>
    <col min="12290" max="12290" width="22.83203125" style="64" customWidth="1"/>
    <col min="12291" max="12291" width="17.1640625" style="64" customWidth="1"/>
    <col min="12292" max="12292" width="11.5" style="64" customWidth="1"/>
    <col min="12293" max="12293" width="8" style="64" customWidth="1"/>
    <col min="12294" max="12295" width="17.1640625" style="64" customWidth="1"/>
    <col min="12296" max="12296" width="11.5" style="64" customWidth="1"/>
    <col min="12297" max="12319" width="0" style="64" hidden="1" customWidth="1"/>
    <col min="12320" max="12544" width="9.1640625" style="64"/>
    <col min="12545" max="12545" width="11.5" style="64" customWidth="1"/>
    <col min="12546" max="12546" width="22.83203125" style="64" customWidth="1"/>
    <col min="12547" max="12547" width="17.1640625" style="64" customWidth="1"/>
    <col min="12548" max="12548" width="11.5" style="64" customWidth="1"/>
    <col min="12549" max="12549" width="8" style="64" customWidth="1"/>
    <col min="12550" max="12551" width="17.1640625" style="64" customWidth="1"/>
    <col min="12552" max="12552" width="11.5" style="64" customWidth="1"/>
    <col min="12553" max="12575" width="0" style="64" hidden="1" customWidth="1"/>
    <col min="12576" max="12800" width="9.1640625" style="64"/>
    <col min="12801" max="12801" width="11.5" style="64" customWidth="1"/>
    <col min="12802" max="12802" width="22.83203125" style="64" customWidth="1"/>
    <col min="12803" max="12803" width="17.1640625" style="64" customWidth="1"/>
    <col min="12804" max="12804" width="11.5" style="64" customWidth="1"/>
    <col min="12805" max="12805" width="8" style="64" customWidth="1"/>
    <col min="12806" max="12807" width="17.1640625" style="64" customWidth="1"/>
    <col min="12808" max="12808" width="11.5" style="64" customWidth="1"/>
    <col min="12809" max="12831" width="0" style="64" hidden="1" customWidth="1"/>
    <col min="12832" max="13056" width="9.1640625" style="64"/>
    <col min="13057" max="13057" width="11.5" style="64" customWidth="1"/>
    <col min="13058" max="13058" width="22.83203125" style="64" customWidth="1"/>
    <col min="13059" max="13059" width="17.1640625" style="64" customWidth="1"/>
    <col min="13060" max="13060" width="11.5" style="64" customWidth="1"/>
    <col min="13061" max="13061" width="8" style="64" customWidth="1"/>
    <col min="13062" max="13063" width="17.1640625" style="64" customWidth="1"/>
    <col min="13064" max="13064" width="11.5" style="64" customWidth="1"/>
    <col min="13065" max="13087" width="0" style="64" hidden="1" customWidth="1"/>
    <col min="13088" max="13312" width="9.1640625" style="64"/>
    <col min="13313" max="13313" width="11.5" style="64" customWidth="1"/>
    <col min="13314" max="13314" width="22.83203125" style="64" customWidth="1"/>
    <col min="13315" max="13315" width="17.1640625" style="64" customWidth="1"/>
    <col min="13316" max="13316" width="11.5" style="64" customWidth="1"/>
    <col min="13317" max="13317" width="8" style="64" customWidth="1"/>
    <col min="13318" max="13319" width="17.1640625" style="64" customWidth="1"/>
    <col min="13320" max="13320" width="11.5" style="64" customWidth="1"/>
    <col min="13321" max="13343" width="0" style="64" hidden="1" customWidth="1"/>
    <col min="13344" max="13568" width="9.1640625" style="64"/>
    <col min="13569" max="13569" width="11.5" style="64" customWidth="1"/>
    <col min="13570" max="13570" width="22.83203125" style="64" customWidth="1"/>
    <col min="13571" max="13571" width="17.1640625" style="64" customWidth="1"/>
    <col min="13572" max="13572" width="11.5" style="64" customWidth="1"/>
    <col min="13573" max="13573" width="8" style="64" customWidth="1"/>
    <col min="13574" max="13575" width="17.1640625" style="64" customWidth="1"/>
    <col min="13576" max="13576" width="11.5" style="64" customWidth="1"/>
    <col min="13577" max="13599" width="0" style="64" hidden="1" customWidth="1"/>
    <col min="13600" max="13824" width="9.1640625" style="64"/>
    <col min="13825" max="13825" width="11.5" style="64" customWidth="1"/>
    <col min="13826" max="13826" width="22.83203125" style="64" customWidth="1"/>
    <col min="13827" max="13827" width="17.1640625" style="64" customWidth="1"/>
    <col min="13828" max="13828" width="11.5" style="64" customWidth="1"/>
    <col min="13829" max="13829" width="8" style="64" customWidth="1"/>
    <col min="13830" max="13831" width="17.1640625" style="64" customWidth="1"/>
    <col min="13832" max="13832" width="11.5" style="64" customWidth="1"/>
    <col min="13833" max="13855" width="0" style="64" hidden="1" customWidth="1"/>
    <col min="13856" max="14080" width="9.1640625" style="64"/>
    <col min="14081" max="14081" width="11.5" style="64" customWidth="1"/>
    <col min="14082" max="14082" width="22.83203125" style="64" customWidth="1"/>
    <col min="14083" max="14083" width="17.1640625" style="64" customWidth="1"/>
    <col min="14084" max="14084" width="11.5" style="64" customWidth="1"/>
    <col min="14085" max="14085" width="8" style="64" customWidth="1"/>
    <col min="14086" max="14087" width="17.1640625" style="64" customWidth="1"/>
    <col min="14088" max="14088" width="11.5" style="64" customWidth="1"/>
    <col min="14089" max="14111" width="0" style="64" hidden="1" customWidth="1"/>
    <col min="14112" max="14336" width="9.1640625" style="64"/>
    <col min="14337" max="14337" width="11.5" style="64" customWidth="1"/>
    <col min="14338" max="14338" width="22.83203125" style="64" customWidth="1"/>
    <col min="14339" max="14339" width="17.1640625" style="64" customWidth="1"/>
    <col min="14340" max="14340" width="11.5" style="64" customWidth="1"/>
    <col min="14341" max="14341" width="8" style="64" customWidth="1"/>
    <col min="14342" max="14343" width="17.1640625" style="64" customWidth="1"/>
    <col min="14344" max="14344" width="11.5" style="64" customWidth="1"/>
    <col min="14345" max="14367" width="0" style="64" hidden="1" customWidth="1"/>
    <col min="14368" max="14592" width="9.1640625" style="64"/>
    <col min="14593" max="14593" width="11.5" style="64" customWidth="1"/>
    <col min="14594" max="14594" width="22.83203125" style="64" customWidth="1"/>
    <col min="14595" max="14595" width="17.1640625" style="64" customWidth="1"/>
    <col min="14596" max="14596" width="11.5" style="64" customWidth="1"/>
    <col min="14597" max="14597" width="8" style="64" customWidth="1"/>
    <col min="14598" max="14599" width="17.1640625" style="64" customWidth="1"/>
    <col min="14600" max="14600" width="11.5" style="64" customWidth="1"/>
    <col min="14601" max="14623" width="0" style="64" hidden="1" customWidth="1"/>
    <col min="14624" max="14848" width="9.1640625" style="64"/>
    <col min="14849" max="14849" width="11.5" style="64" customWidth="1"/>
    <col min="14850" max="14850" width="22.83203125" style="64" customWidth="1"/>
    <col min="14851" max="14851" width="17.1640625" style="64" customWidth="1"/>
    <col min="14852" max="14852" width="11.5" style="64" customWidth="1"/>
    <col min="14853" max="14853" width="8" style="64" customWidth="1"/>
    <col min="14854" max="14855" width="17.1640625" style="64" customWidth="1"/>
    <col min="14856" max="14856" width="11.5" style="64" customWidth="1"/>
    <col min="14857" max="14879" width="0" style="64" hidden="1" customWidth="1"/>
    <col min="14880" max="15104" width="9.1640625" style="64"/>
    <col min="15105" max="15105" width="11.5" style="64" customWidth="1"/>
    <col min="15106" max="15106" width="22.83203125" style="64" customWidth="1"/>
    <col min="15107" max="15107" width="17.1640625" style="64" customWidth="1"/>
    <col min="15108" max="15108" width="11.5" style="64" customWidth="1"/>
    <col min="15109" max="15109" width="8" style="64" customWidth="1"/>
    <col min="15110" max="15111" width="17.1640625" style="64" customWidth="1"/>
    <col min="15112" max="15112" width="11.5" style="64" customWidth="1"/>
    <col min="15113" max="15135" width="0" style="64" hidden="1" customWidth="1"/>
    <col min="15136" max="15360" width="9.1640625" style="64"/>
    <col min="15361" max="15361" width="11.5" style="64" customWidth="1"/>
    <col min="15362" max="15362" width="22.83203125" style="64" customWidth="1"/>
    <col min="15363" max="15363" width="17.1640625" style="64" customWidth="1"/>
    <col min="15364" max="15364" width="11.5" style="64" customWidth="1"/>
    <col min="15365" max="15365" width="8" style="64" customWidth="1"/>
    <col min="15366" max="15367" width="17.1640625" style="64" customWidth="1"/>
    <col min="15368" max="15368" width="11.5" style="64" customWidth="1"/>
    <col min="15369" max="15391" width="0" style="64" hidden="1" customWidth="1"/>
    <col min="15392" max="15616" width="9.1640625" style="64"/>
    <col min="15617" max="15617" width="11.5" style="64" customWidth="1"/>
    <col min="15618" max="15618" width="22.83203125" style="64" customWidth="1"/>
    <col min="15619" max="15619" width="17.1640625" style="64" customWidth="1"/>
    <col min="15620" max="15620" width="11.5" style="64" customWidth="1"/>
    <col min="15621" max="15621" width="8" style="64" customWidth="1"/>
    <col min="15622" max="15623" width="17.1640625" style="64" customWidth="1"/>
    <col min="15624" max="15624" width="11.5" style="64" customWidth="1"/>
    <col min="15625" max="15647" width="0" style="64" hidden="1" customWidth="1"/>
    <col min="15648" max="15872" width="9.1640625" style="64"/>
    <col min="15873" max="15873" width="11.5" style="64" customWidth="1"/>
    <col min="15874" max="15874" width="22.83203125" style="64" customWidth="1"/>
    <col min="15875" max="15875" width="17.1640625" style="64" customWidth="1"/>
    <col min="15876" max="15876" width="11.5" style="64" customWidth="1"/>
    <col min="15877" max="15877" width="8" style="64" customWidth="1"/>
    <col min="15878" max="15879" width="17.1640625" style="64" customWidth="1"/>
    <col min="15880" max="15880" width="11.5" style="64" customWidth="1"/>
    <col min="15881" max="15903" width="0" style="64" hidden="1" customWidth="1"/>
    <col min="15904" max="16128" width="9.1640625" style="64"/>
    <col min="16129" max="16129" width="11.5" style="64" customWidth="1"/>
    <col min="16130" max="16130" width="22.83203125" style="64" customWidth="1"/>
    <col min="16131" max="16131" width="17.1640625" style="64" customWidth="1"/>
    <col min="16132" max="16132" width="11.5" style="64" customWidth="1"/>
    <col min="16133" max="16133" width="8" style="64" customWidth="1"/>
    <col min="16134" max="16135" width="17.1640625" style="64" customWidth="1"/>
    <col min="16136" max="16136" width="11.5" style="64" customWidth="1"/>
    <col min="16137" max="16159" width="0" style="64" hidden="1" customWidth="1"/>
    <col min="16160" max="16384" width="9.1640625" style="64"/>
  </cols>
  <sheetData>
    <row r="1" spans="1:14" ht="12.75" customHeight="1" x14ac:dyDescent="0.15">
      <c r="A1" s="64" t="s">
        <v>2274</v>
      </c>
    </row>
    <row r="3" spans="1:14" ht="12.75" customHeight="1" thickTop="1" thickBot="1" x14ac:dyDescent="0.2">
      <c r="A3" s="83" t="s">
        <v>2554</v>
      </c>
      <c r="B3" s="83" t="s">
        <v>439</v>
      </c>
      <c r="C3" s="83"/>
      <c r="D3" s="83"/>
      <c r="E3" s="83"/>
      <c r="F3" s="83"/>
      <c r="G3" s="83"/>
      <c r="H3" s="83"/>
      <c r="I3" s="64" t="s">
        <v>2859</v>
      </c>
      <c r="J3" s="64" t="s">
        <v>353</v>
      </c>
    </row>
    <row r="4" spans="1:14" ht="12.75" customHeight="1" thickTop="1" x14ac:dyDescent="0.15">
      <c r="A4" s="83" t="s">
        <v>780</v>
      </c>
      <c r="B4" s="83" t="s">
        <v>2934</v>
      </c>
      <c r="C4" s="83"/>
      <c r="D4" s="83"/>
      <c r="E4" s="83"/>
      <c r="F4" s="83"/>
      <c r="G4" s="83"/>
      <c r="H4" s="83"/>
    </row>
    <row r="5" spans="1:14" ht="12.75" customHeight="1" x14ac:dyDescent="0.15">
      <c r="A5" s="84" t="s">
        <v>2172</v>
      </c>
      <c r="B5" s="84"/>
      <c r="C5" s="84" t="s">
        <v>1412</v>
      </c>
      <c r="D5" s="84" t="s">
        <v>73</v>
      </c>
      <c r="E5" s="84" t="s">
        <v>2682</v>
      </c>
      <c r="F5" s="84" t="s">
        <v>623</v>
      </c>
      <c r="G5" s="84" t="s">
        <v>352</v>
      </c>
      <c r="H5" s="84" t="s">
        <v>716</v>
      </c>
    </row>
    <row r="6" spans="1:14" ht="12.75" customHeight="1" x14ac:dyDescent="0.15">
      <c r="A6" s="64" t="s">
        <v>171</v>
      </c>
      <c r="B6" s="64" t="s">
        <v>894</v>
      </c>
      <c r="C6" s="64" t="s">
        <v>981</v>
      </c>
      <c r="D6" s="64">
        <f>(900 + 700 + 485)*10^-4</f>
        <v>0.20850000000000002</v>
      </c>
      <c r="E6" s="85" t="s">
        <v>338</v>
      </c>
      <c r="F6" s="85">
        <f>[4]중기기초자료!F3</f>
        <v>105310</v>
      </c>
      <c r="G6" s="86">
        <f>TRUNC(F6*D6, 1)</f>
        <v>21957.1</v>
      </c>
      <c r="H6" s="64" t="s">
        <v>2859</v>
      </c>
      <c r="I6" s="64" t="s">
        <v>2859</v>
      </c>
      <c r="K6" s="64" t="s">
        <v>322</v>
      </c>
      <c r="L6" s="64" t="s">
        <v>2859</v>
      </c>
      <c r="M6" s="64" t="s">
        <v>2624</v>
      </c>
      <c r="N6" s="64" t="s">
        <v>2932</v>
      </c>
    </row>
    <row r="7" spans="1:14" ht="12.75" customHeight="1" x14ac:dyDescent="0.15">
      <c r="B7" s="64" t="s">
        <v>2445</v>
      </c>
      <c r="G7" s="85">
        <f>TRUNC(G6, 0)</f>
        <v>21957</v>
      </c>
    </row>
    <row r="8" spans="1:14" ht="12.75" customHeight="1" x14ac:dyDescent="0.15">
      <c r="A8" s="64" t="s">
        <v>1942</v>
      </c>
      <c r="B8" s="64" t="s">
        <v>452</v>
      </c>
      <c r="C8" s="64" t="s">
        <v>2859</v>
      </c>
      <c r="D8" s="64">
        <v>10.199999999999999</v>
      </c>
      <c r="E8" s="87" t="s">
        <v>2814</v>
      </c>
      <c r="F8" s="87">
        <f>[4]중기기초자료!D9</f>
        <v>1352</v>
      </c>
      <c r="G8" s="86">
        <f>TRUNC(F8*D8, 1)</f>
        <v>13790.4</v>
      </c>
      <c r="H8" s="64" t="s">
        <v>2859</v>
      </c>
      <c r="I8" s="64" t="s">
        <v>2859</v>
      </c>
      <c r="K8" s="64" t="s">
        <v>1030</v>
      </c>
      <c r="L8" s="64" t="s">
        <v>2859</v>
      </c>
      <c r="M8" s="64" t="s">
        <v>540</v>
      </c>
    </row>
    <row r="9" spans="1:14" ht="12.75" customHeight="1" x14ac:dyDescent="0.15">
      <c r="B9" s="64" t="s">
        <v>2927</v>
      </c>
      <c r="C9" s="64" t="s">
        <v>2859</v>
      </c>
      <c r="D9" s="64">
        <v>22</v>
      </c>
      <c r="E9" s="87" t="s">
        <v>2928</v>
      </c>
      <c r="F9" s="87">
        <v>0</v>
      </c>
      <c r="G9" s="86">
        <f>TRUNC((G8) * D9/100, 1)</f>
        <v>3033.8</v>
      </c>
      <c r="H9" s="64" t="s">
        <v>2859</v>
      </c>
      <c r="I9" s="64" t="s">
        <v>2859</v>
      </c>
      <c r="K9" s="64" t="s">
        <v>267</v>
      </c>
      <c r="L9" s="64" t="s">
        <v>2859</v>
      </c>
      <c r="M9" s="64" t="s">
        <v>2929</v>
      </c>
      <c r="N9" s="64" t="s">
        <v>2859</v>
      </c>
    </row>
    <row r="10" spans="1:14" ht="12.75" customHeight="1" x14ac:dyDescent="0.15">
      <c r="B10" s="64" t="s">
        <v>2445</v>
      </c>
      <c r="G10" s="85">
        <f>TRUNC(G8+G9, 0)</f>
        <v>16824</v>
      </c>
    </row>
    <row r="11" spans="1:14" ht="12.75" customHeight="1" x14ac:dyDescent="0.15">
      <c r="A11" s="64" t="s">
        <v>1175</v>
      </c>
      <c r="B11" s="64" t="s">
        <v>626</v>
      </c>
      <c r="C11" s="64" t="s">
        <v>1620</v>
      </c>
      <c r="D11" s="64">
        <v>1</v>
      </c>
      <c r="E11" s="86" t="s">
        <v>1688</v>
      </c>
      <c r="F11" s="86">
        <f>TRUNC([4]중기기초자료!E6 * [4]중기전역변수!C18, 1)</f>
        <v>55700</v>
      </c>
      <c r="G11" s="86">
        <f>TRUNC(F11*D11, 1)</f>
        <v>55700</v>
      </c>
      <c r="H11" s="64" t="s">
        <v>2859</v>
      </c>
      <c r="I11" s="64" t="s">
        <v>2859</v>
      </c>
      <c r="K11" s="64" t="s">
        <v>1624</v>
      </c>
      <c r="L11" s="64" t="s">
        <v>2859</v>
      </c>
      <c r="M11" s="64" t="s">
        <v>1653</v>
      </c>
    </row>
    <row r="12" spans="1:14" ht="12.75" customHeight="1" x14ac:dyDescent="0.15">
      <c r="B12" s="64" t="s">
        <v>2445</v>
      </c>
      <c r="G12" s="85">
        <f>TRUNC(G11, 0)</f>
        <v>55700</v>
      </c>
    </row>
    <row r="13" spans="1:14" ht="12.75" customHeight="1" thickBot="1" x14ac:dyDescent="0.2">
      <c r="B13" s="64" t="s">
        <v>261</v>
      </c>
      <c r="G13" s="85">
        <f>TRUNC(G7+G10+G12, 0)</f>
        <v>94481</v>
      </c>
    </row>
    <row r="14" spans="1:14" ht="12.75" customHeight="1" thickTop="1" thickBot="1" x14ac:dyDescent="0.2">
      <c r="A14" s="83"/>
      <c r="B14" s="83"/>
      <c r="C14" s="83"/>
      <c r="D14" s="83"/>
      <c r="E14" s="83"/>
      <c r="F14" s="83"/>
      <c r="G14" s="83"/>
      <c r="H14" s="83"/>
    </row>
    <row r="15" spans="1:14" ht="12.75" customHeight="1" thickTop="1" thickBot="1" x14ac:dyDescent="0.2">
      <c r="A15" s="83" t="s">
        <v>2554</v>
      </c>
      <c r="B15" s="83" t="s">
        <v>1577</v>
      </c>
      <c r="C15" s="83"/>
      <c r="D15" s="83"/>
      <c r="E15" s="83"/>
      <c r="F15" s="83"/>
      <c r="G15" s="83"/>
      <c r="H15" s="83"/>
      <c r="I15" s="64" t="s">
        <v>2859</v>
      </c>
      <c r="J15" s="64" t="s">
        <v>2688</v>
      </c>
    </row>
    <row r="16" spans="1:14" ht="12.75" customHeight="1" thickTop="1" x14ac:dyDescent="0.15">
      <c r="A16" s="83" t="s">
        <v>780</v>
      </c>
      <c r="B16" s="83" t="s">
        <v>2953</v>
      </c>
      <c r="C16" s="83"/>
      <c r="D16" s="83"/>
      <c r="E16" s="83"/>
      <c r="F16" s="83"/>
      <c r="G16" s="83"/>
      <c r="H16" s="83"/>
    </row>
    <row r="17" spans="1:14" ht="12.75" customHeight="1" x14ac:dyDescent="0.15">
      <c r="A17" s="84" t="s">
        <v>2172</v>
      </c>
      <c r="B17" s="84"/>
      <c r="C17" s="84" t="s">
        <v>1412</v>
      </c>
      <c r="D17" s="84" t="s">
        <v>73</v>
      </c>
      <c r="E17" s="84" t="s">
        <v>2682</v>
      </c>
      <c r="F17" s="84" t="s">
        <v>623</v>
      </c>
      <c r="G17" s="84" t="s">
        <v>352</v>
      </c>
      <c r="H17" s="84" t="s">
        <v>716</v>
      </c>
    </row>
    <row r="18" spans="1:14" ht="12.75" customHeight="1" x14ac:dyDescent="0.15">
      <c r="A18" s="64" t="s">
        <v>171</v>
      </c>
      <c r="B18" s="64" t="s">
        <v>1586</v>
      </c>
      <c r="C18" s="64" t="s">
        <v>912</v>
      </c>
      <c r="D18" s="64">
        <f>(1286 + 857 + 682)*10^-4</f>
        <v>0.28250000000000003</v>
      </c>
      <c r="E18" s="85" t="s">
        <v>338</v>
      </c>
      <c r="F18" s="85">
        <f>[4]중기기초자료!F4</f>
        <v>6537</v>
      </c>
      <c r="G18" s="86">
        <f>TRUNC(F18*D18, 1)</f>
        <v>1846.7</v>
      </c>
      <c r="H18" s="64" t="s">
        <v>2859</v>
      </c>
      <c r="I18" s="64" t="s">
        <v>2859</v>
      </c>
      <c r="K18" s="64" t="s">
        <v>322</v>
      </c>
      <c r="L18" s="64" t="s">
        <v>2859</v>
      </c>
      <c r="M18" s="64" t="s">
        <v>402</v>
      </c>
      <c r="N18" s="64" t="s">
        <v>2954</v>
      </c>
    </row>
    <row r="19" spans="1:14" ht="12.75" customHeight="1" x14ac:dyDescent="0.15">
      <c r="B19" s="64" t="s">
        <v>2445</v>
      </c>
      <c r="G19" s="85">
        <f>TRUNC(G18, 0)</f>
        <v>1846</v>
      </c>
    </row>
    <row r="20" spans="1:14" ht="12.75" customHeight="1" x14ac:dyDescent="0.15">
      <c r="A20" s="64" t="s">
        <v>1942</v>
      </c>
      <c r="B20" s="64" t="s">
        <v>452</v>
      </c>
      <c r="C20" s="64" t="s">
        <v>2859</v>
      </c>
      <c r="D20" s="64">
        <v>2.2000000000000002</v>
      </c>
      <c r="E20" s="87" t="s">
        <v>2814</v>
      </c>
      <c r="F20" s="87">
        <f>[4]중기기초자료!D9</f>
        <v>1352</v>
      </c>
      <c r="G20" s="86">
        <f>TRUNC(F20*D20, 1)</f>
        <v>2974.4</v>
      </c>
      <c r="H20" s="64" t="s">
        <v>2859</v>
      </c>
      <c r="I20" s="64" t="s">
        <v>2859</v>
      </c>
      <c r="K20" s="64" t="s">
        <v>1030</v>
      </c>
      <c r="L20" s="64" t="s">
        <v>2859</v>
      </c>
      <c r="M20" s="64" t="s">
        <v>540</v>
      </c>
    </row>
    <row r="21" spans="1:14" ht="12.75" customHeight="1" x14ac:dyDescent="0.15">
      <c r="B21" s="64" t="s">
        <v>2927</v>
      </c>
      <c r="C21" s="64" t="s">
        <v>2859</v>
      </c>
      <c r="D21" s="64">
        <v>13</v>
      </c>
      <c r="E21" s="87" t="s">
        <v>2928</v>
      </c>
      <c r="F21" s="87">
        <v>0</v>
      </c>
      <c r="G21" s="86">
        <f>TRUNC((G20) * D21/100, 1)</f>
        <v>386.6</v>
      </c>
      <c r="H21" s="64" t="s">
        <v>2859</v>
      </c>
      <c r="I21" s="64" t="s">
        <v>2859</v>
      </c>
      <c r="K21" s="64" t="s">
        <v>267</v>
      </c>
      <c r="L21" s="64" t="s">
        <v>2859</v>
      </c>
      <c r="M21" s="64" t="s">
        <v>2929</v>
      </c>
      <c r="N21" s="64" t="s">
        <v>2859</v>
      </c>
    </row>
    <row r="22" spans="1:14" ht="12.75" customHeight="1" x14ac:dyDescent="0.15">
      <c r="B22" s="64" t="s">
        <v>2445</v>
      </c>
      <c r="G22" s="85">
        <f>TRUNC(G20+G21, 0)</f>
        <v>3361</v>
      </c>
    </row>
    <row r="23" spans="1:14" ht="12.75" customHeight="1" x14ac:dyDescent="0.15">
      <c r="A23" s="64" t="s">
        <v>1175</v>
      </c>
      <c r="B23" s="64" t="s">
        <v>1458</v>
      </c>
      <c r="C23" s="64" t="s">
        <v>1536</v>
      </c>
      <c r="D23" s="64">
        <v>1</v>
      </c>
      <c r="E23" s="86" t="s">
        <v>1688</v>
      </c>
      <c r="F23" s="86">
        <f>TRUNC([4]중기기초자료!E7 * [4]중기전역변수!C18, 1)</f>
        <v>33571.199999999997</v>
      </c>
      <c r="G23" s="86">
        <f>TRUNC(F23*D23, 1)</f>
        <v>33571.199999999997</v>
      </c>
      <c r="H23" s="64" t="s">
        <v>2859</v>
      </c>
      <c r="I23" s="64" t="s">
        <v>1949</v>
      </c>
      <c r="K23" s="64" t="s">
        <v>1624</v>
      </c>
      <c r="L23" s="64" t="s">
        <v>2859</v>
      </c>
      <c r="M23" s="64" t="s">
        <v>1651</v>
      </c>
    </row>
    <row r="24" spans="1:14" ht="12.75" customHeight="1" x14ac:dyDescent="0.15">
      <c r="B24" s="64" t="s">
        <v>2445</v>
      </c>
      <c r="G24" s="85">
        <f>TRUNC(G23, 0)</f>
        <v>33571</v>
      </c>
    </row>
    <row r="25" spans="1:14" ht="12.75" customHeight="1" thickBot="1" x14ac:dyDescent="0.2">
      <c r="B25" s="64" t="s">
        <v>261</v>
      </c>
      <c r="G25" s="85">
        <f>TRUNC(G19+G22+G24, 0)</f>
        <v>38778</v>
      </c>
    </row>
    <row r="26" spans="1:14" ht="12.75" customHeight="1" thickTop="1" thickBot="1" x14ac:dyDescent="0.2">
      <c r="A26" s="83"/>
      <c r="B26" s="83"/>
      <c r="C26" s="83"/>
      <c r="D26" s="83"/>
      <c r="E26" s="83"/>
      <c r="F26" s="83"/>
      <c r="G26" s="83"/>
      <c r="H26" s="83"/>
    </row>
    <row r="27" spans="1:14" ht="12.75" customHeight="1" thickTop="1" thickBot="1" x14ac:dyDescent="0.2">
      <c r="A27" s="83" t="s">
        <v>2554</v>
      </c>
      <c r="B27" s="83" t="s">
        <v>2458</v>
      </c>
      <c r="C27" s="83"/>
      <c r="D27" s="83"/>
      <c r="E27" s="83"/>
      <c r="F27" s="83"/>
      <c r="G27" s="83"/>
      <c r="H27" s="83"/>
      <c r="I27" s="64" t="s">
        <v>2859</v>
      </c>
      <c r="J27" s="64" t="s">
        <v>871</v>
      </c>
    </row>
    <row r="28" spans="1:14" ht="12.75" customHeight="1" thickTop="1" x14ac:dyDescent="0.15">
      <c r="A28" s="83" t="s">
        <v>780</v>
      </c>
      <c r="B28" s="83" t="s">
        <v>2959</v>
      </c>
      <c r="C28" s="83"/>
      <c r="D28" s="83"/>
      <c r="E28" s="83"/>
      <c r="F28" s="83"/>
      <c r="G28" s="83"/>
      <c r="H28" s="83"/>
    </row>
    <row r="29" spans="1:14" ht="12.75" customHeight="1" x14ac:dyDescent="0.15">
      <c r="A29" s="84" t="s">
        <v>2172</v>
      </c>
      <c r="B29" s="84"/>
      <c r="C29" s="84" t="s">
        <v>1412</v>
      </c>
      <c r="D29" s="84" t="s">
        <v>73</v>
      </c>
      <c r="E29" s="84" t="s">
        <v>2682</v>
      </c>
      <c r="F29" s="84" t="s">
        <v>623</v>
      </c>
      <c r="G29" s="84" t="s">
        <v>352</v>
      </c>
      <c r="H29" s="84" t="s">
        <v>716</v>
      </c>
    </row>
    <row r="30" spans="1:14" ht="12.75" customHeight="1" x14ac:dyDescent="0.15">
      <c r="A30" s="64" t="s">
        <v>171</v>
      </c>
      <c r="B30" s="64" t="s">
        <v>1331</v>
      </c>
      <c r="C30" s="64" t="s">
        <v>2425</v>
      </c>
      <c r="D30" s="64">
        <f>(1800 + 1200 + 708)*10^-4</f>
        <v>0.37080000000000002</v>
      </c>
      <c r="E30" s="85" t="s">
        <v>338</v>
      </c>
      <c r="F30" s="85">
        <f>TRUNC([4]중기기초자료!F5 * [4]중기전역변수!C4/1000,0)</f>
        <v>2023</v>
      </c>
      <c r="G30" s="86">
        <f>TRUNC(F30*D30, 1)</f>
        <v>750.1</v>
      </c>
      <c r="H30" s="64" t="s">
        <v>2859</v>
      </c>
      <c r="I30" s="64" t="s">
        <v>2859</v>
      </c>
      <c r="K30" s="64" t="s">
        <v>322</v>
      </c>
      <c r="L30" s="64" t="s">
        <v>2859</v>
      </c>
      <c r="M30" s="64" t="s">
        <v>1489</v>
      </c>
      <c r="N30" s="64" t="s">
        <v>2960</v>
      </c>
    </row>
    <row r="31" spans="1:14" ht="12.75" customHeight="1" x14ac:dyDescent="0.15">
      <c r="B31" s="64" t="s">
        <v>2445</v>
      </c>
      <c r="G31" s="85">
        <f>TRUNC(G30, 0)</f>
        <v>750</v>
      </c>
    </row>
    <row r="32" spans="1:14" ht="12.75" customHeight="1" x14ac:dyDescent="0.15">
      <c r="A32" s="64" t="s">
        <v>1942</v>
      </c>
      <c r="B32" s="64" t="s">
        <v>810</v>
      </c>
      <c r="C32" s="64" t="s">
        <v>2859</v>
      </c>
      <c r="D32" s="64">
        <v>1</v>
      </c>
      <c r="E32" s="87" t="s">
        <v>2814</v>
      </c>
      <c r="F32" s="87">
        <f>[4]중기기초자료!D8</f>
        <v>1552</v>
      </c>
      <c r="G32" s="86">
        <f>TRUNC(F32*D32, 1)</f>
        <v>1552</v>
      </c>
      <c r="H32" s="64" t="s">
        <v>2859</v>
      </c>
      <c r="I32" s="64" t="s">
        <v>2859</v>
      </c>
      <c r="K32" s="64" t="s">
        <v>1030</v>
      </c>
      <c r="L32" s="64" t="s">
        <v>2859</v>
      </c>
      <c r="M32" s="64" t="s">
        <v>2444</v>
      </c>
    </row>
    <row r="33" spans="1:14" ht="12.75" customHeight="1" x14ac:dyDescent="0.15">
      <c r="B33" s="64" t="s">
        <v>2927</v>
      </c>
      <c r="C33" s="64" t="s">
        <v>2859</v>
      </c>
      <c r="D33" s="64">
        <v>20</v>
      </c>
      <c r="E33" s="87" t="s">
        <v>2928</v>
      </c>
      <c r="F33" s="87">
        <v>0</v>
      </c>
      <c r="G33" s="86">
        <f>TRUNC((G32) * D33/100, 1)</f>
        <v>310.39999999999998</v>
      </c>
      <c r="H33" s="64" t="s">
        <v>2859</v>
      </c>
      <c r="I33" s="64" t="s">
        <v>2859</v>
      </c>
      <c r="K33" s="64" t="s">
        <v>267</v>
      </c>
      <c r="L33" s="64" t="s">
        <v>2859</v>
      </c>
      <c r="M33" s="64" t="s">
        <v>2929</v>
      </c>
      <c r="N33" s="64" t="s">
        <v>2859</v>
      </c>
    </row>
    <row r="34" spans="1:14" ht="12.75" customHeight="1" x14ac:dyDescent="0.15">
      <c r="B34" s="64" t="s">
        <v>2445</v>
      </c>
      <c r="G34" s="85">
        <f>TRUNC(G32+G33, 0)</f>
        <v>1862</v>
      </c>
    </row>
    <row r="35" spans="1:14" ht="12.75" customHeight="1" x14ac:dyDescent="0.15">
      <c r="A35" s="64" t="s">
        <v>1175</v>
      </c>
      <c r="B35" s="64" t="s">
        <v>1458</v>
      </c>
      <c r="C35" s="64" t="s">
        <v>2961</v>
      </c>
      <c r="D35" s="64">
        <v>1</v>
      </c>
      <c r="E35" s="86" t="s">
        <v>1688</v>
      </c>
      <c r="F35" s="86">
        <f>TRUNC([4]중기기초자료!E7 * [4]중기전역변수!C18, 1)</f>
        <v>33571.199999999997</v>
      </c>
      <c r="G35" s="86">
        <f>TRUNC(F35*D35, 1)</f>
        <v>33571.199999999997</v>
      </c>
      <c r="H35" s="64" t="s">
        <v>2859</v>
      </c>
      <c r="I35" s="64" t="s">
        <v>2859</v>
      </c>
      <c r="K35" s="64" t="s">
        <v>1624</v>
      </c>
      <c r="L35" s="64" t="s">
        <v>2859</v>
      </c>
      <c r="M35" s="64" t="s">
        <v>1651</v>
      </c>
    </row>
    <row r="36" spans="1:14" ht="12.75" customHeight="1" x14ac:dyDescent="0.15">
      <c r="B36" s="64" t="s">
        <v>2445</v>
      </c>
      <c r="G36" s="85">
        <f>TRUNC(G35, 0)</f>
        <v>33571</v>
      </c>
    </row>
    <row r="37" spans="1:14" ht="12.75" customHeight="1" thickBot="1" x14ac:dyDescent="0.2">
      <c r="B37" s="64" t="s">
        <v>261</v>
      </c>
      <c r="G37" s="85">
        <f>TRUNC(G31+G34+G36, 0)</f>
        <v>36183</v>
      </c>
    </row>
    <row r="38" spans="1:14" ht="12.75" customHeight="1" thickTop="1" x14ac:dyDescent="0.15">
      <c r="A38" s="83"/>
      <c r="B38" s="83"/>
      <c r="C38" s="83"/>
      <c r="D38" s="83"/>
      <c r="E38" s="83"/>
      <c r="F38" s="83"/>
      <c r="G38" s="83"/>
      <c r="H38" s="83"/>
    </row>
  </sheetData>
  <phoneticPr fontId="5" type="noConversion"/>
  <pageMargins left="0.31496062992125984" right="0.31496062992125984" top="1" bottom="0.59055118110236215" header="0.5" footer="0.5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0AA6-82B0-4042-B771-73D70AB3F369}">
  <sheetPr>
    <tabColor rgb="FFFF0000"/>
  </sheetPr>
  <dimension ref="A1:J9"/>
  <sheetViews>
    <sheetView workbookViewId="0">
      <selection activeCell="F8" sqref="F8"/>
    </sheetView>
  </sheetViews>
  <sheetFormatPr defaultRowHeight="12.75" customHeight="1" x14ac:dyDescent="0.15"/>
  <cols>
    <col min="1" max="1" width="17.1640625" style="64" customWidth="1"/>
    <col min="2" max="2" width="11.5" style="64" customWidth="1"/>
    <col min="3" max="3" width="5.6640625" style="64" customWidth="1"/>
    <col min="4" max="8" width="17.1640625" style="64" customWidth="1"/>
    <col min="9" max="10" width="0" style="64" hidden="1" customWidth="1"/>
    <col min="11" max="256" width="9.1640625" style="64"/>
    <col min="257" max="257" width="17.1640625" style="64" customWidth="1"/>
    <col min="258" max="258" width="11.5" style="64" customWidth="1"/>
    <col min="259" max="259" width="5.6640625" style="64" customWidth="1"/>
    <col min="260" max="264" width="17.1640625" style="64" customWidth="1"/>
    <col min="265" max="266" width="0" style="64" hidden="1" customWidth="1"/>
    <col min="267" max="512" width="9.1640625" style="64"/>
    <col min="513" max="513" width="17.1640625" style="64" customWidth="1"/>
    <col min="514" max="514" width="11.5" style="64" customWidth="1"/>
    <col min="515" max="515" width="5.6640625" style="64" customWidth="1"/>
    <col min="516" max="520" width="17.1640625" style="64" customWidth="1"/>
    <col min="521" max="522" width="0" style="64" hidden="1" customWidth="1"/>
    <col min="523" max="768" width="9.1640625" style="64"/>
    <col min="769" max="769" width="17.1640625" style="64" customWidth="1"/>
    <col min="770" max="770" width="11.5" style="64" customWidth="1"/>
    <col min="771" max="771" width="5.6640625" style="64" customWidth="1"/>
    <col min="772" max="776" width="17.1640625" style="64" customWidth="1"/>
    <col min="777" max="778" width="0" style="64" hidden="1" customWidth="1"/>
    <col min="779" max="1024" width="9.1640625" style="64"/>
    <col min="1025" max="1025" width="17.1640625" style="64" customWidth="1"/>
    <col min="1026" max="1026" width="11.5" style="64" customWidth="1"/>
    <col min="1027" max="1027" width="5.6640625" style="64" customWidth="1"/>
    <col min="1028" max="1032" width="17.1640625" style="64" customWidth="1"/>
    <col min="1033" max="1034" width="0" style="64" hidden="1" customWidth="1"/>
    <col min="1035" max="1280" width="9.1640625" style="64"/>
    <col min="1281" max="1281" width="17.1640625" style="64" customWidth="1"/>
    <col min="1282" max="1282" width="11.5" style="64" customWidth="1"/>
    <col min="1283" max="1283" width="5.6640625" style="64" customWidth="1"/>
    <col min="1284" max="1288" width="17.1640625" style="64" customWidth="1"/>
    <col min="1289" max="1290" width="0" style="64" hidden="1" customWidth="1"/>
    <col min="1291" max="1536" width="9.1640625" style="64"/>
    <col min="1537" max="1537" width="17.1640625" style="64" customWidth="1"/>
    <col min="1538" max="1538" width="11.5" style="64" customWidth="1"/>
    <col min="1539" max="1539" width="5.6640625" style="64" customWidth="1"/>
    <col min="1540" max="1544" width="17.1640625" style="64" customWidth="1"/>
    <col min="1545" max="1546" width="0" style="64" hidden="1" customWidth="1"/>
    <col min="1547" max="1792" width="9.1640625" style="64"/>
    <col min="1793" max="1793" width="17.1640625" style="64" customWidth="1"/>
    <col min="1794" max="1794" width="11.5" style="64" customWidth="1"/>
    <col min="1795" max="1795" width="5.6640625" style="64" customWidth="1"/>
    <col min="1796" max="1800" width="17.1640625" style="64" customWidth="1"/>
    <col min="1801" max="1802" width="0" style="64" hidden="1" customWidth="1"/>
    <col min="1803" max="2048" width="9.1640625" style="64"/>
    <col min="2049" max="2049" width="17.1640625" style="64" customWidth="1"/>
    <col min="2050" max="2050" width="11.5" style="64" customWidth="1"/>
    <col min="2051" max="2051" width="5.6640625" style="64" customWidth="1"/>
    <col min="2052" max="2056" width="17.1640625" style="64" customWidth="1"/>
    <col min="2057" max="2058" width="0" style="64" hidden="1" customWidth="1"/>
    <col min="2059" max="2304" width="9.1640625" style="64"/>
    <col min="2305" max="2305" width="17.1640625" style="64" customWidth="1"/>
    <col min="2306" max="2306" width="11.5" style="64" customWidth="1"/>
    <col min="2307" max="2307" width="5.6640625" style="64" customWidth="1"/>
    <col min="2308" max="2312" width="17.1640625" style="64" customWidth="1"/>
    <col min="2313" max="2314" width="0" style="64" hidden="1" customWidth="1"/>
    <col min="2315" max="2560" width="9.1640625" style="64"/>
    <col min="2561" max="2561" width="17.1640625" style="64" customWidth="1"/>
    <col min="2562" max="2562" width="11.5" style="64" customWidth="1"/>
    <col min="2563" max="2563" width="5.6640625" style="64" customWidth="1"/>
    <col min="2564" max="2568" width="17.1640625" style="64" customWidth="1"/>
    <col min="2569" max="2570" width="0" style="64" hidden="1" customWidth="1"/>
    <col min="2571" max="2816" width="9.1640625" style="64"/>
    <col min="2817" max="2817" width="17.1640625" style="64" customWidth="1"/>
    <col min="2818" max="2818" width="11.5" style="64" customWidth="1"/>
    <col min="2819" max="2819" width="5.6640625" style="64" customWidth="1"/>
    <col min="2820" max="2824" width="17.1640625" style="64" customWidth="1"/>
    <col min="2825" max="2826" width="0" style="64" hidden="1" customWidth="1"/>
    <col min="2827" max="3072" width="9.1640625" style="64"/>
    <col min="3073" max="3073" width="17.1640625" style="64" customWidth="1"/>
    <col min="3074" max="3074" width="11.5" style="64" customWidth="1"/>
    <col min="3075" max="3075" width="5.6640625" style="64" customWidth="1"/>
    <col min="3076" max="3080" width="17.1640625" style="64" customWidth="1"/>
    <col min="3081" max="3082" width="0" style="64" hidden="1" customWidth="1"/>
    <col min="3083" max="3328" width="9.1640625" style="64"/>
    <col min="3329" max="3329" width="17.1640625" style="64" customWidth="1"/>
    <col min="3330" max="3330" width="11.5" style="64" customWidth="1"/>
    <col min="3331" max="3331" width="5.6640625" style="64" customWidth="1"/>
    <col min="3332" max="3336" width="17.1640625" style="64" customWidth="1"/>
    <col min="3337" max="3338" width="0" style="64" hidden="1" customWidth="1"/>
    <col min="3339" max="3584" width="9.1640625" style="64"/>
    <col min="3585" max="3585" width="17.1640625" style="64" customWidth="1"/>
    <col min="3586" max="3586" width="11.5" style="64" customWidth="1"/>
    <col min="3587" max="3587" width="5.6640625" style="64" customWidth="1"/>
    <col min="3588" max="3592" width="17.1640625" style="64" customWidth="1"/>
    <col min="3593" max="3594" width="0" style="64" hidden="1" customWidth="1"/>
    <col min="3595" max="3840" width="9.1640625" style="64"/>
    <col min="3841" max="3841" width="17.1640625" style="64" customWidth="1"/>
    <col min="3842" max="3842" width="11.5" style="64" customWidth="1"/>
    <col min="3843" max="3843" width="5.6640625" style="64" customWidth="1"/>
    <col min="3844" max="3848" width="17.1640625" style="64" customWidth="1"/>
    <col min="3849" max="3850" width="0" style="64" hidden="1" customWidth="1"/>
    <col min="3851" max="4096" width="9.1640625" style="64"/>
    <col min="4097" max="4097" width="17.1640625" style="64" customWidth="1"/>
    <col min="4098" max="4098" width="11.5" style="64" customWidth="1"/>
    <col min="4099" max="4099" width="5.6640625" style="64" customWidth="1"/>
    <col min="4100" max="4104" width="17.1640625" style="64" customWidth="1"/>
    <col min="4105" max="4106" width="0" style="64" hidden="1" customWidth="1"/>
    <col min="4107" max="4352" width="9.1640625" style="64"/>
    <col min="4353" max="4353" width="17.1640625" style="64" customWidth="1"/>
    <col min="4354" max="4354" width="11.5" style="64" customWidth="1"/>
    <col min="4355" max="4355" width="5.6640625" style="64" customWidth="1"/>
    <col min="4356" max="4360" width="17.1640625" style="64" customWidth="1"/>
    <col min="4361" max="4362" width="0" style="64" hidden="1" customWidth="1"/>
    <col min="4363" max="4608" width="9.1640625" style="64"/>
    <col min="4609" max="4609" width="17.1640625" style="64" customWidth="1"/>
    <col min="4610" max="4610" width="11.5" style="64" customWidth="1"/>
    <col min="4611" max="4611" width="5.6640625" style="64" customWidth="1"/>
    <col min="4612" max="4616" width="17.1640625" style="64" customWidth="1"/>
    <col min="4617" max="4618" width="0" style="64" hidden="1" customWidth="1"/>
    <col min="4619" max="4864" width="9.1640625" style="64"/>
    <col min="4865" max="4865" width="17.1640625" style="64" customWidth="1"/>
    <col min="4866" max="4866" width="11.5" style="64" customWidth="1"/>
    <col min="4867" max="4867" width="5.6640625" style="64" customWidth="1"/>
    <col min="4868" max="4872" width="17.1640625" style="64" customWidth="1"/>
    <col min="4873" max="4874" width="0" style="64" hidden="1" customWidth="1"/>
    <col min="4875" max="5120" width="9.1640625" style="64"/>
    <col min="5121" max="5121" width="17.1640625" style="64" customWidth="1"/>
    <col min="5122" max="5122" width="11.5" style="64" customWidth="1"/>
    <col min="5123" max="5123" width="5.6640625" style="64" customWidth="1"/>
    <col min="5124" max="5128" width="17.1640625" style="64" customWidth="1"/>
    <col min="5129" max="5130" width="0" style="64" hidden="1" customWidth="1"/>
    <col min="5131" max="5376" width="9.1640625" style="64"/>
    <col min="5377" max="5377" width="17.1640625" style="64" customWidth="1"/>
    <col min="5378" max="5378" width="11.5" style="64" customWidth="1"/>
    <col min="5379" max="5379" width="5.6640625" style="64" customWidth="1"/>
    <col min="5380" max="5384" width="17.1640625" style="64" customWidth="1"/>
    <col min="5385" max="5386" width="0" style="64" hidden="1" customWidth="1"/>
    <col min="5387" max="5632" width="9.1640625" style="64"/>
    <col min="5633" max="5633" width="17.1640625" style="64" customWidth="1"/>
    <col min="5634" max="5634" width="11.5" style="64" customWidth="1"/>
    <col min="5635" max="5635" width="5.6640625" style="64" customWidth="1"/>
    <col min="5636" max="5640" width="17.1640625" style="64" customWidth="1"/>
    <col min="5641" max="5642" width="0" style="64" hidden="1" customWidth="1"/>
    <col min="5643" max="5888" width="9.1640625" style="64"/>
    <col min="5889" max="5889" width="17.1640625" style="64" customWidth="1"/>
    <col min="5890" max="5890" width="11.5" style="64" customWidth="1"/>
    <col min="5891" max="5891" width="5.6640625" style="64" customWidth="1"/>
    <col min="5892" max="5896" width="17.1640625" style="64" customWidth="1"/>
    <col min="5897" max="5898" width="0" style="64" hidden="1" customWidth="1"/>
    <col min="5899" max="6144" width="9.1640625" style="64"/>
    <col min="6145" max="6145" width="17.1640625" style="64" customWidth="1"/>
    <col min="6146" max="6146" width="11.5" style="64" customWidth="1"/>
    <col min="6147" max="6147" width="5.6640625" style="64" customWidth="1"/>
    <col min="6148" max="6152" width="17.1640625" style="64" customWidth="1"/>
    <col min="6153" max="6154" width="0" style="64" hidden="1" customWidth="1"/>
    <col min="6155" max="6400" width="9.1640625" style="64"/>
    <col min="6401" max="6401" width="17.1640625" style="64" customWidth="1"/>
    <col min="6402" max="6402" width="11.5" style="64" customWidth="1"/>
    <col min="6403" max="6403" width="5.6640625" style="64" customWidth="1"/>
    <col min="6404" max="6408" width="17.1640625" style="64" customWidth="1"/>
    <col min="6409" max="6410" width="0" style="64" hidden="1" customWidth="1"/>
    <col min="6411" max="6656" width="9.1640625" style="64"/>
    <col min="6657" max="6657" width="17.1640625" style="64" customWidth="1"/>
    <col min="6658" max="6658" width="11.5" style="64" customWidth="1"/>
    <col min="6659" max="6659" width="5.6640625" style="64" customWidth="1"/>
    <col min="6660" max="6664" width="17.1640625" style="64" customWidth="1"/>
    <col min="6665" max="6666" width="0" style="64" hidden="1" customWidth="1"/>
    <col min="6667" max="6912" width="9.1640625" style="64"/>
    <col min="6913" max="6913" width="17.1640625" style="64" customWidth="1"/>
    <col min="6914" max="6914" width="11.5" style="64" customWidth="1"/>
    <col min="6915" max="6915" width="5.6640625" style="64" customWidth="1"/>
    <col min="6916" max="6920" width="17.1640625" style="64" customWidth="1"/>
    <col min="6921" max="6922" width="0" style="64" hidden="1" customWidth="1"/>
    <col min="6923" max="7168" width="9.1640625" style="64"/>
    <col min="7169" max="7169" width="17.1640625" style="64" customWidth="1"/>
    <col min="7170" max="7170" width="11.5" style="64" customWidth="1"/>
    <col min="7171" max="7171" width="5.6640625" style="64" customWidth="1"/>
    <col min="7172" max="7176" width="17.1640625" style="64" customWidth="1"/>
    <col min="7177" max="7178" width="0" style="64" hidden="1" customWidth="1"/>
    <col min="7179" max="7424" width="9.1640625" style="64"/>
    <col min="7425" max="7425" width="17.1640625" style="64" customWidth="1"/>
    <col min="7426" max="7426" width="11.5" style="64" customWidth="1"/>
    <col min="7427" max="7427" width="5.6640625" style="64" customWidth="1"/>
    <col min="7428" max="7432" width="17.1640625" style="64" customWidth="1"/>
    <col min="7433" max="7434" width="0" style="64" hidden="1" customWidth="1"/>
    <col min="7435" max="7680" width="9.1640625" style="64"/>
    <col min="7681" max="7681" width="17.1640625" style="64" customWidth="1"/>
    <col min="7682" max="7682" width="11.5" style="64" customWidth="1"/>
    <col min="7683" max="7683" width="5.6640625" style="64" customWidth="1"/>
    <col min="7684" max="7688" width="17.1640625" style="64" customWidth="1"/>
    <col min="7689" max="7690" width="0" style="64" hidden="1" customWidth="1"/>
    <col min="7691" max="7936" width="9.1640625" style="64"/>
    <col min="7937" max="7937" width="17.1640625" style="64" customWidth="1"/>
    <col min="7938" max="7938" width="11.5" style="64" customWidth="1"/>
    <col min="7939" max="7939" width="5.6640625" style="64" customWidth="1"/>
    <col min="7940" max="7944" width="17.1640625" style="64" customWidth="1"/>
    <col min="7945" max="7946" width="0" style="64" hidden="1" customWidth="1"/>
    <col min="7947" max="8192" width="9.1640625" style="64"/>
    <col min="8193" max="8193" width="17.1640625" style="64" customWidth="1"/>
    <col min="8194" max="8194" width="11.5" style="64" customWidth="1"/>
    <col min="8195" max="8195" width="5.6640625" style="64" customWidth="1"/>
    <col min="8196" max="8200" width="17.1640625" style="64" customWidth="1"/>
    <col min="8201" max="8202" width="0" style="64" hidden="1" customWidth="1"/>
    <col min="8203" max="8448" width="9.1640625" style="64"/>
    <col min="8449" max="8449" width="17.1640625" style="64" customWidth="1"/>
    <col min="8450" max="8450" width="11.5" style="64" customWidth="1"/>
    <col min="8451" max="8451" width="5.6640625" style="64" customWidth="1"/>
    <col min="8452" max="8456" width="17.1640625" style="64" customWidth="1"/>
    <col min="8457" max="8458" width="0" style="64" hidden="1" customWidth="1"/>
    <col min="8459" max="8704" width="9.1640625" style="64"/>
    <col min="8705" max="8705" width="17.1640625" style="64" customWidth="1"/>
    <col min="8706" max="8706" width="11.5" style="64" customWidth="1"/>
    <col min="8707" max="8707" width="5.6640625" style="64" customWidth="1"/>
    <col min="8708" max="8712" width="17.1640625" style="64" customWidth="1"/>
    <col min="8713" max="8714" width="0" style="64" hidden="1" customWidth="1"/>
    <col min="8715" max="8960" width="9.1640625" style="64"/>
    <col min="8961" max="8961" width="17.1640625" style="64" customWidth="1"/>
    <col min="8962" max="8962" width="11.5" style="64" customWidth="1"/>
    <col min="8963" max="8963" width="5.6640625" style="64" customWidth="1"/>
    <col min="8964" max="8968" width="17.1640625" style="64" customWidth="1"/>
    <col min="8969" max="8970" width="0" style="64" hidden="1" customWidth="1"/>
    <col min="8971" max="9216" width="9.1640625" style="64"/>
    <col min="9217" max="9217" width="17.1640625" style="64" customWidth="1"/>
    <col min="9218" max="9218" width="11.5" style="64" customWidth="1"/>
    <col min="9219" max="9219" width="5.6640625" style="64" customWidth="1"/>
    <col min="9220" max="9224" width="17.1640625" style="64" customWidth="1"/>
    <col min="9225" max="9226" width="0" style="64" hidden="1" customWidth="1"/>
    <col min="9227" max="9472" width="9.1640625" style="64"/>
    <col min="9473" max="9473" width="17.1640625" style="64" customWidth="1"/>
    <col min="9474" max="9474" width="11.5" style="64" customWidth="1"/>
    <col min="9475" max="9475" width="5.6640625" style="64" customWidth="1"/>
    <col min="9476" max="9480" width="17.1640625" style="64" customWidth="1"/>
    <col min="9481" max="9482" width="0" style="64" hidden="1" customWidth="1"/>
    <col min="9483" max="9728" width="9.1640625" style="64"/>
    <col min="9729" max="9729" width="17.1640625" style="64" customWidth="1"/>
    <col min="9730" max="9730" width="11.5" style="64" customWidth="1"/>
    <col min="9731" max="9731" width="5.6640625" style="64" customWidth="1"/>
    <col min="9732" max="9736" width="17.1640625" style="64" customWidth="1"/>
    <col min="9737" max="9738" width="0" style="64" hidden="1" customWidth="1"/>
    <col min="9739" max="9984" width="9.1640625" style="64"/>
    <col min="9985" max="9985" width="17.1640625" style="64" customWidth="1"/>
    <col min="9986" max="9986" width="11.5" style="64" customWidth="1"/>
    <col min="9987" max="9987" width="5.6640625" style="64" customWidth="1"/>
    <col min="9988" max="9992" width="17.1640625" style="64" customWidth="1"/>
    <col min="9993" max="9994" width="0" style="64" hidden="1" customWidth="1"/>
    <col min="9995" max="10240" width="9.1640625" style="64"/>
    <col min="10241" max="10241" width="17.1640625" style="64" customWidth="1"/>
    <col min="10242" max="10242" width="11.5" style="64" customWidth="1"/>
    <col min="10243" max="10243" width="5.6640625" style="64" customWidth="1"/>
    <col min="10244" max="10248" width="17.1640625" style="64" customWidth="1"/>
    <col min="10249" max="10250" width="0" style="64" hidden="1" customWidth="1"/>
    <col min="10251" max="10496" width="9.1640625" style="64"/>
    <col min="10497" max="10497" width="17.1640625" style="64" customWidth="1"/>
    <col min="10498" max="10498" width="11.5" style="64" customWidth="1"/>
    <col min="10499" max="10499" width="5.6640625" style="64" customWidth="1"/>
    <col min="10500" max="10504" width="17.1640625" style="64" customWidth="1"/>
    <col min="10505" max="10506" width="0" style="64" hidden="1" customWidth="1"/>
    <col min="10507" max="10752" width="9.1640625" style="64"/>
    <col min="10753" max="10753" width="17.1640625" style="64" customWidth="1"/>
    <col min="10754" max="10754" width="11.5" style="64" customWidth="1"/>
    <col min="10755" max="10755" width="5.6640625" style="64" customWidth="1"/>
    <col min="10756" max="10760" width="17.1640625" style="64" customWidth="1"/>
    <col min="10761" max="10762" width="0" style="64" hidden="1" customWidth="1"/>
    <col min="10763" max="11008" width="9.1640625" style="64"/>
    <col min="11009" max="11009" width="17.1640625" style="64" customWidth="1"/>
    <col min="11010" max="11010" width="11.5" style="64" customWidth="1"/>
    <col min="11011" max="11011" width="5.6640625" style="64" customWidth="1"/>
    <col min="11012" max="11016" width="17.1640625" style="64" customWidth="1"/>
    <col min="11017" max="11018" width="0" style="64" hidden="1" customWidth="1"/>
    <col min="11019" max="11264" width="9.1640625" style="64"/>
    <col min="11265" max="11265" width="17.1640625" style="64" customWidth="1"/>
    <col min="11266" max="11266" width="11.5" style="64" customWidth="1"/>
    <col min="11267" max="11267" width="5.6640625" style="64" customWidth="1"/>
    <col min="11268" max="11272" width="17.1640625" style="64" customWidth="1"/>
    <col min="11273" max="11274" width="0" style="64" hidden="1" customWidth="1"/>
    <col min="11275" max="11520" width="9.1640625" style="64"/>
    <col min="11521" max="11521" width="17.1640625" style="64" customWidth="1"/>
    <col min="11522" max="11522" width="11.5" style="64" customWidth="1"/>
    <col min="11523" max="11523" width="5.6640625" style="64" customWidth="1"/>
    <col min="11524" max="11528" width="17.1640625" style="64" customWidth="1"/>
    <col min="11529" max="11530" width="0" style="64" hidden="1" customWidth="1"/>
    <col min="11531" max="11776" width="9.1640625" style="64"/>
    <col min="11777" max="11777" width="17.1640625" style="64" customWidth="1"/>
    <col min="11778" max="11778" width="11.5" style="64" customWidth="1"/>
    <col min="11779" max="11779" width="5.6640625" style="64" customWidth="1"/>
    <col min="11780" max="11784" width="17.1640625" style="64" customWidth="1"/>
    <col min="11785" max="11786" width="0" style="64" hidden="1" customWidth="1"/>
    <col min="11787" max="12032" width="9.1640625" style="64"/>
    <col min="12033" max="12033" width="17.1640625" style="64" customWidth="1"/>
    <col min="12034" max="12034" width="11.5" style="64" customWidth="1"/>
    <col min="12035" max="12035" width="5.6640625" style="64" customWidth="1"/>
    <col min="12036" max="12040" width="17.1640625" style="64" customWidth="1"/>
    <col min="12041" max="12042" width="0" style="64" hidden="1" customWidth="1"/>
    <col min="12043" max="12288" width="9.1640625" style="64"/>
    <col min="12289" max="12289" width="17.1640625" style="64" customWidth="1"/>
    <col min="12290" max="12290" width="11.5" style="64" customWidth="1"/>
    <col min="12291" max="12291" width="5.6640625" style="64" customWidth="1"/>
    <col min="12292" max="12296" width="17.1640625" style="64" customWidth="1"/>
    <col min="12297" max="12298" width="0" style="64" hidden="1" customWidth="1"/>
    <col min="12299" max="12544" width="9.1640625" style="64"/>
    <col min="12545" max="12545" width="17.1640625" style="64" customWidth="1"/>
    <col min="12546" max="12546" width="11.5" style="64" customWidth="1"/>
    <col min="12547" max="12547" width="5.6640625" style="64" customWidth="1"/>
    <col min="12548" max="12552" width="17.1640625" style="64" customWidth="1"/>
    <col min="12553" max="12554" width="0" style="64" hidden="1" customWidth="1"/>
    <col min="12555" max="12800" width="9.1640625" style="64"/>
    <col min="12801" max="12801" width="17.1640625" style="64" customWidth="1"/>
    <col min="12802" max="12802" width="11.5" style="64" customWidth="1"/>
    <col min="12803" max="12803" width="5.6640625" style="64" customWidth="1"/>
    <col min="12804" max="12808" width="17.1640625" style="64" customWidth="1"/>
    <col min="12809" max="12810" width="0" style="64" hidden="1" customWidth="1"/>
    <col min="12811" max="13056" width="9.1640625" style="64"/>
    <col min="13057" max="13057" width="17.1640625" style="64" customWidth="1"/>
    <col min="13058" max="13058" width="11.5" style="64" customWidth="1"/>
    <col min="13059" max="13059" width="5.6640625" style="64" customWidth="1"/>
    <col min="13060" max="13064" width="17.1640625" style="64" customWidth="1"/>
    <col min="13065" max="13066" width="0" style="64" hidden="1" customWidth="1"/>
    <col min="13067" max="13312" width="9.1640625" style="64"/>
    <col min="13313" max="13313" width="17.1640625" style="64" customWidth="1"/>
    <col min="13314" max="13314" width="11.5" style="64" customWidth="1"/>
    <col min="13315" max="13315" width="5.6640625" style="64" customWidth="1"/>
    <col min="13316" max="13320" width="17.1640625" style="64" customWidth="1"/>
    <col min="13321" max="13322" width="0" style="64" hidden="1" customWidth="1"/>
    <col min="13323" max="13568" width="9.1640625" style="64"/>
    <col min="13569" max="13569" width="17.1640625" style="64" customWidth="1"/>
    <col min="13570" max="13570" width="11.5" style="64" customWidth="1"/>
    <col min="13571" max="13571" width="5.6640625" style="64" customWidth="1"/>
    <col min="13572" max="13576" width="17.1640625" style="64" customWidth="1"/>
    <col min="13577" max="13578" width="0" style="64" hidden="1" customWidth="1"/>
    <col min="13579" max="13824" width="9.1640625" style="64"/>
    <col min="13825" max="13825" width="17.1640625" style="64" customWidth="1"/>
    <col min="13826" max="13826" width="11.5" style="64" customWidth="1"/>
    <col min="13827" max="13827" width="5.6640625" style="64" customWidth="1"/>
    <col min="13828" max="13832" width="17.1640625" style="64" customWidth="1"/>
    <col min="13833" max="13834" width="0" style="64" hidden="1" customWidth="1"/>
    <col min="13835" max="14080" width="9.1640625" style="64"/>
    <col min="14081" max="14081" width="17.1640625" style="64" customWidth="1"/>
    <col min="14082" max="14082" width="11.5" style="64" customWidth="1"/>
    <col min="14083" max="14083" width="5.6640625" style="64" customWidth="1"/>
    <col min="14084" max="14088" width="17.1640625" style="64" customWidth="1"/>
    <col min="14089" max="14090" width="0" style="64" hidden="1" customWidth="1"/>
    <col min="14091" max="14336" width="9.1640625" style="64"/>
    <col min="14337" max="14337" width="17.1640625" style="64" customWidth="1"/>
    <col min="14338" max="14338" width="11.5" style="64" customWidth="1"/>
    <col min="14339" max="14339" width="5.6640625" style="64" customWidth="1"/>
    <col min="14340" max="14344" width="17.1640625" style="64" customWidth="1"/>
    <col min="14345" max="14346" width="0" style="64" hidden="1" customWidth="1"/>
    <col min="14347" max="14592" width="9.1640625" style="64"/>
    <col min="14593" max="14593" width="17.1640625" style="64" customWidth="1"/>
    <col min="14594" max="14594" width="11.5" style="64" customWidth="1"/>
    <col min="14595" max="14595" width="5.6640625" style="64" customWidth="1"/>
    <col min="14596" max="14600" width="17.1640625" style="64" customWidth="1"/>
    <col min="14601" max="14602" width="0" style="64" hidden="1" customWidth="1"/>
    <col min="14603" max="14848" width="9.1640625" style="64"/>
    <col min="14849" max="14849" width="17.1640625" style="64" customWidth="1"/>
    <col min="14850" max="14850" width="11.5" style="64" customWidth="1"/>
    <col min="14851" max="14851" width="5.6640625" style="64" customWidth="1"/>
    <col min="14852" max="14856" width="17.1640625" style="64" customWidth="1"/>
    <col min="14857" max="14858" width="0" style="64" hidden="1" customWidth="1"/>
    <col min="14859" max="15104" width="9.1640625" style="64"/>
    <col min="15105" max="15105" width="17.1640625" style="64" customWidth="1"/>
    <col min="15106" max="15106" width="11.5" style="64" customWidth="1"/>
    <col min="15107" max="15107" width="5.6640625" style="64" customWidth="1"/>
    <col min="15108" max="15112" width="17.1640625" style="64" customWidth="1"/>
    <col min="15113" max="15114" width="0" style="64" hidden="1" customWidth="1"/>
    <col min="15115" max="15360" width="9.1640625" style="64"/>
    <col min="15361" max="15361" width="17.1640625" style="64" customWidth="1"/>
    <col min="15362" max="15362" width="11.5" style="64" customWidth="1"/>
    <col min="15363" max="15363" width="5.6640625" style="64" customWidth="1"/>
    <col min="15364" max="15368" width="17.1640625" style="64" customWidth="1"/>
    <col min="15369" max="15370" width="0" style="64" hidden="1" customWidth="1"/>
    <col min="15371" max="15616" width="9.1640625" style="64"/>
    <col min="15617" max="15617" width="17.1640625" style="64" customWidth="1"/>
    <col min="15618" max="15618" width="11.5" style="64" customWidth="1"/>
    <col min="15619" max="15619" width="5.6640625" style="64" customWidth="1"/>
    <col min="15620" max="15624" width="17.1640625" style="64" customWidth="1"/>
    <col min="15625" max="15626" width="0" style="64" hidden="1" customWidth="1"/>
    <col min="15627" max="15872" width="9.1640625" style="64"/>
    <col min="15873" max="15873" width="17.1640625" style="64" customWidth="1"/>
    <col min="15874" max="15874" width="11.5" style="64" customWidth="1"/>
    <col min="15875" max="15875" width="5.6640625" style="64" customWidth="1"/>
    <col min="15876" max="15880" width="17.1640625" style="64" customWidth="1"/>
    <col min="15881" max="15882" width="0" style="64" hidden="1" customWidth="1"/>
    <col min="15883" max="16128" width="9.1640625" style="64"/>
    <col min="16129" max="16129" width="17.1640625" style="64" customWidth="1"/>
    <col min="16130" max="16130" width="11.5" style="64" customWidth="1"/>
    <col min="16131" max="16131" width="5.6640625" style="64" customWidth="1"/>
    <col min="16132" max="16136" width="17.1640625" style="64" customWidth="1"/>
    <col min="16137" max="16138" width="0" style="64" hidden="1" customWidth="1"/>
    <col min="16139" max="16384" width="9.1640625" style="64"/>
  </cols>
  <sheetData>
    <row r="1" spans="1:10" ht="12.75" customHeight="1" x14ac:dyDescent="0.15">
      <c r="A1" s="64" t="s">
        <v>1137</v>
      </c>
    </row>
    <row r="2" spans="1:10" ht="12.75" customHeight="1" x14ac:dyDescent="0.15">
      <c r="A2" s="65" t="s">
        <v>2004</v>
      </c>
      <c r="B2" s="65" t="s">
        <v>1092</v>
      </c>
      <c r="C2" s="65" t="s">
        <v>2682</v>
      </c>
      <c r="D2" s="65" t="s">
        <v>1942</v>
      </c>
      <c r="E2" s="65" t="s">
        <v>1175</v>
      </c>
      <c r="F2" s="65" t="s">
        <v>171</v>
      </c>
      <c r="G2" s="65" t="s">
        <v>2786</v>
      </c>
      <c r="H2" s="65" t="s">
        <v>716</v>
      </c>
    </row>
    <row r="3" spans="1:10" ht="12.75" customHeight="1" x14ac:dyDescent="0.15">
      <c r="A3" s="66" t="s">
        <v>894</v>
      </c>
      <c r="B3" s="66" t="s">
        <v>981</v>
      </c>
      <c r="C3" s="66" t="s">
        <v>338</v>
      </c>
      <c r="D3" s="88">
        <v>0</v>
      </c>
      <c r="E3" s="89">
        <v>0</v>
      </c>
      <c r="F3" s="67">
        <v>105310</v>
      </c>
      <c r="G3" s="88">
        <v>105310</v>
      </c>
      <c r="H3" s="66" t="s">
        <v>2859</v>
      </c>
      <c r="I3" s="64" t="s">
        <v>2859</v>
      </c>
      <c r="J3" s="64" t="s">
        <v>2624</v>
      </c>
    </row>
    <row r="4" spans="1:10" ht="12.75" customHeight="1" x14ac:dyDescent="0.15">
      <c r="A4" s="66" t="s">
        <v>1586</v>
      </c>
      <c r="B4" s="66" t="s">
        <v>912</v>
      </c>
      <c r="C4" s="66" t="s">
        <v>338</v>
      </c>
      <c r="D4" s="88">
        <v>0</v>
      </c>
      <c r="E4" s="89">
        <v>0</v>
      </c>
      <c r="F4" s="67">
        <v>6537</v>
      </c>
      <c r="G4" s="88">
        <v>6537</v>
      </c>
      <c r="H4" s="66" t="s">
        <v>2859</v>
      </c>
      <c r="I4" s="64" t="s">
        <v>2859</v>
      </c>
      <c r="J4" s="64" t="s">
        <v>402</v>
      </c>
    </row>
    <row r="5" spans="1:10" ht="12.75" customHeight="1" x14ac:dyDescent="0.15">
      <c r="A5" s="66" t="s">
        <v>1331</v>
      </c>
      <c r="B5" s="66" t="s">
        <v>2425</v>
      </c>
      <c r="C5" s="66" t="s">
        <v>2259</v>
      </c>
      <c r="D5" s="88">
        <v>0</v>
      </c>
      <c r="E5" s="89">
        <v>0</v>
      </c>
      <c r="F5" s="67">
        <v>1570</v>
      </c>
      <c r="G5" s="88">
        <v>1570</v>
      </c>
      <c r="H5" s="66" t="s">
        <v>2859</v>
      </c>
      <c r="I5" s="64" t="s">
        <v>2859</v>
      </c>
      <c r="J5" s="64" t="s">
        <v>1489</v>
      </c>
    </row>
    <row r="6" spans="1:10" ht="12.75" customHeight="1" x14ac:dyDescent="0.15">
      <c r="A6" s="66" t="s">
        <v>626</v>
      </c>
      <c r="B6" s="66" t="s">
        <v>1620</v>
      </c>
      <c r="C6" s="66" t="s">
        <v>1688</v>
      </c>
      <c r="D6" s="88">
        <v>0</v>
      </c>
      <c r="E6" s="89">
        <v>267360</v>
      </c>
      <c r="F6" s="67">
        <v>0</v>
      </c>
      <c r="G6" s="88">
        <v>267360</v>
      </c>
      <c r="H6" s="66" t="s">
        <v>2859</v>
      </c>
      <c r="I6" s="64" t="s">
        <v>2762</v>
      </c>
      <c r="J6" s="64" t="s">
        <v>1653</v>
      </c>
    </row>
    <row r="7" spans="1:10" ht="12.75" customHeight="1" x14ac:dyDescent="0.15">
      <c r="A7" s="66" t="s">
        <v>1458</v>
      </c>
      <c r="B7" s="66" t="s">
        <v>1536</v>
      </c>
      <c r="C7" s="66" t="s">
        <v>1688</v>
      </c>
      <c r="D7" s="88">
        <v>0</v>
      </c>
      <c r="E7" s="89">
        <v>161142</v>
      </c>
      <c r="F7" s="67">
        <v>0</v>
      </c>
      <c r="G7" s="88">
        <v>161142</v>
      </c>
      <c r="H7" s="66" t="s">
        <v>2859</v>
      </c>
      <c r="I7" s="64" t="s">
        <v>1949</v>
      </c>
      <c r="J7" s="64" t="s">
        <v>1651</v>
      </c>
    </row>
    <row r="8" spans="1:10" ht="12.75" customHeight="1" x14ac:dyDescent="0.15">
      <c r="A8" s="66" t="s">
        <v>810</v>
      </c>
      <c r="B8" s="66" t="s">
        <v>2859</v>
      </c>
      <c r="C8" s="66" t="s">
        <v>2814</v>
      </c>
      <c r="D8" s="88">
        <v>1552</v>
      </c>
      <c r="E8" s="89">
        <v>0</v>
      </c>
      <c r="F8" s="67">
        <v>0</v>
      </c>
      <c r="G8" s="88">
        <v>1552</v>
      </c>
      <c r="H8" s="66" t="s">
        <v>2859</v>
      </c>
      <c r="I8" s="64" t="s">
        <v>2859</v>
      </c>
      <c r="J8" s="64" t="s">
        <v>2444</v>
      </c>
    </row>
    <row r="9" spans="1:10" ht="12.75" customHeight="1" x14ac:dyDescent="0.15">
      <c r="A9" s="66" t="s">
        <v>452</v>
      </c>
      <c r="B9" s="66" t="s">
        <v>2859</v>
      </c>
      <c r="C9" s="66" t="s">
        <v>2814</v>
      </c>
      <c r="D9" s="88">
        <v>1352</v>
      </c>
      <c r="E9" s="89">
        <v>0</v>
      </c>
      <c r="F9" s="67">
        <v>0</v>
      </c>
      <c r="G9" s="88">
        <v>1352</v>
      </c>
      <c r="H9" s="66" t="s">
        <v>2859</v>
      </c>
      <c r="I9" s="64" t="s">
        <v>2859</v>
      </c>
      <c r="J9" s="64" t="s">
        <v>540</v>
      </c>
    </row>
  </sheetData>
  <phoneticPr fontId="5" type="noConversion"/>
  <pageMargins left="0.31496062992125984" right="0.31496062992125984" top="1" bottom="0.59055118110236215" header="0.5" footer="0.5"/>
  <pageSetup paperSize="9" orientation="portrait" r:id="rId1"/>
  <headerFooter alignWithMargins="0">
    <oddHeader>&amp;RPage : &amp;P/&amp;N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1EA4-21B9-4150-8E40-12B79FDE645B}">
  <sheetPr>
    <tabColor rgb="FFFF0000"/>
  </sheetPr>
  <dimension ref="A1:H4"/>
  <sheetViews>
    <sheetView workbookViewId="0">
      <selection activeCell="F8" sqref="F8"/>
    </sheetView>
  </sheetViews>
  <sheetFormatPr defaultRowHeight="12.75" customHeight="1" x14ac:dyDescent="0.15"/>
  <cols>
    <col min="1" max="1" width="28.5" style="64" customWidth="1"/>
    <col min="2" max="2" width="22.83203125" style="64" customWidth="1"/>
    <col min="3" max="3" width="5.6640625" style="64" customWidth="1"/>
    <col min="4" max="4" width="13.6640625" style="64" customWidth="1"/>
    <col min="5" max="5" width="5.6640625" style="64" customWidth="1"/>
    <col min="6" max="8" width="0" style="64" hidden="1" customWidth="1"/>
    <col min="9" max="256" width="9.1640625" style="64"/>
    <col min="257" max="257" width="28.5" style="64" customWidth="1"/>
    <col min="258" max="258" width="22.83203125" style="64" customWidth="1"/>
    <col min="259" max="259" width="5.6640625" style="64" customWidth="1"/>
    <col min="260" max="260" width="13.6640625" style="64" customWidth="1"/>
    <col min="261" max="261" width="5.6640625" style="64" customWidth="1"/>
    <col min="262" max="264" width="0" style="64" hidden="1" customWidth="1"/>
    <col min="265" max="512" width="9.1640625" style="64"/>
    <col min="513" max="513" width="28.5" style="64" customWidth="1"/>
    <col min="514" max="514" width="22.83203125" style="64" customWidth="1"/>
    <col min="515" max="515" width="5.6640625" style="64" customWidth="1"/>
    <col min="516" max="516" width="13.6640625" style="64" customWidth="1"/>
    <col min="517" max="517" width="5.6640625" style="64" customWidth="1"/>
    <col min="518" max="520" width="0" style="64" hidden="1" customWidth="1"/>
    <col min="521" max="768" width="9.1640625" style="64"/>
    <col min="769" max="769" width="28.5" style="64" customWidth="1"/>
    <col min="770" max="770" width="22.83203125" style="64" customWidth="1"/>
    <col min="771" max="771" width="5.6640625" style="64" customWidth="1"/>
    <col min="772" max="772" width="13.6640625" style="64" customWidth="1"/>
    <col min="773" max="773" width="5.6640625" style="64" customWidth="1"/>
    <col min="774" max="776" width="0" style="64" hidden="1" customWidth="1"/>
    <col min="777" max="1024" width="9.1640625" style="64"/>
    <col min="1025" max="1025" width="28.5" style="64" customWidth="1"/>
    <col min="1026" max="1026" width="22.83203125" style="64" customWidth="1"/>
    <col min="1027" max="1027" width="5.6640625" style="64" customWidth="1"/>
    <col min="1028" max="1028" width="13.6640625" style="64" customWidth="1"/>
    <col min="1029" max="1029" width="5.6640625" style="64" customWidth="1"/>
    <col min="1030" max="1032" width="0" style="64" hidden="1" customWidth="1"/>
    <col min="1033" max="1280" width="9.1640625" style="64"/>
    <col min="1281" max="1281" width="28.5" style="64" customWidth="1"/>
    <col min="1282" max="1282" width="22.83203125" style="64" customWidth="1"/>
    <col min="1283" max="1283" width="5.6640625" style="64" customWidth="1"/>
    <col min="1284" max="1284" width="13.6640625" style="64" customWidth="1"/>
    <col min="1285" max="1285" width="5.6640625" style="64" customWidth="1"/>
    <col min="1286" max="1288" width="0" style="64" hidden="1" customWidth="1"/>
    <col min="1289" max="1536" width="9.1640625" style="64"/>
    <col min="1537" max="1537" width="28.5" style="64" customWidth="1"/>
    <col min="1538" max="1538" width="22.83203125" style="64" customWidth="1"/>
    <col min="1539" max="1539" width="5.6640625" style="64" customWidth="1"/>
    <col min="1540" max="1540" width="13.6640625" style="64" customWidth="1"/>
    <col min="1541" max="1541" width="5.6640625" style="64" customWidth="1"/>
    <col min="1542" max="1544" width="0" style="64" hidden="1" customWidth="1"/>
    <col min="1545" max="1792" width="9.1640625" style="64"/>
    <col min="1793" max="1793" width="28.5" style="64" customWidth="1"/>
    <col min="1794" max="1794" width="22.83203125" style="64" customWidth="1"/>
    <col min="1795" max="1795" width="5.6640625" style="64" customWidth="1"/>
    <col min="1796" max="1796" width="13.6640625" style="64" customWidth="1"/>
    <col min="1797" max="1797" width="5.6640625" style="64" customWidth="1"/>
    <col min="1798" max="1800" width="0" style="64" hidden="1" customWidth="1"/>
    <col min="1801" max="2048" width="9.1640625" style="64"/>
    <col min="2049" max="2049" width="28.5" style="64" customWidth="1"/>
    <col min="2050" max="2050" width="22.83203125" style="64" customWidth="1"/>
    <col min="2051" max="2051" width="5.6640625" style="64" customWidth="1"/>
    <col min="2052" max="2052" width="13.6640625" style="64" customWidth="1"/>
    <col min="2053" max="2053" width="5.6640625" style="64" customWidth="1"/>
    <col min="2054" max="2056" width="0" style="64" hidden="1" customWidth="1"/>
    <col min="2057" max="2304" width="9.1640625" style="64"/>
    <col min="2305" max="2305" width="28.5" style="64" customWidth="1"/>
    <col min="2306" max="2306" width="22.83203125" style="64" customWidth="1"/>
    <col min="2307" max="2307" width="5.6640625" style="64" customWidth="1"/>
    <col min="2308" max="2308" width="13.6640625" style="64" customWidth="1"/>
    <col min="2309" max="2309" width="5.6640625" style="64" customWidth="1"/>
    <col min="2310" max="2312" width="0" style="64" hidden="1" customWidth="1"/>
    <col min="2313" max="2560" width="9.1640625" style="64"/>
    <col min="2561" max="2561" width="28.5" style="64" customWidth="1"/>
    <col min="2562" max="2562" width="22.83203125" style="64" customWidth="1"/>
    <col min="2563" max="2563" width="5.6640625" style="64" customWidth="1"/>
    <col min="2564" max="2564" width="13.6640625" style="64" customWidth="1"/>
    <col min="2565" max="2565" width="5.6640625" style="64" customWidth="1"/>
    <col min="2566" max="2568" width="0" style="64" hidden="1" customWidth="1"/>
    <col min="2569" max="2816" width="9.1640625" style="64"/>
    <col min="2817" max="2817" width="28.5" style="64" customWidth="1"/>
    <col min="2818" max="2818" width="22.83203125" style="64" customWidth="1"/>
    <col min="2819" max="2819" width="5.6640625" style="64" customWidth="1"/>
    <col min="2820" max="2820" width="13.6640625" style="64" customWidth="1"/>
    <col min="2821" max="2821" width="5.6640625" style="64" customWidth="1"/>
    <col min="2822" max="2824" width="0" style="64" hidden="1" customWidth="1"/>
    <col min="2825" max="3072" width="9.1640625" style="64"/>
    <col min="3073" max="3073" width="28.5" style="64" customWidth="1"/>
    <col min="3074" max="3074" width="22.83203125" style="64" customWidth="1"/>
    <col min="3075" max="3075" width="5.6640625" style="64" customWidth="1"/>
    <col min="3076" max="3076" width="13.6640625" style="64" customWidth="1"/>
    <col min="3077" max="3077" width="5.6640625" style="64" customWidth="1"/>
    <col min="3078" max="3080" width="0" style="64" hidden="1" customWidth="1"/>
    <col min="3081" max="3328" width="9.1640625" style="64"/>
    <col min="3329" max="3329" width="28.5" style="64" customWidth="1"/>
    <col min="3330" max="3330" width="22.83203125" style="64" customWidth="1"/>
    <col min="3331" max="3331" width="5.6640625" style="64" customWidth="1"/>
    <col min="3332" max="3332" width="13.6640625" style="64" customWidth="1"/>
    <col min="3333" max="3333" width="5.6640625" style="64" customWidth="1"/>
    <col min="3334" max="3336" width="0" style="64" hidden="1" customWidth="1"/>
    <col min="3337" max="3584" width="9.1640625" style="64"/>
    <col min="3585" max="3585" width="28.5" style="64" customWidth="1"/>
    <col min="3586" max="3586" width="22.83203125" style="64" customWidth="1"/>
    <col min="3587" max="3587" width="5.6640625" style="64" customWidth="1"/>
    <col min="3588" max="3588" width="13.6640625" style="64" customWidth="1"/>
    <col min="3589" max="3589" width="5.6640625" style="64" customWidth="1"/>
    <col min="3590" max="3592" width="0" style="64" hidden="1" customWidth="1"/>
    <col min="3593" max="3840" width="9.1640625" style="64"/>
    <col min="3841" max="3841" width="28.5" style="64" customWidth="1"/>
    <col min="3842" max="3842" width="22.83203125" style="64" customWidth="1"/>
    <col min="3843" max="3843" width="5.6640625" style="64" customWidth="1"/>
    <col min="3844" max="3844" width="13.6640625" style="64" customWidth="1"/>
    <col min="3845" max="3845" width="5.6640625" style="64" customWidth="1"/>
    <col min="3846" max="3848" width="0" style="64" hidden="1" customWidth="1"/>
    <col min="3849" max="4096" width="9.1640625" style="64"/>
    <col min="4097" max="4097" width="28.5" style="64" customWidth="1"/>
    <col min="4098" max="4098" width="22.83203125" style="64" customWidth="1"/>
    <col min="4099" max="4099" width="5.6640625" style="64" customWidth="1"/>
    <col min="4100" max="4100" width="13.6640625" style="64" customWidth="1"/>
    <col min="4101" max="4101" width="5.6640625" style="64" customWidth="1"/>
    <col min="4102" max="4104" width="0" style="64" hidden="1" customWidth="1"/>
    <col min="4105" max="4352" width="9.1640625" style="64"/>
    <col min="4353" max="4353" width="28.5" style="64" customWidth="1"/>
    <col min="4354" max="4354" width="22.83203125" style="64" customWidth="1"/>
    <col min="4355" max="4355" width="5.6640625" style="64" customWidth="1"/>
    <col min="4356" max="4356" width="13.6640625" style="64" customWidth="1"/>
    <col min="4357" max="4357" width="5.6640625" style="64" customWidth="1"/>
    <col min="4358" max="4360" width="0" style="64" hidden="1" customWidth="1"/>
    <col min="4361" max="4608" width="9.1640625" style="64"/>
    <col min="4609" max="4609" width="28.5" style="64" customWidth="1"/>
    <col min="4610" max="4610" width="22.83203125" style="64" customWidth="1"/>
    <col min="4611" max="4611" width="5.6640625" style="64" customWidth="1"/>
    <col min="4612" max="4612" width="13.6640625" style="64" customWidth="1"/>
    <col min="4613" max="4613" width="5.6640625" style="64" customWidth="1"/>
    <col min="4614" max="4616" width="0" style="64" hidden="1" customWidth="1"/>
    <col min="4617" max="4864" width="9.1640625" style="64"/>
    <col min="4865" max="4865" width="28.5" style="64" customWidth="1"/>
    <col min="4866" max="4866" width="22.83203125" style="64" customWidth="1"/>
    <col min="4867" max="4867" width="5.6640625" style="64" customWidth="1"/>
    <col min="4868" max="4868" width="13.6640625" style="64" customWidth="1"/>
    <col min="4869" max="4869" width="5.6640625" style="64" customWidth="1"/>
    <col min="4870" max="4872" width="0" style="64" hidden="1" customWidth="1"/>
    <col min="4873" max="5120" width="9.1640625" style="64"/>
    <col min="5121" max="5121" width="28.5" style="64" customWidth="1"/>
    <col min="5122" max="5122" width="22.83203125" style="64" customWidth="1"/>
    <col min="5123" max="5123" width="5.6640625" style="64" customWidth="1"/>
    <col min="5124" max="5124" width="13.6640625" style="64" customWidth="1"/>
    <col min="5125" max="5125" width="5.6640625" style="64" customWidth="1"/>
    <col min="5126" max="5128" width="0" style="64" hidden="1" customWidth="1"/>
    <col min="5129" max="5376" width="9.1640625" style="64"/>
    <col min="5377" max="5377" width="28.5" style="64" customWidth="1"/>
    <col min="5378" max="5378" width="22.83203125" style="64" customWidth="1"/>
    <col min="5379" max="5379" width="5.6640625" style="64" customWidth="1"/>
    <col min="5380" max="5380" width="13.6640625" style="64" customWidth="1"/>
    <col min="5381" max="5381" width="5.6640625" style="64" customWidth="1"/>
    <col min="5382" max="5384" width="0" style="64" hidden="1" customWidth="1"/>
    <col min="5385" max="5632" width="9.1640625" style="64"/>
    <col min="5633" max="5633" width="28.5" style="64" customWidth="1"/>
    <col min="5634" max="5634" width="22.83203125" style="64" customWidth="1"/>
    <col min="5635" max="5635" width="5.6640625" style="64" customWidth="1"/>
    <col min="5636" max="5636" width="13.6640625" style="64" customWidth="1"/>
    <col min="5637" max="5637" width="5.6640625" style="64" customWidth="1"/>
    <col min="5638" max="5640" width="0" style="64" hidden="1" customWidth="1"/>
    <col min="5641" max="5888" width="9.1640625" style="64"/>
    <col min="5889" max="5889" width="28.5" style="64" customWidth="1"/>
    <col min="5890" max="5890" width="22.83203125" style="64" customWidth="1"/>
    <col min="5891" max="5891" width="5.6640625" style="64" customWidth="1"/>
    <col min="5892" max="5892" width="13.6640625" style="64" customWidth="1"/>
    <col min="5893" max="5893" width="5.6640625" style="64" customWidth="1"/>
    <col min="5894" max="5896" width="0" style="64" hidden="1" customWidth="1"/>
    <col min="5897" max="6144" width="9.1640625" style="64"/>
    <col min="6145" max="6145" width="28.5" style="64" customWidth="1"/>
    <col min="6146" max="6146" width="22.83203125" style="64" customWidth="1"/>
    <col min="6147" max="6147" width="5.6640625" style="64" customWidth="1"/>
    <col min="6148" max="6148" width="13.6640625" style="64" customWidth="1"/>
    <col min="6149" max="6149" width="5.6640625" style="64" customWidth="1"/>
    <col min="6150" max="6152" width="0" style="64" hidden="1" customWidth="1"/>
    <col min="6153" max="6400" width="9.1640625" style="64"/>
    <col min="6401" max="6401" width="28.5" style="64" customWidth="1"/>
    <col min="6402" max="6402" width="22.83203125" style="64" customWidth="1"/>
    <col min="6403" max="6403" width="5.6640625" style="64" customWidth="1"/>
    <col min="6404" max="6404" width="13.6640625" style="64" customWidth="1"/>
    <col min="6405" max="6405" width="5.6640625" style="64" customWidth="1"/>
    <col min="6406" max="6408" width="0" style="64" hidden="1" customWidth="1"/>
    <col min="6409" max="6656" width="9.1640625" style="64"/>
    <col min="6657" max="6657" width="28.5" style="64" customWidth="1"/>
    <col min="6658" max="6658" width="22.83203125" style="64" customWidth="1"/>
    <col min="6659" max="6659" width="5.6640625" style="64" customWidth="1"/>
    <col min="6660" max="6660" width="13.6640625" style="64" customWidth="1"/>
    <col min="6661" max="6661" width="5.6640625" style="64" customWidth="1"/>
    <col min="6662" max="6664" width="0" style="64" hidden="1" customWidth="1"/>
    <col min="6665" max="6912" width="9.1640625" style="64"/>
    <col min="6913" max="6913" width="28.5" style="64" customWidth="1"/>
    <col min="6914" max="6914" width="22.83203125" style="64" customWidth="1"/>
    <col min="6915" max="6915" width="5.6640625" style="64" customWidth="1"/>
    <col min="6916" max="6916" width="13.6640625" style="64" customWidth="1"/>
    <col min="6917" max="6917" width="5.6640625" style="64" customWidth="1"/>
    <col min="6918" max="6920" width="0" style="64" hidden="1" customWidth="1"/>
    <col min="6921" max="7168" width="9.1640625" style="64"/>
    <col min="7169" max="7169" width="28.5" style="64" customWidth="1"/>
    <col min="7170" max="7170" width="22.83203125" style="64" customWidth="1"/>
    <col min="7171" max="7171" width="5.6640625" style="64" customWidth="1"/>
    <col min="7172" max="7172" width="13.6640625" style="64" customWidth="1"/>
    <col min="7173" max="7173" width="5.6640625" style="64" customWidth="1"/>
    <col min="7174" max="7176" width="0" style="64" hidden="1" customWidth="1"/>
    <col min="7177" max="7424" width="9.1640625" style="64"/>
    <col min="7425" max="7425" width="28.5" style="64" customWidth="1"/>
    <col min="7426" max="7426" width="22.83203125" style="64" customWidth="1"/>
    <col min="7427" max="7427" width="5.6640625" style="64" customWidth="1"/>
    <col min="7428" max="7428" width="13.6640625" style="64" customWidth="1"/>
    <col min="7429" max="7429" width="5.6640625" style="64" customWidth="1"/>
    <col min="7430" max="7432" width="0" style="64" hidden="1" customWidth="1"/>
    <col min="7433" max="7680" width="9.1640625" style="64"/>
    <col min="7681" max="7681" width="28.5" style="64" customWidth="1"/>
    <col min="7682" max="7682" width="22.83203125" style="64" customWidth="1"/>
    <col min="7683" max="7683" width="5.6640625" style="64" customWidth="1"/>
    <col min="7684" max="7684" width="13.6640625" style="64" customWidth="1"/>
    <col min="7685" max="7685" width="5.6640625" style="64" customWidth="1"/>
    <col min="7686" max="7688" width="0" style="64" hidden="1" customWidth="1"/>
    <col min="7689" max="7936" width="9.1640625" style="64"/>
    <col min="7937" max="7937" width="28.5" style="64" customWidth="1"/>
    <col min="7938" max="7938" width="22.83203125" style="64" customWidth="1"/>
    <col min="7939" max="7939" width="5.6640625" style="64" customWidth="1"/>
    <col min="7940" max="7940" width="13.6640625" style="64" customWidth="1"/>
    <col min="7941" max="7941" width="5.6640625" style="64" customWidth="1"/>
    <col min="7942" max="7944" width="0" style="64" hidden="1" customWidth="1"/>
    <col min="7945" max="8192" width="9.1640625" style="64"/>
    <col min="8193" max="8193" width="28.5" style="64" customWidth="1"/>
    <col min="8194" max="8194" width="22.83203125" style="64" customWidth="1"/>
    <col min="8195" max="8195" width="5.6640625" style="64" customWidth="1"/>
    <col min="8196" max="8196" width="13.6640625" style="64" customWidth="1"/>
    <col min="8197" max="8197" width="5.6640625" style="64" customWidth="1"/>
    <col min="8198" max="8200" width="0" style="64" hidden="1" customWidth="1"/>
    <col min="8201" max="8448" width="9.1640625" style="64"/>
    <col min="8449" max="8449" width="28.5" style="64" customWidth="1"/>
    <col min="8450" max="8450" width="22.83203125" style="64" customWidth="1"/>
    <col min="8451" max="8451" width="5.6640625" style="64" customWidth="1"/>
    <col min="8452" max="8452" width="13.6640625" style="64" customWidth="1"/>
    <col min="8453" max="8453" width="5.6640625" style="64" customWidth="1"/>
    <col min="8454" max="8456" width="0" style="64" hidden="1" customWidth="1"/>
    <col min="8457" max="8704" width="9.1640625" style="64"/>
    <col min="8705" max="8705" width="28.5" style="64" customWidth="1"/>
    <col min="8706" max="8706" width="22.83203125" style="64" customWidth="1"/>
    <col min="8707" max="8707" width="5.6640625" style="64" customWidth="1"/>
    <col min="8708" max="8708" width="13.6640625" style="64" customWidth="1"/>
    <col min="8709" max="8709" width="5.6640625" style="64" customWidth="1"/>
    <col min="8710" max="8712" width="0" style="64" hidden="1" customWidth="1"/>
    <col min="8713" max="8960" width="9.1640625" style="64"/>
    <col min="8961" max="8961" width="28.5" style="64" customWidth="1"/>
    <col min="8962" max="8962" width="22.83203125" style="64" customWidth="1"/>
    <col min="8963" max="8963" width="5.6640625" style="64" customWidth="1"/>
    <col min="8964" max="8964" width="13.6640625" style="64" customWidth="1"/>
    <col min="8965" max="8965" width="5.6640625" style="64" customWidth="1"/>
    <col min="8966" max="8968" width="0" style="64" hidden="1" customWidth="1"/>
    <col min="8969" max="9216" width="9.1640625" style="64"/>
    <col min="9217" max="9217" width="28.5" style="64" customWidth="1"/>
    <col min="9218" max="9218" width="22.83203125" style="64" customWidth="1"/>
    <col min="9219" max="9219" width="5.6640625" style="64" customWidth="1"/>
    <col min="9220" max="9220" width="13.6640625" style="64" customWidth="1"/>
    <col min="9221" max="9221" width="5.6640625" style="64" customWidth="1"/>
    <col min="9222" max="9224" width="0" style="64" hidden="1" customWidth="1"/>
    <col min="9225" max="9472" width="9.1640625" style="64"/>
    <col min="9473" max="9473" width="28.5" style="64" customWidth="1"/>
    <col min="9474" max="9474" width="22.83203125" style="64" customWidth="1"/>
    <col min="9475" max="9475" width="5.6640625" style="64" customWidth="1"/>
    <col min="9476" max="9476" width="13.6640625" style="64" customWidth="1"/>
    <col min="9477" max="9477" width="5.6640625" style="64" customWidth="1"/>
    <col min="9478" max="9480" width="0" style="64" hidden="1" customWidth="1"/>
    <col min="9481" max="9728" width="9.1640625" style="64"/>
    <col min="9729" max="9729" width="28.5" style="64" customWidth="1"/>
    <col min="9730" max="9730" width="22.83203125" style="64" customWidth="1"/>
    <col min="9731" max="9731" width="5.6640625" style="64" customWidth="1"/>
    <col min="9732" max="9732" width="13.6640625" style="64" customWidth="1"/>
    <col min="9733" max="9733" width="5.6640625" style="64" customWidth="1"/>
    <col min="9734" max="9736" width="0" style="64" hidden="1" customWidth="1"/>
    <col min="9737" max="9984" width="9.1640625" style="64"/>
    <col min="9985" max="9985" width="28.5" style="64" customWidth="1"/>
    <col min="9986" max="9986" width="22.83203125" style="64" customWidth="1"/>
    <col min="9987" max="9987" width="5.6640625" style="64" customWidth="1"/>
    <col min="9988" max="9988" width="13.6640625" style="64" customWidth="1"/>
    <col min="9989" max="9989" width="5.6640625" style="64" customWidth="1"/>
    <col min="9990" max="9992" width="0" style="64" hidden="1" customWidth="1"/>
    <col min="9993" max="10240" width="9.1640625" style="64"/>
    <col min="10241" max="10241" width="28.5" style="64" customWidth="1"/>
    <col min="10242" max="10242" width="22.83203125" style="64" customWidth="1"/>
    <col min="10243" max="10243" width="5.6640625" style="64" customWidth="1"/>
    <col min="10244" max="10244" width="13.6640625" style="64" customWidth="1"/>
    <col min="10245" max="10245" width="5.6640625" style="64" customWidth="1"/>
    <col min="10246" max="10248" width="0" style="64" hidden="1" customWidth="1"/>
    <col min="10249" max="10496" width="9.1640625" style="64"/>
    <col min="10497" max="10497" width="28.5" style="64" customWidth="1"/>
    <col min="10498" max="10498" width="22.83203125" style="64" customWidth="1"/>
    <col min="10499" max="10499" width="5.6640625" style="64" customWidth="1"/>
    <col min="10500" max="10500" width="13.6640625" style="64" customWidth="1"/>
    <col min="10501" max="10501" width="5.6640625" style="64" customWidth="1"/>
    <col min="10502" max="10504" width="0" style="64" hidden="1" customWidth="1"/>
    <col min="10505" max="10752" width="9.1640625" style="64"/>
    <col min="10753" max="10753" width="28.5" style="64" customWidth="1"/>
    <col min="10754" max="10754" width="22.83203125" style="64" customWidth="1"/>
    <col min="10755" max="10755" width="5.6640625" style="64" customWidth="1"/>
    <col min="10756" max="10756" width="13.6640625" style="64" customWidth="1"/>
    <col min="10757" max="10757" width="5.6640625" style="64" customWidth="1"/>
    <col min="10758" max="10760" width="0" style="64" hidden="1" customWidth="1"/>
    <col min="10761" max="11008" width="9.1640625" style="64"/>
    <col min="11009" max="11009" width="28.5" style="64" customWidth="1"/>
    <col min="11010" max="11010" width="22.83203125" style="64" customWidth="1"/>
    <col min="11011" max="11011" width="5.6640625" style="64" customWidth="1"/>
    <col min="11012" max="11012" width="13.6640625" style="64" customWidth="1"/>
    <col min="11013" max="11013" width="5.6640625" style="64" customWidth="1"/>
    <col min="11014" max="11016" width="0" style="64" hidden="1" customWidth="1"/>
    <col min="11017" max="11264" width="9.1640625" style="64"/>
    <col min="11265" max="11265" width="28.5" style="64" customWidth="1"/>
    <col min="11266" max="11266" width="22.83203125" style="64" customWidth="1"/>
    <col min="11267" max="11267" width="5.6640625" style="64" customWidth="1"/>
    <col min="11268" max="11268" width="13.6640625" style="64" customWidth="1"/>
    <col min="11269" max="11269" width="5.6640625" style="64" customWidth="1"/>
    <col min="11270" max="11272" width="0" style="64" hidden="1" customWidth="1"/>
    <col min="11273" max="11520" width="9.1640625" style="64"/>
    <col min="11521" max="11521" width="28.5" style="64" customWidth="1"/>
    <col min="11522" max="11522" width="22.83203125" style="64" customWidth="1"/>
    <col min="11523" max="11523" width="5.6640625" style="64" customWidth="1"/>
    <col min="11524" max="11524" width="13.6640625" style="64" customWidth="1"/>
    <col min="11525" max="11525" width="5.6640625" style="64" customWidth="1"/>
    <col min="11526" max="11528" width="0" style="64" hidden="1" customWidth="1"/>
    <col min="11529" max="11776" width="9.1640625" style="64"/>
    <col min="11777" max="11777" width="28.5" style="64" customWidth="1"/>
    <col min="11778" max="11778" width="22.83203125" style="64" customWidth="1"/>
    <col min="11779" max="11779" width="5.6640625" style="64" customWidth="1"/>
    <col min="11780" max="11780" width="13.6640625" style="64" customWidth="1"/>
    <col min="11781" max="11781" width="5.6640625" style="64" customWidth="1"/>
    <col min="11782" max="11784" width="0" style="64" hidden="1" customWidth="1"/>
    <col min="11785" max="12032" width="9.1640625" style="64"/>
    <col min="12033" max="12033" width="28.5" style="64" customWidth="1"/>
    <col min="12034" max="12034" width="22.83203125" style="64" customWidth="1"/>
    <col min="12035" max="12035" width="5.6640625" style="64" customWidth="1"/>
    <col min="12036" max="12036" width="13.6640625" style="64" customWidth="1"/>
    <col min="12037" max="12037" width="5.6640625" style="64" customWidth="1"/>
    <col min="12038" max="12040" width="0" style="64" hidden="1" customWidth="1"/>
    <col min="12041" max="12288" width="9.1640625" style="64"/>
    <col min="12289" max="12289" width="28.5" style="64" customWidth="1"/>
    <col min="12290" max="12290" width="22.83203125" style="64" customWidth="1"/>
    <col min="12291" max="12291" width="5.6640625" style="64" customWidth="1"/>
    <col min="12292" max="12292" width="13.6640625" style="64" customWidth="1"/>
    <col min="12293" max="12293" width="5.6640625" style="64" customWidth="1"/>
    <col min="12294" max="12296" width="0" style="64" hidden="1" customWidth="1"/>
    <col min="12297" max="12544" width="9.1640625" style="64"/>
    <col min="12545" max="12545" width="28.5" style="64" customWidth="1"/>
    <col min="12546" max="12546" width="22.83203125" style="64" customWidth="1"/>
    <col min="12547" max="12547" width="5.6640625" style="64" customWidth="1"/>
    <col min="12548" max="12548" width="13.6640625" style="64" customWidth="1"/>
    <col min="12549" max="12549" width="5.6640625" style="64" customWidth="1"/>
    <col min="12550" max="12552" width="0" style="64" hidden="1" customWidth="1"/>
    <col min="12553" max="12800" width="9.1640625" style="64"/>
    <col min="12801" max="12801" width="28.5" style="64" customWidth="1"/>
    <col min="12802" max="12802" width="22.83203125" style="64" customWidth="1"/>
    <col min="12803" max="12803" width="5.6640625" style="64" customWidth="1"/>
    <col min="12804" max="12804" width="13.6640625" style="64" customWidth="1"/>
    <col min="12805" max="12805" width="5.6640625" style="64" customWidth="1"/>
    <col min="12806" max="12808" width="0" style="64" hidden="1" customWidth="1"/>
    <col min="12809" max="13056" width="9.1640625" style="64"/>
    <col min="13057" max="13057" width="28.5" style="64" customWidth="1"/>
    <col min="13058" max="13058" width="22.83203125" style="64" customWidth="1"/>
    <col min="13059" max="13059" width="5.6640625" style="64" customWidth="1"/>
    <col min="13060" max="13060" width="13.6640625" style="64" customWidth="1"/>
    <col min="13061" max="13061" width="5.6640625" style="64" customWidth="1"/>
    <col min="13062" max="13064" width="0" style="64" hidden="1" customWidth="1"/>
    <col min="13065" max="13312" width="9.1640625" style="64"/>
    <col min="13313" max="13313" width="28.5" style="64" customWidth="1"/>
    <col min="13314" max="13314" width="22.83203125" style="64" customWidth="1"/>
    <col min="13315" max="13315" width="5.6640625" style="64" customWidth="1"/>
    <col min="13316" max="13316" width="13.6640625" style="64" customWidth="1"/>
    <col min="13317" max="13317" width="5.6640625" style="64" customWidth="1"/>
    <col min="13318" max="13320" width="0" style="64" hidden="1" customWidth="1"/>
    <col min="13321" max="13568" width="9.1640625" style="64"/>
    <col min="13569" max="13569" width="28.5" style="64" customWidth="1"/>
    <col min="13570" max="13570" width="22.83203125" style="64" customWidth="1"/>
    <col min="13571" max="13571" width="5.6640625" style="64" customWidth="1"/>
    <col min="13572" max="13572" width="13.6640625" style="64" customWidth="1"/>
    <col min="13573" max="13573" width="5.6640625" style="64" customWidth="1"/>
    <col min="13574" max="13576" width="0" style="64" hidden="1" customWidth="1"/>
    <col min="13577" max="13824" width="9.1640625" style="64"/>
    <col min="13825" max="13825" width="28.5" style="64" customWidth="1"/>
    <col min="13826" max="13826" width="22.83203125" style="64" customWidth="1"/>
    <col min="13827" max="13827" width="5.6640625" style="64" customWidth="1"/>
    <col min="13828" max="13828" width="13.6640625" style="64" customWidth="1"/>
    <col min="13829" max="13829" width="5.6640625" style="64" customWidth="1"/>
    <col min="13830" max="13832" width="0" style="64" hidden="1" customWidth="1"/>
    <col min="13833" max="14080" width="9.1640625" style="64"/>
    <col min="14081" max="14081" width="28.5" style="64" customWidth="1"/>
    <col min="14082" max="14082" width="22.83203125" style="64" customWidth="1"/>
    <col min="14083" max="14083" width="5.6640625" style="64" customWidth="1"/>
    <col min="14084" max="14084" width="13.6640625" style="64" customWidth="1"/>
    <col min="14085" max="14085" width="5.6640625" style="64" customWidth="1"/>
    <col min="14086" max="14088" width="0" style="64" hidden="1" customWidth="1"/>
    <col min="14089" max="14336" width="9.1640625" style="64"/>
    <col min="14337" max="14337" width="28.5" style="64" customWidth="1"/>
    <col min="14338" max="14338" width="22.83203125" style="64" customWidth="1"/>
    <col min="14339" max="14339" width="5.6640625" style="64" customWidth="1"/>
    <col min="14340" max="14340" width="13.6640625" style="64" customWidth="1"/>
    <col min="14341" max="14341" width="5.6640625" style="64" customWidth="1"/>
    <col min="14342" max="14344" width="0" style="64" hidden="1" customWidth="1"/>
    <col min="14345" max="14592" width="9.1640625" style="64"/>
    <col min="14593" max="14593" width="28.5" style="64" customWidth="1"/>
    <col min="14594" max="14594" width="22.83203125" style="64" customWidth="1"/>
    <col min="14595" max="14595" width="5.6640625" style="64" customWidth="1"/>
    <col min="14596" max="14596" width="13.6640625" style="64" customWidth="1"/>
    <col min="14597" max="14597" width="5.6640625" style="64" customWidth="1"/>
    <col min="14598" max="14600" width="0" style="64" hidden="1" customWidth="1"/>
    <col min="14601" max="14848" width="9.1640625" style="64"/>
    <col min="14849" max="14849" width="28.5" style="64" customWidth="1"/>
    <col min="14850" max="14850" width="22.83203125" style="64" customWidth="1"/>
    <col min="14851" max="14851" width="5.6640625" style="64" customWidth="1"/>
    <col min="14852" max="14852" width="13.6640625" style="64" customWidth="1"/>
    <col min="14853" max="14853" width="5.6640625" style="64" customWidth="1"/>
    <col min="14854" max="14856" width="0" style="64" hidden="1" customWidth="1"/>
    <col min="14857" max="15104" width="9.1640625" style="64"/>
    <col min="15105" max="15105" width="28.5" style="64" customWidth="1"/>
    <col min="15106" max="15106" width="22.83203125" style="64" customWidth="1"/>
    <col min="15107" max="15107" width="5.6640625" style="64" customWidth="1"/>
    <col min="15108" max="15108" width="13.6640625" style="64" customWidth="1"/>
    <col min="15109" max="15109" width="5.6640625" style="64" customWidth="1"/>
    <col min="15110" max="15112" width="0" style="64" hidden="1" customWidth="1"/>
    <col min="15113" max="15360" width="9.1640625" style="64"/>
    <col min="15361" max="15361" width="28.5" style="64" customWidth="1"/>
    <col min="15362" max="15362" width="22.83203125" style="64" customWidth="1"/>
    <col min="15363" max="15363" width="5.6640625" style="64" customWidth="1"/>
    <col min="15364" max="15364" width="13.6640625" style="64" customWidth="1"/>
    <col min="15365" max="15365" width="5.6640625" style="64" customWidth="1"/>
    <col min="15366" max="15368" width="0" style="64" hidden="1" customWidth="1"/>
    <col min="15369" max="15616" width="9.1640625" style="64"/>
    <col min="15617" max="15617" width="28.5" style="64" customWidth="1"/>
    <col min="15618" max="15618" width="22.83203125" style="64" customWidth="1"/>
    <col min="15619" max="15619" width="5.6640625" style="64" customWidth="1"/>
    <col min="15620" max="15620" width="13.6640625" style="64" customWidth="1"/>
    <col min="15621" max="15621" width="5.6640625" style="64" customWidth="1"/>
    <col min="15622" max="15624" width="0" style="64" hidden="1" customWidth="1"/>
    <col min="15625" max="15872" width="9.1640625" style="64"/>
    <col min="15873" max="15873" width="28.5" style="64" customWidth="1"/>
    <col min="15874" max="15874" width="22.83203125" style="64" customWidth="1"/>
    <col min="15875" max="15875" width="5.6640625" style="64" customWidth="1"/>
    <col min="15876" max="15876" width="13.6640625" style="64" customWidth="1"/>
    <col min="15877" max="15877" width="5.6640625" style="64" customWidth="1"/>
    <col min="15878" max="15880" width="0" style="64" hidden="1" customWidth="1"/>
    <col min="15881" max="16128" width="9.1640625" style="64"/>
    <col min="16129" max="16129" width="28.5" style="64" customWidth="1"/>
    <col min="16130" max="16130" width="22.83203125" style="64" customWidth="1"/>
    <col min="16131" max="16131" width="5.6640625" style="64" customWidth="1"/>
    <col min="16132" max="16132" width="13.6640625" style="64" customWidth="1"/>
    <col min="16133" max="16133" width="5.6640625" style="64" customWidth="1"/>
    <col min="16134" max="16136" width="0" style="64" hidden="1" customWidth="1"/>
    <col min="16137" max="16384" width="9.1640625" style="64"/>
  </cols>
  <sheetData>
    <row r="1" spans="1:8" ht="12.75" customHeight="1" x14ac:dyDescent="0.15">
      <c r="A1" s="64" t="s">
        <v>2633</v>
      </c>
    </row>
    <row r="2" spans="1:8" ht="12.75" customHeight="1" x14ac:dyDescent="0.15">
      <c r="A2" s="65" t="s">
        <v>2004</v>
      </c>
      <c r="B2" s="65" t="s">
        <v>1092</v>
      </c>
      <c r="C2" s="65" t="s">
        <v>2682</v>
      </c>
      <c r="D2" s="65" t="s">
        <v>1542</v>
      </c>
      <c r="E2" s="65" t="s">
        <v>716</v>
      </c>
    </row>
    <row r="3" spans="1:8" ht="12.75" customHeight="1" x14ac:dyDescent="0.15">
      <c r="A3" s="66" t="s">
        <v>843</v>
      </c>
      <c r="B3" s="66" t="s">
        <v>2859</v>
      </c>
      <c r="C3" s="66" t="s">
        <v>1688</v>
      </c>
      <c r="D3" s="90">
        <v>229482</v>
      </c>
      <c r="E3" s="66" t="s">
        <v>2859</v>
      </c>
      <c r="F3" s="64" t="s">
        <v>289</v>
      </c>
      <c r="G3" s="64" t="s">
        <v>262</v>
      </c>
      <c r="H3" s="64" t="s">
        <v>262</v>
      </c>
    </row>
    <row r="4" spans="1:8" ht="12.75" customHeight="1" x14ac:dyDescent="0.15">
      <c r="A4" s="66" t="s">
        <v>174</v>
      </c>
      <c r="B4" s="66" t="s">
        <v>2859</v>
      </c>
      <c r="C4" s="66" t="s">
        <v>1688</v>
      </c>
      <c r="D4" s="90">
        <v>165545</v>
      </c>
      <c r="E4" s="66" t="s">
        <v>2859</v>
      </c>
      <c r="F4" s="64" t="s">
        <v>822</v>
      </c>
      <c r="G4" s="64" t="s">
        <v>485</v>
      </c>
      <c r="H4" s="64" t="s">
        <v>485</v>
      </c>
    </row>
  </sheetData>
  <phoneticPr fontId="5" type="noConversion"/>
  <pageMargins left="0.31496062992125984" right="0.31496062992125984" top="1" bottom="0.59055118110236215" header="0.5" footer="0.5"/>
  <pageSetup paperSize="9" orientation="portrait" r:id="rId1"/>
  <headerFooter alignWithMargins="0">
    <oddHeader>&amp;RPage : &amp;P/&amp;N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82C52-A34C-4BFF-AB5E-BA72CD22F60A}">
  <sheetPr>
    <tabColor rgb="FFFF0000"/>
  </sheetPr>
  <dimension ref="A1:H22"/>
  <sheetViews>
    <sheetView workbookViewId="0">
      <selection activeCell="F8" sqref="F8"/>
    </sheetView>
  </sheetViews>
  <sheetFormatPr defaultRowHeight="12.75" customHeight="1" x14ac:dyDescent="0.15"/>
  <cols>
    <col min="1" max="2" width="28.5" style="64" customWidth="1"/>
    <col min="3" max="4" width="22.83203125" style="64" customWidth="1"/>
    <col min="5" max="5" width="11.5" style="64" customWidth="1"/>
    <col min="6" max="13" width="0" style="64" hidden="1" customWidth="1"/>
    <col min="14" max="256" width="9.1640625" style="64"/>
    <col min="257" max="258" width="28.5" style="64" customWidth="1"/>
    <col min="259" max="260" width="22.83203125" style="64" customWidth="1"/>
    <col min="261" max="261" width="11.5" style="64" customWidth="1"/>
    <col min="262" max="269" width="0" style="64" hidden="1" customWidth="1"/>
    <col min="270" max="512" width="9.1640625" style="64"/>
    <col min="513" max="514" width="28.5" style="64" customWidth="1"/>
    <col min="515" max="516" width="22.83203125" style="64" customWidth="1"/>
    <col min="517" max="517" width="11.5" style="64" customWidth="1"/>
    <col min="518" max="525" width="0" style="64" hidden="1" customWidth="1"/>
    <col min="526" max="768" width="9.1640625" style="64"/>
    <col min="769" max="770" width="28.5" style="64" customWidth="1"/>
    <col min="771" max="772" width="22.83203125" style="64" customWidth="1"/>
    <col min="773" max="773" width="11.5" style="64" customWidth="1"/>
    <col min="774" max="781" width="0" style="64" hidden="1" customWidth="1"/>
    <col min="782" max="1024" width="9.1640625" style="64"/>
    <col min="1025" max="1026" width="28.5" style="64" customWidth="1"/>
    <col min="1027" max="1028" width="22.83203125" style="64" customWidth="1"/>
    <col min="1029" max="1029" width="11.5" style="64" customWidth="1"/>
    <col min="1030" max="1037" width="0" style="64" hidden="1" customWidth="1"/>
    <col min="1038" max="1280" width="9.1640625" style="64"/>
    <col min="1281" max="1282" width="28.5" style="64" customWidth="1"/>
    <col min="1283" max="1284" width="22.83203125" style="64" customWidth="1"/>
    <col min="1285" max="1285" width="11.5" style="64" customWidth="1"/>
    <col min="1286" max="1293" width="0" style="64" hidden="1" customWidth="1"/>
    <col min="1294" max="1536" width="9.1640625" style="64"/>
    <col min="1537" max="1538" width="28.5" style="64" customWidth="1"/>
    <col min="1539" max="1540" width="22.83203125" style="64" customWidth="1"/>
    <col min="1541" max="1541" width="11.5" style="64" customWidth="1"/>
    <col min="1542" max="1549" width="0" style="64" hidden="1" customWidth="1"/>
    <col min="1550" max="1792" width="9.1640625" style="64"/>
    <col min="1793" max="1794" width="28.5" style="64" customWidth="1"/>
    <col min="1795" max="1796" width="22.83203125" style="64" customWidth="1"/>
    <col min="1797" max="1797" width="11.5" style="64" customWidth="1"/>
    <col min="1798" max="1805" width="0" style="64" hidden="1" customWidth="1"/>
    <col min="1806" max="2048" width="9.1640625" style="64"/>
    <col min="2049" max="2050" width="28.5" style="64" customWidth="1"/>
    <col min="2051" max="2052" width="22.83203125" style="64" customWidth="1"/>
    <col min="2053" max="2053" width="11.5" style="64" customWidth="1"/>
    <col min="2054" max="2061" width="0" style="64" hidden="1" customWidth="1"/>
    <col min="2062" max="2304" width="9.1640625" style="64"/>
    <col min="2305" max="2306" width="28.5" style="64" customWidth="1"/>
    <col min="2307" max="2308" width="22.83203125" style="64" customWidth="1"/>
    <col min="2309" max="2309" width="11.5" style="64" customWidth="1"/>
    <col min="2310" max="2317" width="0" style="64" hidden="1" customWidth="1"/>
    <col min="2318" max="2560" width="9.1640625" style="64"/>
    <col min="2561" max="2562" width="28.5" style="64" customWidth="1"/>
    <col min="2563" max="2564" width="22.83203125" style="64" customWidth="1"/>
    <col min="2565" max="2565" width="11.5" style="64" customWidth="1"/>
    <col min="2566" max="2573" width="0" style="64" hidden="1" customWidth="1"/>
    <col min="2574" max="2816" width="9.1640625" style="64"/>
    <col min="2817" max="2818" width="28.5" style="64" customWidth="1"/>
    <col min="2819" max="2820" width="22.83203125" style="64" customWidth="1"/>
    <col min="2821" max="2821" width="11.5" style="64" customWidth="1"/>
    <col min="2822" max="2829" width="0" style="64" hidden="1" customWidth="1"/>
    <col min="2830" max="3072" width="9.1640625" style="64"/>
    <col min="3073" max="3074" width="28.5" style="64" customWidth="1"/>
    <col min="3075" max="3076" width="22.83203125" style="64" customWidth="1"/>
    <col min="3077" max="3077" width="11.5" style="64" customWidth="1"/>
    <col min="3078" max="3085" width="0" style="64" hidden="1" customWidth="1"/>
    <col min="3086" max="3328" width="9.1640625" style="64"/>
    <col min="3329" max="3330" width="28.5" style="64" customWidth="1"/>
    <col min="3331" max="3332" width="22.83203125" style="64" customWidth="1"/>
    <col min="3333" max="3333" width="11.5" style="64" customWidth="1"/>
    <col min="3334" max="3341" width="0" style="64" hidden="1" customWidth="1"/>
    <col min="3342" max="3584" width="9.1640625" style="64"/>
    <col min="3585" max="3586" width="28.5" style="64" customWidth="1"/>
    <col min="3587" max="3588" width="22.83203125" style="64" customWidth="1"/>
    <col min="3589" max="3589" width="11.5" style="64" customWidth="1"/>
    <col min="3590" max="3597" width="0" style="64" hidden="1" customWidth="1"/>
    <col min="3598" max="3840" width="9.1640625" style="64"/>
    <col min="3841" max="3842" width="28.5" style="64" customWidth="1"/>
    <col min="3843" max="3844" width="22.83203125" style="64" customWidth="1"/>
    <col min="3845" max="3845" width="11.5" style="64" customWidth="1"/>
    <col min="3846" max="3853" width="0" style="64" hidden="1" customWidth="1"/>
    <col min="3854" max="4096" width="9.1640625" style="64"/>
    <col min="4097" max="4098" width="28.5" style="64" customWidth="1"/>
    <col min="4099" max="4100" width="22.83203125" style="64" customWidth="1"/>
    <col min="4101" max="4101" width="11.5" style="64" customWidth="1"/>
    <col min="4102" max="4109" width="0" style="64" hidden="1" customWidth="1"/>
    <col min="4110" max="4352" width="9.1640625" style="64"/>
    <col min="4353" max="4354" width="28.5" style="64" customWidth="1"/>
    <col min="4355" max="4356" width="22.83203125" style="64" customWidth="1"/>
    <col min="4357" max="4357" width="11.5" style="64" customWidth="1"/>
    <col min="4358" max="4365" width="0" style="64" hidden="1" customWidth="1"/>
    <col min="4366" max="4608" width="9.1640625" style="64"/>
    <col min="4609" max="4610" width="28.5" style="64" customWidth="1"/>
    <col min="4611" max="4612" width="22.83203125" style="64" customWidth="1"/>
    <col min="4613" max="4613" width="11.5" style="64" customWidth="1"/>
    <col min="4614" max="4621" width="0" style="64" hidden="1" customWidth="1"/>
    <col min="4622" max="4864" width="9.1640625" style="64"/>
    <col min="4865" max="4866" width="28.5" style="64" customWidth="1"/>
    <col min="4867" max="4868" width="22.83203125" style="64" customWidth="1"/>
    <col min="4869" max="4869" width="11.5" style="64" customWidth="1"/>
    <col min="4870" max="4877" width="0" style="64" hidden="1" customWidth="1"/>
    <col min="4878" max="5120" width="9.1640625" style="64"/>
    <col min="5121" max="5122" width="28.5" style="64" customWidth="1"/>
    <col min="5123" max="5124" width="22.83203125" style="64" customWidth="1"/>
    <col min="5125" max="5125" width="11.5" style="64" customWidth="1"/>
    <col min="5126" max="5133" width="0" style="64" hidden="1" customWidth="1"/>
    <col min="5134" max="5376" width="9.1640625" style="64"/>
    <col min="5377" max="5378" width="28.5" style="64" customWidth="1"/>
    <col min="5379" max="5380" width="22.83203125" style="64" customWidth="1"/>
    <col min="5381" max="5381" width="11.5" style="64" customWidth="1"/>
    <col min="5382" max="5389" width="0" style="64" hidden="1" customWidth="1"/>
    <col min="5390" max="5632" width="9.1640625" style="64"/>
    <col min="5633" max="5634" width="28.5" style="64" customWidth="1"/>
    <col min="5635" max="5636" width="22.83203125" style="64" customWidth="1"/>
    <col min="5637" max="5637" width="11.5" style="64" customWidth="1"/>
    <col min="5638" max="5645" width="0" style="64" hidden="1" customWidth="1"/>
    <col min="5646" max="5888" width="9.1640625" style="64"/>
    <col min="5889" max="5890" width="28.5" style="64" customWidth="1"/>
    <col min="5891" max="5892" width="22.83203125" style="64" customWidth="1"/>
    <col min="5893" max="5893" width="11.5" style="64" customWidth="1"/>
    <col min="5894" max="5901" width="0" style="64" hidden="1" customWidth="1"/>
    <col min="5902" max="6144" width="9.1640625" style="64"/>
    <col min="6145" max="6146" width="28.5" style="64" customWidth="1"/>
    <col min="6147" max="6148" width="22.83203125" style="64" customWidth="1"/>
    <col min="6149" max="6149" width="11.5" style="64" customWidth="1"/>
    <col min="6150" max="6157" width="0" style="64" hidden="1" customWidth="1"/>
    <col min="6158" max="6400" width="9.1640625" style="64"/>
    <col min="6401" max="6402" width="28.5" style="64" customWidth="1"/>
    <col min="6403" max="6404" width="22.83203125" style="64" customWidth="1"/>
    <col min="6405" max="6405" width="11.5" style="64" customWidth="1"/>
    <col min="6406" max="6413" width="0" style="64" hidden="1" customWidth="1"/>
    <col min="6414" max="6656" width="9.1640625" style="64"/>
    <col min="6657" max="6658" width="28.5" style="64" customWidth="1"/>
    <col min="6659" max="6660" width="22.83203125" style="64" customWidth="1"/>
    <col min="6661" max="6661" width="11.5" style="64" customWidth="1"/>
    <col min="6662" max="6669" width="0" style="64" hidden="1" customWidth="1"/>
    <col min="6670" max="6912" width="9.1640625" style="64"/>
    <col min="6913" max="6914" width="28.5" style="64" customWidth="1"/>
    <col min="6915" max="6916" width="22.83203125" style="64" customWidth="1"/>
    <col min="6917" max="6917" width="11.5" style="64" customWidth="1"/>
    <col min="6918" max="6925" width="0" style="64" hidden="1" customWidth="1"/>
    <col min="6926" max="7168" width="9.1640625" style="64"/>
    <col min="7169" max="7170" width="28.5" style="64" customWidth="1"/>
    <col min="7171" max="7172" width="22.83203125" style="64" customWidth="1"/>
    <col min="7173" max="7173" width="11.5" style="64" customWidth="1"/>
    <col min="7174" max="7181" width="0" style="64" hidden="1" customWidth="1"/>
    <col min="7182" max="7424" width="9.1640625" style="64"/>
    <col min="7425" max="7426" width="28.5" style="64" customWidth="1"/>
    <col min="7427" max="7428" width="22.83203125" style="64" customWidth="1"/>
    <col min="7429" max="7429" width="11.5" style="64" customWidth="1"/>
    <col min="7430" max="7437" width="0" style="64" hidden="1" customWidth="1"/>
    <col min="7438" max="7680" width="9.1640625" style="64"/>
    <col min="7681" max="7682" width="28.5" style="64" customWidth="1"/>
    <col min="7683" max="7684" width="22.83203125" style="64" customWidth="1"/>
    <col min="7685" max="7685" width="11.5" style="64" customWidth="1"/>
    <col min="7686" max="7693" width="0" style="64" hidden="1" customWidth="1"/>
    <col min="7694" max="7936" width="9.1640625" style="64"/>
    <col min="7937" max="7938" width="28.5" style="64" customWidth="1"/>
    <col min="7939" max="7940" width="22.83203125" style="64" customWidth="1"/>
    <col min="7941" max="7941" width="11.5" style="64" customWidth="1"/>
    <col min="7942" max="7949" width="0" style="64" hidden="1" customWidth="1"/>
    <col min="7950" max="8192" width="9.1640625" style="64"/>
    <col min="8193" max="8194" width="28.5" style="64" customWidth="1"/>
    <col min="8195" max="8196" width="22.83203125" style="64" customWidth="1"/>
    <col min="8197" max="8197" width="11.5" style="64" customWidth="1"/>
    <col min="8198" max="8205" width="0" style="64" hidden="1" customWidth="1"/>
    <col min="8206" max="8448" width="9.1640625" style="64"/>
    <col min="8449" max="8450" width="28.5" style="64" customWidth="1"/>
    <col min="8451" max="8452" width="22.83203125" style="64" customWidth="1"/>
    <col min="8453" max="8453" width="11.5" style="64" customWidth="1"/>
    <col min="8454" max="8461" width="0" style="64" hidden="1" customWidth="1"/>
    <col min="8462" max="8704" width="9.1640625" style="64"/>
    <col min="8705" max="8706" width="28.5" style="64" customWidth="1"/>
    <col min="8707" max="8708" width="22.83203125" style="64" customWidth="1"/>
    <col min="8709" max="8709" width="11.5" style="64" customWidth="1"/>
    <col min="8710" max="8717" width="0" style="64" hidden="1" customWidth="1"/>
    <col min="8718" max="8960" width="9.1640625" style="64"/>
    <col min="8961" max="8962" width="28.5" style="64" customWidth="1"/>
    <col min="8963" max="8964" width="22.83203125" style="64" customWidth="1"/>
    <col min="8965" max="8965" width="11.5" style="64" customWidth="1"/>
    <col min="8966" max="8973" width="0" style="64" hidden="1" customWidth="1"/>
    <col min="8974" max="9216" width="9.1640625" style="64"/>
    <col min="9217" max="9218" width="28.5" style="64" customWidth="1"/>
    <col min="9219" max="9220" width="22.83203125" style="64" customWidth="1"/>
    <col min="9221" max="9221" width="11.5" style="64" customWidth="1"/>
    <col min="9222" max="9229" width="0" style="64" hidden="1" customWidth="1"/>
    <col min="9230" max="9472" width="9.1640625" style="64"/>
    <col min="9473" max="9474" width="28.5" style="64" customWidth="1"/>
    <col min="9475" max="9476" width="22.83203125" style="64" customWidth="1"/>
    <col min="9477" max="9477" width="11.5" style="64" customWidth="1"/>
    <col min="9478" max="9485" width="0" style="64" hidden="1" customWidth="1"/>
    <col min="9486" max="9728" width="9.1640625" style="64"/>
    <col min="9729" max="9730" width="28.5" style="64" customWidth="1"/>
    <col min="9731" max="9732" width="22.83203125" style="64" customWidth="1"/>
    <col min="9733" max="9733" width="11.5" style="64" customWidth="1"/>
    <col min="9734" max="9741" width="0" style="64" hidden="1" customWidth="1"/>
    <col min="9742" max="9984" width="9.1640625" style="64"/>
    <col min="9985" max="9986" width="28.5" style="64" customWidth="1"/>
    <col min="9987" max="9988" width="22.83203125" style="64" customWidth="1"/>
    <col min="9989" max="9989" width="11.5" style="64" customWidth="1"/>
    <col min="9990" max="9997" width="0" style="64" hidden="1" customWidth="1"/>
    <col min="9998" max="10240" width="9.1640625" style="64"/>
    <col min="10241" max="10242" width="28.5" style="64" customWidth="1"/>
    <col min="10243" max="10244" width="22.83203125" style="64" customWidth="1"/>
    <col min="10245" max="10245" width="11.5" style="64" customWidth="1"/>
    <col min="10246" max="10253" width="0" style="64" hidden="1" customWidth="1"/>
    <col min="10254" max="10496" width="9.1640625" style="64"/>
    <col min="10497" max="10498" width="28.5" style="64" customWidth="1"/>
    <col min="10499" max="10500" width="22.83203125" style="64" customWidth="1"/>
    <col min="10501" max="10501" width="11.5" style="64" customWidth="1"/>
    <col min="10502" max="10509" width="0" style="64" hidden="1" customWidth="1"/>
    <col min="10510" max="10752" width="9.1640625" style="64"/>
    <col min="10753" max="10754" width="28.5" style="64" customWidth="1"/>
    <col min="10755" max="10756" width="22.83203125" style="64" customWidth="1"/>
    <col min="10757" max="10757" width="11.5" style="64" customWidth="1"/>
    <col min="10758" max="10765" width="0" style="64" hidden="1" customWidth="1"/>
    <col min="10766" max="11008" width="9.1640625" style="64"/>
    <col min="11009" max="11010" width="28.5" style="64" customWidth="1"/>
    <col min="11011" max="11012" width="22.83203125" style="64" customWidth="1"/>
    <col min="11013" max="11013" width="11.5" style="64" customWidth="1"/>
    <col min="11014" max="11021" width="0" style="64" hidden="1" customWidth="1"/>
    <col min="11022" max="11264" width="9.1640625" style="64"/>
    <col min="11265" max="11266" width="28.5" style="64" customWidth="1"/>
    <col min="11267" max="11268" width="22.83203125" style="64" customWidth="1"/>
    <col min="11269" max="11269" width="11.5" style="64" customWidth="1"/>
    <col min="11270" max="11277" width="0" style="64" hidden="1" customWidth="1"/>
    <col min="11278" max="11520" width="9.1640625" style="64"/>
    <col min="11521" max="11522" width="28.5" style="64" customWidth="1"/>
    <col min="11523" max="11524" width="22.83203125" style="64" customWidth="1"/>
    <col min="11525" max="11525" width="11.5" style="64" customWidth="1"/>
    <col min="11526" max="11533" width="0" style="64" hidden="1" customWidth="1"/>
    <col min="11534" max="11776" width="9.1640625" style="64"/>
    <col min="11777" max="11778" width="28.5" style="64" customWidth="1"/>
    <col min="11779" max="11780" width="22.83203125" style="64" customWidth="1"/>
    <col min="11781" max="11781" width="11.5" style="64" customWidth="1"/>
    <col min="11782" max="11789" width="0" style="64" hidden="1" customWidth="1"/>
    <col min="11790" max="12032" width="9.1640625" style="64"/>
    <col min="12033" max="12034" width="28.5" style="64" customWidth="1"/>
    <col min="12035" max="12036" width="22.83203125" style="64" customWidth="1"/>
    <col min="12037" max="12037" width="11.5" style="64" customWidth="1"/>
    <col min="12038" max="12045" width="0" style="64" hidden="1" customWidth="1"/>
    <col min="12046" max="12288" width="9.1640625" style="64"/>
    <col min="12289" max="12290" width="28.5" style="64" customWidth="1"/>
    <col min="12291" max="12292" width="22.83203125" style="64" customWidth="1"/>
    <col min="12293" max="12293" width="11.5" style="64" customWidth="1"/>
    <col min="12294" max="12301" width="0" style="64" hidden="1" customWidth="1"/>
    <col min="12302" max="12544" width="9.1640625" style="64"/>
    <col min="12545" max="12546" width="28.5" style="64" customWidth="1"/>
    <col min="12547" max="12548" width="22.83203125" style="64" customWidth="1"/>
    <col min="12549" max="12549" width="11.5" style="64" customWidth="1"/>
    <col min="12550" max="12557" width="0" style="64" hidden="1" customWidth="1"/>
    <col min="12558" max="12800" width="9.1640625" style="64"/>
    <col min="12801" max="12802" width="28.5" style="64" customWidth="1"/>
    <col min="12803" max="12804" width="22.83203125" style="64" customWidth="1"/>
    <col min="12805" max="12805" width="11.5" style="64" customWidth="1"/>
    <col min="12806" max="12813" width="0" style="64" hidden="1" customWidth="1"/>
    <col min="12814" max="13056" width="9.1640625" style="64"/>
    <col min="13057" max="13058" width="28.5" style="64" customWidth="1"/>
    <col min="13059" max="13060" width="22.83203125" style="64" customWidth="1"/>
    <col min="13061" max="13061" width="11.5" style="64" customWidth="1"/>
    <col min="13062" max="13069" width="0" style="64" hidden="1" customWidth="1"/>
    <col min="13070" max="13312" width="9.1640625" style="64"/>
    <col min="13313" max="13314" width="28.5" style="64" customWidth="1"/>
    <col min="13315" max="13316" width="22.83203125" style="64" customWidth="1"/>
    <col min="13317" max="13317" width="11.5" style="64" customWidth="1"/>
    <col min="13318" max="13325" width="0" style="64" hidden="1" customWidth="1"/>
    <col min="13326" max="13568" width="9.1640625" style="64"/>
    <col min="13569" max="13570" width="28.5" style="64" customWidth="1"/>
    <col min="13571" max="13572" width="22.83203125" style="64" customWidth="1"/>
    <col min="13573" max="13573" width="11.5" style="64" customWidth="1"/>
    <col min="13574" max="13581" width="0" style="64" hidden="1" customWidth="1"/>
    <col min="13582" max="13824" width="9.1640625" style="64"/>
    <col min="13825" max="13826" width="28.5" style="64" customWidth="1"/>
    <col min="13827" max="13828" width="22.83203125" style="64" customWidth="1"/>
    <col min="13829" max="13829" width="11.5" style="64" customWidth="1"/>
    <col min="13830" max="13837" width="0" style="64" hidden="1" customWidth="1"/>
    <col min="13838" max="14080" width="9.1640625" style="64"/>
    <col min="14081" max="14082" width="28.5" style="64" customWidth="1"/>
    <col min="14083" max="14084" width="22.83203125" style="64" customWidth="1"/>
    <col min="14085" max="14085" width="11.5" style="64" customWidth="1"/>
    <col min="14086" max="14093" width="0" style="64" hidden="1" customWidth="1"/>
    <col min="14094" max="14336" width="9.1640625" style="64"/>
    <col min="14337" max="14338" width="28.5" style="64" customWidth="1"/>
    <col min="14339" max="14340" width="22.83203125" style="64" customWidth="1"/>
    <col min="14341" max="14341" width="11.5" style="64" customWidth="1"/>
    <col min="14342" max="14349" width="0" style="64" hidden="1" customWidth="1"/>
    <col min="14350" max="14592" width="9.1640625" style="64"/>
    <col min="14593" max="14594" width="28.5" style="64" customWidth="1"/>
    <col min="14595" max="14596" width="22.83203125" style="64" customWidth="1"/>
    <col min="14597" max="14597" width="11.5" style="64" customWidth="1"/>
    <col min="14598" max="14605" width="0" style="64" hidden="1" customWidth="1"/>
    <col min="14606" max="14848" width="9.1640625" style="64"/>
    <col min="14849" max="14850" width="28.5" style="64" customWidth="1"/>
    <col min="14851" max="14852" width="22.83203125" style="64" customWidth="1"/>
    <col min="14853" max="14853" width="11.5" style="64" customWidth="1"/>
    <col min="14854" max="14861" width="0" style="64" hidden="1" customWidth="1"/>
    <col min="14862" max="15104" width="9.1640625" style="64"/>
    <col min="15105" max="15106" width="28.5" style="64" customWidth="1"/>
    <col min="15107" max="15108" width="22.83203125" style="64" customWidth="1"/>
    <col min="15109" max="15109" width="11.5" style="64" customWidth="1"/>
    <col min="15110" max="15117" width="0" style="64" hidden="1" customWidth="1"/>
    <col min="15118" max="15360" width="9.1640625" style="64"/>
    <col min="15361" max="15362" width="28.5" style="64" customWidth="1"/>
    <col min="15363" max="15364" width="22.83203125" style="64" customWidth="1"/>
    <col min="15365" max="15365" width="11.5" style="64" customWidth="1"/>
    <col min="15366" max="15373" width="0" style="64" hidden="1" customWidth="1"/>
    <col min="15374" max="15616" width="9.1640625" style="64"/>
    <col min="15617" max="15618" width="28.5" style="64" customWidth="1"/>
    <col min="15619" max="15620" width="22.83203125" style="64" customWidth="1"/>
    <col min="15621" max="15621" width="11.5" style="64" customWidth="1"/>
    <col min="15622" max="15629" width="0" style="64" hidden="1" customWidth="1"/>
    <col min="15630" max="15872" width="9.1640625" style="64"/>
    <col min="15873" max="15874" width="28.5" style="64" customWidth="1"/>
    <col min="15875" max="15876" width="22.83203125" style="64" customWidth="1"/>
    <col min="15877" max="15877" width="11.5" style="64" customWidth="1"/>
    <col min="15878" max="15885" width="0" style="64" hidden="1" customWidth="1"/>
    <col min="15886" max="16128" width="9.1640625" style="64"/>
    <col min="16129" max="16130" width="28.5" style="64" customWidth="1"/>
    <col min="16131" max="16132" width="22.83203125" style="64" customWidth="1"/>
    <col min="16133" max="16133" width="11.5" style="64" customWidth="1"/>
    <col min="16134" max="16141" width="0" style="64" hidden="1" customWidth="1"/>
    <col min="16142" max="16384" width="9.1640625" style="64"/>
  </cols>
  <sheetData>
    <row r="1" spans="1:8" ht="12.75" customHeight="1" x14ac:dyDescent="0.15">
      <c r="A1" s="64" t="s">
        <v>1311</v>
      </c>
    </row>
    <row r="2" spans="1:8" ht="12.75" customHeight="1" x14ac:dyDescent="0.15">
      <c r="A2" s="65" t="s">
        <v>2004</v>
      </c>
      <c r="B2" s="65" t="s">
        <v>1092</v>
      </c>
      <c r="C2" s="65" t="s">
        <v>2682</v>
      </c>
      <c r="D2" s="65" t="s">
        <v>1542</v>
      </c>
      <c r="E2" s="65" t="s">
        <v>716</v>
      </c>
    </row>
    <row r="3" spans="1:8" ht="12.95" customHeight="1" x14ac:dyDescent="0.15">
      <c r="A3" s="66" t="s">
        <v>1000</v>
      </c>
      <c r="B3" s="66" t="s">
        <v>3014</v>
      </c>
      <c r="C3" s="66" t="s">
        <v>2090</v>
      </c>
      <c r="D3" s="90">
        <f>[4]자재조서!E4</f>
        <v>312000</v>
      </c>
      <c r="E3" s="66" t="s">
        <v>3171</v>
      </c>
      <c r="F3" s="64" t="s">
        <v>2859</v>
      </c>
      <c r="G3" s="64" t="s">
        <v>3015</v>
      </c>
      <c r="H3" s="64" t="s">
        <v>1726</v>
      </c>
    </row>
    <row r="4" spans="1:8" ht="12.95" customHeight="1" x14ac:dyDescent="0.15">
      <c r="A4" s="66" t="s">
        <v>2719</v>
      </c>
      <c r="B4" s="66" t="s">
        <v>3010</v>
      </c>
      <c r="C4" s="66" t="s">
        <v>1086</v>
      </c>
      <c r="D4" s="90">
        <f>[4]자재조서!E5</f>
        <v>19780</v>
      </c>
      <c r="E4" s="66" t="s">
        <v>3172</v>
      </c>
      <c r="F4" s="64" t="s">
        <v>2859</v>
      </c>
      <c r="G4" s="64" t="s">
        <v>3011</v>
      </c>
      <c r="H4" s="64" t="s">
        <v>1466</v>
      </c>
    </row>
    <row r="5" spans="1:8" ht="12.95" customHeight="1" x14ac:dyDescent="0.15">
      <c r="A5" s="66" t="s">
        <v>765</v>
      </c>
      <c r="B5" s="66" t="s">
        <v>3018</v>
      </c>
      <c r="C5" s="66" t="s">
        <v>3173</v>
      </c>
      <c r="D5" s="90">
        <f>[4]자재조서!E6</f>
        <v>24000</v>
      </c>
      <c r="E5" s="66" t="s">
        <v>3174</v>
      </c>
      <c r="F5" s="64" t="s">
        <v>2859</v>
      </c>
      <c r="G5" s="64" t="s">
        <v>3019</v>
      </c>
      <c r="H5" s="64" t="s">
        <v>2859</v>
      </c>
    </row>
    <row r="6" spans="1:8" ht="12.95" customHeight="1" x14ac:dyDescent="0.15">
      <c r="A6" s="66" t="s">
        <v>3175</v>
      </c>
      <c r="B6" s="66" t="s">
        <v>3023</v>
      </c>
      <c r="C6" s="66" t="s">
        <v>1188</v>
      </c>
      <c r="D6" s="90">
        <f>[4]자재조서!E7</f>
        <v>22500</v>
      </c>
      <c r="E6" s="66" t="s">
        <v>3176</v>
      </c>
      <c r="F6" s="64" t="s">
        <v>2859</v>
      </c>
      <c r="G6" s="64" t="s">
        <v>3024</v>
      </c>
      <c r="H6" s="64" t="s">
        <v>2859</v>
      </c>
    </row>
    <row r="7" spans="1:8" ht="12.95" customHeight="1" x14ac:dyDescent="0.15">
      <c r="A7" s="66" t="s">
        <v>3177</v>
      </c>
      <c r="B7" s="66" t="s">
        <v>3178</v>
      </c>
      <c r="C7" s="66" t="s">
        <v>3179</v>
      </c>
      <c r="D7" s="90">
        <f>[4]자재조서!E8</f>
        <v>60000</v>
      </c>
      <c r="E7" s="66" t="s">
        <v>3176</v>
      </c>
      <c r="F7" s="64" t="s">
        <v>2859</v>
      </c>
      <c r="G7" s="64" t="s">
        <v>3180</v>
      </c>
      <c r="H7" s="64" t="s">
        <v>2859</v>
      </c>
    </row>
    <row r="8" spans="1:8" ht="12.95" customHeight="1" x14ac:dyDescent="0.15">
      <c r="A8" s="141" t="str">
        <f>'자재조서 (신규)'!B9</f>
        <v>가설방음판RPP</v>
      </c>
      <c r="B8" s="141" t="str">
        <f>'자재조서 (신규)'!C9</f>
        <v>1980x500xx30T</v>
      </c>
      <c r="C8" s="141" t="str">
        <f>'자재조서 (신규)'!D9</f>
        <v>M</v>
      </c>
      <c r="D8" s="156">
        <f>'자재조서 (신규)'!E9</f>
        <v>42000</v>
      </c>
      <c r="E8" s="141" t="str">
        <f>'자재조서 (신규)'!G9</f>
        <v>1-1054</v>
      </c>
    </row>
    <row r="9" spans="1:8" ht="12.95" customHeight="1" x14ac:dyDescent="0.15">
      <c r="A9" s="141" t="str">
        <f>'자재조서 (신규)'!B10</f>
        <v>가설방음벽(주주파이프)</v>
      </c>
      <c r="B9" s="141" t="str">
        <f>'자재조서 (신규)'!C10</f>
        <v>Φ48×2.3t</v>
      </c>
      <c r="C9" s="141" t="str">
        <f>'자재조서 (신규)'!D10</f>
        <v>m</v>
      </c>
      <c r="D9" s="156">
        <f>'자재조서 (신규)'!E10</f>
        <v>5250</v>
      </c>
      <c r="E9" s="141" t="str">
        <f>'자재조서 (신규)'!G10</f>
        <v>1-105</v>
      </c>
    </row>
    <row r="10" spans="1:8" ht="12.95" customHeight="1" x14ac:dyDescent="0.15">
      <c r="A10" s="141" t="str">
        <f>'자재조서 (신규)'!B11</f>
        <v>가설방음벽(지주파이프)</v>
      </c>
      <c r="B10" s="141" t="str">
        <f>'자재조서 (신규)'!C11</f>
        <v>Φ48×2.3t×2m</v>
      </c>
      <c r="C10" s="141" t="str">
        <f>'자재조서 (신규)'!D11</f>
        <v>ea</v>
      </c>
      <c r="D10" s="156">
        <f>'자재조서 (신규)'!E11</f>
        <v>10500</v>
      </c>
      <c r="E10" s="141" t="str">
        <f>'자재조서 (신규)'!G11</f>
        <v>1-105</v>
      </c>
    </row>
    <row r="11" spans="1:8" ht="12.95" customHeight="1" x14ac:dyDescent="0.15">
      <c r="A11" s="141" t="str">
        <f>'자재조서 (신규)'!B12</f>
        <v>가설방음벽(횡대파이프)</v>
      </c>
      <c r="B11" s="141" t="str">
        <f>'자재조서 (신규)'!C12</f>
        <v>Φ48×2.3t</v>
      </c>
      <c r="C11" s="141" t="str">
        <f>'자재조서 (신규)'!D12</f>
        <v>m</v>
      </c>
      <c r="D11" s="156">
        <f>'자재조서 (신규)'!E12</f>
        <v>5250</v>
      </c>
      <c r="E11" s="141" t="str">
        <f>'자재조서 (신규)'!G12</f>
        <v>1-105</v>
      </c>
    </row>
    <row r="12" spans="1:8" ht="12.95" customHeight="1" x14ac:dyDescent="0.15">
      <c r="A12" s="141" t="str">
        <f>'자재조서 (신규)'!B13</f>
        <v>가설방음벽(보조지주)</v>
      </c>
      <c r="B12" s="141" t="str">
        <f>'자재조서 (신규)'!C13</f>
        <v>Φ48×2.3t</v>
      </c>
      <c r="C12" s="141" t="str">
        <f>'자재조서 (신규)'!D13</f>
        <v>m</v>
      </c>
      <c r="D12" s="156">
        <f>'자재조서 (신규)'!E13</f>
        <v>5250</v>
      </c>
      <c r="E12" s="141" t="str">
        <f>'자재조서 (신규)'!G13</f>
        <v>1-105</v>
      </c>
    </row>
    <row r="13" spans="1:8" ht="12.95" customHeight="1" x14ac:dyDescent="0.15">
      <c r="A13" s="141" t="str">
        <f>'자재조서 (신규)'!B14</f>
        <v>가설방음벽(클램프)</v>
      </c>
      <c r="B13" s="141" t="str">
        <f>'자재조서 (신규)'!C14</f>
        <v>Φ48용</v>
      </c>
      <c r="C13" s="141" t="str">
        <f>'자재조서 (신규)'!D14</f>
        <v>ea</v>
      </c>
      <c r="D13" s="156">
        <f>'자재조서 (신규)'!E14</f>
        <v>3110</v>
      </c>
      <c r="E13" s="141" t="str">
        <f>'자재조서 (신규)'!G14</f>
        <v>1-1043</v>
      </c>
    </row>
    <row r="14" spans="1:8" ht="12.95" customHeight="1" x14ac:dyDescent="0.15">
      <c r="A14" s="141" t="str">
        <f>'자재조서 (신규)'!B15</f>
        <v>가설방음벽(연결핀)</v>
      </c>
      <c r="B14" s="141" t="str">
        <f>'자재조서 (신규)'!C15</f>
        <v>Φ48용</v>
      </c>
      <c r="C14" s="141" t="str">
        <f>'자재조서 (신규)'!D15</f>
        <v>ea</v>
      </c>
      <c r="D14" s="156">
        <f>'자재조서 (신규)'!E15</f>
        <v>2080</v>
      </c>
      <c r="E14" s="141" t="str">
        <f>'자재조서 (신규)'!G15</f>
        <v>1-1050</v>
      </c>
    </row>
    <row r="15" spans="1:8" ht="12.95" customHeight="1" x14ac:dyDescent="0.15"/>
    <row r="16" spans="1:8" ht="12.95" customHeight="1" x14ac:dyDescent="0.15"/>
    <row r="17" ht="12.95" customHeight="1" x14ac:dyDescent="0.15"/>
    <row r="18" ht="12.95" customHeight="1" x14ac:dyDescent="0.15"/>
    <row r="19" ht="12.95" customHeight="1" x14ac:dyDescent="0.15"/>
    <row r="20" ht="12.95" customHeight="1" x14ac:dyDescent="0.15"/>
    <row r="21" ht="12.95" customHeight="1" x14ac:dyDescent="0.15"/>
    <row r="22" ht="12.95" customHeight="1" x14ac:dyDescent="0.15"/>
  </sheetData>
  <phoneticPr fontId="5" type="noConversion"/>
  <pageMargins left="0.31496062992125984" right="0.31496062992125984" top="1" bottom="0.59055118110236215" header="0.5" footer="0.5"/>
  <pageSetup paperSize="9" orientation="portrait" r:id="rId1"/>
  <headerFooter alignWithMargins="0">
    <oddHeader>&amp;RPage : &amp;P/&amp;N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E0EC9-99C4-4A2D-9CC5-B94F428D4939}">
  <sheetPr>
    <tabColor rgb="FFFF0000"/>
  </sheetPr>
  <dimension ref="A1:X36"/>
  <sheetViews>
    <sheetView view="pageBreakPreview" zoomScale="60" zoomScaleNormal="115" workbookViewId="0">
      <selection activeCell="F8" sqref="F8"/>
    </sheetView>
  </sheetViews>
  <sheetFormatPr defaultRowHeight="12.75" customHeight="1" x14ac:dyDescent="0.15"/>
  <cols>
    <col min="1" max="1" width="19.5" style="148" customWidth="1"/>
    <col min="2" max="2" width="26.33203125" style="148" customWidth="1"/>
    <col min="3" max="3" width="21.6640625" style="148" customWidth="1"/>
    <col min="4" max="4" width="5.6640625" style="148" customWidth="1"/>
    <col min="5" max="5" width="18.33203125" style="148" customWidth="1"/>
    <col min="6" max="6" width="17.1640625" style="148" customWidth="1"/>
    <col min="7" max="7" width="9.1640625" style="148" customWidth="1"/>
    <col min="8" max="8" width="17.1640625" style="148" customWidth="1"/>
    <col min="9" max="9" width="9.1640625" style="148" customWidth="1"/>
    <col min="10" max="10" width="17.1640625" style="148" customWidth="1"/>
    <col min="11" max="11" width="9.1640625" style="148" customWidth="1"/>
    <col min="12" max="12" width="17.1640625" style="148" customWidth="1"/>
    <col min="13" max="13" width="9.1640625" style="148" customWidth="1"/>
    <col min="14" max="20" width="9.1640625" style="148"/>
    <col min="21" max="24" width="0" style="148" hidden="1" customWidth="1"/>
    <col min="25" max="256" width="9.1640625" style="148"/>
    <col min="257" max="257" width="19.5" style="148" customWidth="1"/>
    <col min="258" max="258" width="26.33203125" style="148" customWidth="1"/>
    <col min="259" max="259" width="21.6640625" style="148" customWidth="1"/>
    <col min="260" max="260" width="5.6640625" style="148" customWidth="1"/>
    <col min="261" max="261" width="18.33203125" style="148" customWidth="1"/>
    <col min="262" max="262" width="17.1640625" style="148" customWidth="1"/>
    <col min="263" max="263" width="9.1640625" style="148"/>
    <col min="264" max="264" width="17.1640625" style="148" customWidth="1"/>
    <col min="265" max="265" width="9.1640625" style="148"/>
    <col min="266" max="266" width="17.1640625" style="148" customWidth="1"/>
    <col min="267" max="267" width="9.1640625" style="148"/>
    <col min="268" max="268" width="17.1640625" style="148" customWidth="1"/>
    <col min="269" max="276" width="9.1640625" style="148"/>
    <col min="277" max="280" width="0" style="148" hidden="1" customWidth="1"/>
    <col min="281" max="512" width="9.1640625" style="148"/>
    <col min="513" max="513" width="19.5" style="148" customWidth="1"/>
    <col min="514" max="514" width="26.33203125" style="148" customWidth="1"/>
    <col min="515" max="515" width="21.6640625" style="148" customWidth="1"/>
    <col min="516" max="516" width="5.6640625" style="148" customWidth="1"/>
    <col min="517" max="517" width="18.33203125" style="148" customWidth="1"/>
    <col min="518" max="518" width="17.1640625" style="148" customWidth="1"/>
    <col min="519" max="519" width="9.1640625" style="148"/>
    <col min="520" max="520" width="17.1640625" style="148" customWidth="1"/>
    <col min="521" max="521" width="9.1640625" style="148"/>
    <col min="522" max="522" width="17.1640625" style="148" customWidth="1"/>
    <col min="523" max="523" width="9.1640625" style="148"/>
    <col min="524" max="524" width="17.1640625" style="148" customWidth="1"/>
    <col min="525" max="532" width="9.1640625" style="148"/>
    <col min="533" max="536" width="0" style="148" hidden="1" customWidth="1"/>
    <col min="537" max="768" width="9.1640625" style="148"/>
    <col min="769" max="769" width="19.5" style="148" customWidth="1"/>
    <col min="770" max="770" width="26.33203125" style="148" customWidth="1"/>
    <col min="771" max="771" width="21.6640625" style="148" customWidth="1"/>
    <col min="772" max="772" width="5.6640625" style="148" customWidth="1"/>
    <col min="773" max="773" width="18.33203125" style="148" customWidth="1"/>
    <col min="774" max="774" width="17.1640625" style="148" customWidth="1"/>
    <col min="775" max="775" width="9.1640625" style="148"/>
    <col min="776" max="776" width="17.1640625" style="148" customWidth="1"/>
    <col min="777" max="777" width="9.1640625" style="148"/>
    <col min="778" max="778" width="17.1640625" style="148" customWidth="1"/>
    <col min="779" max="779" width="9.1640625" style="148"/>
    <col min="780" max="780" width="17.1640625" style="148" customWidth="1"/>
    <col min="781" max="788" width="9.1640625" style="148"/>
    <col min="789" max="792" width="0" style="148" hidden="1" customWidth="1"/>
    <col min="793" max="1024" width="9.1640625" style="148"/>
    <col min="1025" max="1025" width="19.5" style="148" customWidth="1"/>
    <col min="1026" max="1026" width="26.33203125" style="148" customWidth="1"/>
    <col min="1027" max="1027" width="21.6640625" style="148" customWidth="1"/>
    <col min="1028" max="1028" width="5.6640625" style="148" customWidth="1"/>
    <col min="1029" max="1029" width="18.33203125" style="148" customWidth="1"/>
    <col min="1030" max="1030" width="17.1640625" style="148" customWidth="1"/>
    <col min="1031" max="1031" width="9.1640625" style="148"/>
    <col min="1032" max="1032" width="17.1640625" style="148" customWidth="1"/>
    <col min="1033" max="1033" width="9.1640625" style="148"/>
    <col min="1034" max="1034" width="17.1640625" style="148" customWidth="1"/>
    <col min="1035" max="1035" width="9.1640625" style="148"/>
    <col min="1036" max="1036" width="17.1640625" style="148" customWidth="1"/>
    <col min="1037" max="1044" width="9.1640625" style="148"/>
    <col min="1045" max="1048" width="0" style="148" hidden="1" customWidth="1"/>
    <col min="1049" max="1280" width="9.1640625" style="148"/>
    <col min="1281" max="1281" width="19.5" style="148" customWidth="1"/>
    <col min="1282" max="1282" width="26.33203125" style="148" customWidth="1"/>
    <col min="1283" max="1283" width="21.6640625" style="148" customWidth="1"/>
    <col min="1284" max="1284" width="5.6640625" style="148" customWidth="1"/>
    <col min="1285" max="1285" width="18.33203125" style="148" customWidth="1"/>
    <col min="1286" max="1286" width="17.1640625" style="148" customWidth="1"/>
    <col min="1287" max="1287" width="9.1640625" style="148"/>
    <col min="1288" max="1288" width="17.1640625" style="148" customWidth="1"/>
    <col min="1289" max="1289" width="9.1640625" style="148"/>
    <col min="1290" max="1290" width="17.1640625" style="148" customWidth="1"/>
    <col min="1291" max="1291" width="9.1640625" style="148"/>
    <col min="1292" max="1292" width="17.1640625" style="148" customWidth="1"/>
    <col min="1293" max="1300" width="9.1640625" style="148"/>
    <col min="1301" max="1304" width="0" style="148" hidden="1" customWidth="1"/>
    <col min="1305" max="1536" width="9.1640625" style="148"/>
    <col min="1537" max="1537" width="19.5" style="148" customWidth="1"/>
    <col min="1538" max="1538" width="26.33203125" style="148" customWidth="1"/>
    <col min="1539" max="1539" width="21.6640625" style="148" customWidth="1"/>
    <col min="1540" max="1540" width="5.6640625" style="148" customWidth="1"/>
    <col min="1541" max="1541" width="18.33203125" style="148" customWidth="1"/>
    <col min="1542" max="1542" width="17.1640625" style="148" customWidth="1"/>
    <col min="1543" max="1543" width="9.1640625" style="148"/>
    <col min="1544" max="1544" width="17.1640625" style="148" customWidth="1"/>
    <col min="1545" max="1545" width="9.1640625" style="148"/>
    <col min="1546" max="1546" width="17.1640625" style="148" customWidth="1"/>
    <col min="1547" max="1547" width="9.1640625" style="148"/>
    <col min="1548" max="1548" width="17.1640625" style="148" customWidth="1"/>
    <col min="1549" max="1556" width="9.1640625" style="148"/>
    <col min="1557" max="1560" width="0" style="148" hidden="1" customWidth="1"/>
    <col min="1561" max="1792" width="9.1640625" style="148"/>
    <col min="1793" max="1793" width="19.5" style="148" customWidth="1"/>
    <col min="1794" max="1794" width="26.33203125" style="148" customWidth="1"/>
    <col min="1795" max="1795" width="21.6640625" style="148" customWidth="1"/>
    <col min="1796" max="1796" width="5.6640625" style="148" customWidth="1"/>
    <col min="1797" max="1797" width="18.33203125" style="148" customWidth="1"/>
    <col min="1798" max="1798" width="17.1640625" style="148" customWidth="1"/>
    <col min="1799" max="1799" width="9.1640625" style="148"/>
    <col min="1800" max="1800" width="17.1640625" style="148" customWidth="1"/>
    <col min="1801" max="1801" width="9.1640625" style="148"/>
    <col min="1802" max="1802" width="17.1640625" style="148" customWidth="1"/>
    <col min="1803" max="1803" width="9.1640625" style="148"/>
    <col min="1804" max="1804" width="17.1640625" style="148" customWidth="1"/>
    <col min="1805" max="1812" width="9.1640625" style="148"/>
    <col min="1813" max="1816" width="0" style="148" hidden="1" customWidth="1"/>
    <col min="1817" max="2048" width="9.1640625" style="148"/>
    <col min="2049" max="2049" width="19.5" style="148" customWidth="1"/>
    <col min="2050" max="2050" width="26.33203125" style="148" customWidth="1"/>
    <col min="2051" max="2051" width="21.6640625" style="148" customWidth="1"/>
    <col min="2052" max="2052" width="5.6640625" style="148" customWidth="1"/>
    <col min="2053" max="2053" width="18.33203125" style="148" customWidth="1"/>
    <col min="2054" max="2054" width="17.1640625" style="148" customWidth="1"/>
    <col min="2055" max="2055" width="9.1640625" style="148"/>
    <col min="2056" max="2056" width="17.1640625" style="148" customWidth="1"/>
    <col min="2057" max="2057" width="9.1640625" style="148"/>
    <col min="2058" max="2058" width="17.1640625" style="148" customWidth="1"/>
    <col min="2059" max="2059" width="9.1640625" style="148"/>
    <col min="2060" max="2060" width="17.1640625" style="148" customWidth="1"/>
    <col min="2061" max="2068" width="9.1640625" style="148"/>
    <col min="2069" max="2072" width="0" style="148" hidden="1" customWidth="1"/>
    <col min="2073" max="2304" width="9.1640625" style="148"/>
    <col min="2305" max="2305" width="19.5" style="148" customWidth="1"/>
    <col min="2306" max="2306" width="26.33203125" style="148" customWidth="1"/>
    <col min="2307" max="2307" width="21.6640625" style="148" customWidth="1"/>
    <col min="2308" max="2308" width="5.6640625" style="148" customWidth="1"/>
    <col min="2309" max="2309" width="18.33203125" style="148" customWidth="1"/>
    <col min="2310" max="2310" width="17.1640625" style="148" customWidth="1"/>
    <col min="2311" max="2311" width="9.1640625" style="148"/>
    <col min="2312" max="2312" width="17.1640625" style="148" customWidth="1"/>
    <col min="2313" max="2313" width="9.1640625" style="148"/>
    <col min="2314" max="2314" width="17.1640625" style="148" customWidth="1"/>
    <col min="2315" max="2315" width="9.1640625" style="148"/>
    <col min="2316" max="2316" width="17.1640625" style="148" customWidth="1"/>
    <col min="2317" max="2324" width="9.1640625" style="148"/>
    <col min="2325" max="2328" width="0" style="148" hidden="1" customWidth="1"/>
    <col min="2329" max="2560" width="9.1640625" style="148"/>
    <col min="2561" max="2561" width="19.5" style="148" customWidth="1"/>
    <col min="2562" max="2562" width="26.33203125" style="148" customWidth="1"/>
    <col min="2563" max="2563" width="21.6640625" style="148" customWidth="1"/>
    <col min="2564" max="2564" width="5.6640625" style="148" customWidth="1"/>
    <col min="2565" max="2565" width="18.33203125" style="148" customWidth="1"/>
    <col min="2566" max="2566" width="17.1640625" style="148" customWidth="1"/>
    <col min="2567" max="2567" width="9.1640625" style="148"/>
    <col min="2568" max="2568" width="17.1640625" style="148" customWidth="1"/>
    <col min="2569" max="2569" width="9.1640625" style="148"/>
    <col min="2570" max="2570" width="17.1640625" style="148" customWidth="1"/>
    <col min="2571" max="2571" width="9.1640625" style="148"/>
    <col min="2572" max="2572" width="17.1640625" style="148" customWidth="1"/>
    <col min="2573" max="2580" width="9.1640625" style="148"/>
    <col min="2581" max="2584" width="0" style="148" hidden="1" customWidth="1"/>
    <col min="2585" max="2816" width="9.1640625" style="148"/>
    <col min="2817" max="2817" width="19.5" style="148" customWidth="1"/>
    <col min="2818" max="2818" width="26.33203125" style="148" customWidth="1"/>
    <col min="2819" max="2819" width="21.6640625" style="148" customWidth="1"/>
    <col min="2820" max="2820" width="5.6640625" style="148" customWidth="1"/>
    <col min="2821" max="2821" width="18.33203125" style="148" customWidth="1"/>
    <col min="2822" max="2822" width="17.1640625" style="148" customWidth="1"/>
    <col min="2823" max="2823" width="9.1640625" style="148"/>
    <col min="2824" max="2824" width="17.1640625" style="148" customWidth="1"/>
    <col min="2825" max="2825" width="9.1640625" style="148"/>
    <col min="2826" max="2826" width="17.1640625" style="148" customWidth="1"/>
    <col min="2827" max="2827" width="9.1640625" style="148"/>
    <col min="2828" max="2828" width="17.1640625" style="148" customWidth="1"/>
    <col min="2829" max="2836" width="9.1640625" style="148"/>
    <col min="2837" max="2840" width="0" style="148" hidden="1" customWidth="1"/>
    <col min="2841" max="3072" width="9.1640625" style="148"/>
    <col min="3073" max="3073" width="19.5" style="148" customWidth="1"/>
    <col min="3074" max="3074" width="26.33203125" style="148" customWidth="1"/>
    <col min="3075" max="3075" width="21.6640625" style="148" customWidth="1"/>
    <col min="3076" max="3076" width="5.6640625" style="148" customWidth="1"/>
    <col min="3077" max="3077" width="18.33203125" style="148" customWidth="1"/>
    <col min="3078" max="3078" width="17.1640625" style="148" customWidth="1"/>
    <col min="3079" max="3079" width="9.1640625" style="148"/>
    <col min="3080" max="3080" width="17.1640625" style="148" customWidth="1"/>
    <col min="3081" max="3081" width="9.1640625" style="148"/>
    <col min="3082" max="3082" width="17.1640625" style="148" customWidth="1"/>
    <col min="3083" max="3083" width="9.1640625" style="148"/>
    <col min="3084" max="3084" width="17.1640625" style="148" customWidth="1"/>
    <col min="3085" max="3092" width="9.1640625" style="148"/>
    <col min="3093" max="3096" width="0" style="148" hidden="1" customWidth="1"/>
    <col min="3097" max="3328" width="9.1640625" style="148"/>
    <col min="3329" max="3329" width="19.5" style="148" customWidth="1"/>
    <col min="3330" max="3330" width="26.33203125" style="148" customWidth="1"/>
    <col min="3331" max="3331" width="21.6640625" style="148" customWidth="1"/>
    <col min="3332" max="3332" width="5.6640625" style="148" customWidth="1"/>
    <col min="3333" max="3333" width="18.33203125" style="148" customWidth="1"/>
    <col min="3334" max="3334" width="17.1640625" style="148" customWidth="1"/>
    <col min="3335" max="3335" width="9.1640625" style="148"/>
    <col min="3336" max="3336" width="17.1640625" style="148" customWidth="1"/>
    <col min="3337" max="3337" width="9.1640625" style="148"/>
    <col min="3338" max="3338" width="17.1640625" style="148" customWidth="1"/>
    <col min="3339" max="3339" width="9.1640625" style="148"/>
    <col min="3340" max="3340" width="17.1640625" style="148" customWidth="1"/>
    <col min="3341" max="3348" width="9.1640625" style="148"/>
    <col min="3349" max="3352" width="0" style="148" hidden="1" customWidth="1"/>
    <col min="3353" max="3584" width="9.1640625" style="148"/>
    <col min="3585" max="3585" width="19.5" style="148" customWidth="1"/>
    <col min="3586" max="3586" width="26.33203125" style="148" customWidth="1"/>
    <col min="3587" max="3587" width="21.6640625" style="148" customWidth="1"/>
    <col min="3588" max="3588" width="5.6640625" style="148" customWidth="1"/>
    <col min="3589" max="3589" width="18.33203125" style="148" customWidth="1"/>
    <col min="3590" max="3590" width="17.1640625" style="148" customWidth="1"/>
    <col min="3591" max="3591" width="9.1640625" style="148"/>
    <col min="3592" max="3592" width="17.1640625" style="148" customWidth="1"/>
    <col min="3593" max="3593" width="9.1640625" style="148"/>
    <col min="3594" max="3594" width="17.1640625" style="148" customWidth="1"/>
    <col min="3595" max="3595" width="9.1640625" style="148"/>
    <col min="3596" max="3596" width="17.1640625" style="148" customWidth="1"/>
    <col min="3597" max="3604" width="9.1640625" style="148"/>
    <col min="3605" max="3608" width="0" style="148" hidden="1" customWidth="1"/>
    <col min="3609" max="3840" width="9.1640625" style="148"/>
    <col min="3841" max="3841" width="19.5" style="148" customWidth="1"/>
    <col min="3842" max="3842" width="26.33203125" style="148" customWidth="1"/>
    <col min="3843" max="3843" width="21.6640625" style="148" customWidth="1"/>
    <col min="3844" max="3844" width="5.6640625" style="148" customWidth="1"/>
    <col min="3845" max="3845" width="18.33203125" style="148" customWidth="1"/>
    <col min="3846" max="3846" width="17.1640625" style="148" customWidth="1"/>
    <col min="3847" max="3847" width="9.1640625" style="148"/>
    <col min="3848" max="3848" width="17.1640625" style="148" customWidth="1"/>
    <col min="3849" max="3849" width="9.1640625" style="148"/>
    <col min="3850" max="3850" width="17.1640625" style="148" customWidth="1"/>
    <col min="3851" max="3851" width="9.1640625" style="148"/>
    <col min="3852" max="3852" width="17.1640625" style="148" customWidth="1"/>
    <col min="3853" max="3860" width="9.1640625" style="148"/>
    <col min="3861" max="3864" width="0" style="148" hidden="1" customWidth="1"/>
    <col min="3865" max="4096" width="9.1640625" style="148"/>
    <col min="4097" max="4097" width="19.5" style="148" customWidth="1"/>
    <col min="4098" max="4098" width="26.33203125" style="148" customWidth="1"/>
    <col min="4099" max="4099" width="21.6640625" style="148" customWidth="1"/>
    <col min="4100" max="4100" width="5.6640625" style="148" customWidth="1"/>
    <col min="4101" max="4101" width="18.33203125" style="148" customWidth="1"/>
    <col min="4102" max="4102" width="17.1640625" style="148" customWidth="1"/>
    <col min="4103" max="4103" width="9.1640625" style="148"/>
    <col min="4104" max="4104" width="17.1640625" style="148" customWidth="1"/>
    <col min="4105" max="4105" width="9.1640625" style="148"/>
    <col min="4106" max="4106" width="17.1640625" style="148" customWidth="1"/>
    <col min="4107" max="4107" width="9.1640625" style="148"/>
    <col min="4108" max="4108" width="17.1640625" style="148" customWidth="1"/>
    <col min="4109" max="4116" width="9.1640625" style="148"/>
    <col min="4117" max="4120" width="0" style="148" hidden="1" customWidth="1"/>
    <col min="4121" max="4352" width="9.1640625" style="148"/>
    <col min="4353" max="4353" width="19.5" style="148" customWidth="1"/>
    <col min="4354" max="4354" width="26.33203125" style="148" customWidth="1"/>
    <col min="4355" max="4355" width="21.6640625" style="148" customWidth="1"/>
    <col min="4356" max="4356" width="5.6640625" style="148" customWidth="1"/>
    <col min="4357" max="4357" width="18.33203125" style="148" customWidth="1"/>
    <col min="4358" max="4358" width="17.1640625" style="148" customWidth="1"/>
    <col min="4359" max="4359" width="9.1640625" style="148"/>
    <col min="4360" max="4360" width="17.1640625" style="148" customWidth="1"/>
    <col min="4361" max="4361" width="9.1640625" style="148"/>
    <col min="4362" max="4362" width="17.1640625" style="148" customWidth="1"/>
    <col min="4363" max="4363" width="9.1640625" style="148"/>
    <col min="4364" max="4364" width="17.1640625" style="148" customWidth="1"/>
    <col min="4365" max="4372" width="9.1640625" style="148"/>
    <col min="4373" max="4376" width="0" style="148" hidden="1" customWidth="1"/>
    <col min="4377" max="4608" width="9.1640625" style="148"/>
    <col min="4609" max="4609" width="19.5" style="148" customWidth="1"/>
    <col min="4610" max="4610" width="26.33203125" style="148" customWidth="1"/>
    <col min="4611" max="4611" width="21.6640625" style="148" customWidth="1"/>
    <col min="4612" max="4612" width="5.6640625" style="148" customWidth="1"/>
    <col min="4613" max="4613" width="18.33203125" style="148" customWidth="1"/>
    <col min="4614" max="4614" width="17.1640625" style="148" customWidth="1"/>
    <col min="4615" max="4615" width="9.1640625" style="148"/>
    <col min="4616" max="4616" width="17.1640625" style="148" customWidth="1"/>
    <col min="4617" max="4617" width="9.1640625" style="148"/>
    <col min="4618" max="4618" width="17.1640625" style="148" customWidth="1"/>
    <col min="4619" max="4619" width="9.1640625" style="148"/>
    <col min="4620" max="4620" width="17.1640625" style="148" customWidth="1"/>
    <col min="4621" max="4628" width="9.1640625" style="148"/>
    <col min="4629" max="4632" width="0" style="148" hidden="1" customWidth="1"/>
    <col min="4633" max="4864" width="9.1640625" style="148"/>
    <col min="4865" max="4865" width="19.5" style="148" customWidth="1"/>
    <col min="4866" max="4866" width="26.33203125" style="148" customWidth="1"/>
    <col min="4867" max="4867" width="21.6640625" style="148" customWidth="1"/>
    <col min="4868" max="4868" width="5.6640625" style="148" customWidth="1"/>
    <col min="4869" max="4869" width="18.33203125" style="148" customWidth="1"/>
    <col min="4870" max="4870" width="17.1640625" style="148" customWidth="1"/>
    <col min="4871" max="4871" width="9.1640625" style="148"/>
    <col min="4872" max="4872" width="17.1640625" style="148" customWidth="1"/>
    <col min="4873" max="4873" width="9.1640625" style="148"/>
    <col min="4874" max="4874" width="17.1640625" style="148" customWidth="1"/>
    <col min="4875" max="4875" width="9.1640625" style="148"/>
    <col min="4876" max="4876" width="17.1640625" style="148" customWidth="1"/>
    <col min="4877" max="4884" width="9.1640625" style="148"/>
    <col min="4885" max="4888" width="0" style="148" hidden="1" customWidth="1"/>
    <col min="4889" max="5120" width="9.1640625" style="148"/>
    <col min="5121" max="5121" width="19.5" style="148" customWidth="1"/>
    <col min="5122" max="5122" width="26.33203125" style="148" customWidth="1"/>
    <col min="5123" max="5123" width="21.6640625" style="148" customWidth="1"/>
    <col min="5124" max="5124" width="5.6640625" style="148" customWidth="1"/>
    <col min="5125" max="5125" width="18.33203125" style="148" customWidth="1"/>
    <col min="5126" max="5126" width="17.1640625" style="148" customWidth="1"/>
    <col min="5127" max="5127" width="9.1640625" style="148"/>
    <col min="5128" max="5128" width="17.1640625" style="148" customWidth="1"/>
    <col min="5129" max="5129" width="9.1640625" style="148"/>
    <col min="5130" max="5130" width="17.1640625" style="148" customWidth="1"/>
    <col min="5131" max="5131" width="9.1640625" style="148"/>
    <col min="5132" max="5132" width="17.1640625" style="148" customWidth="1"/>
    <col min="5133" max="5140" width="9.1640625" style="148"/>
    <col min="5141" max="5144" width="0" style="148" hidden="1" customWidth="1"/>
    <col min="5145" max="5376" width="9.1640625" style="148"/>
    <col min="5377" max="5377" width="19.5" style="148" customWidth="1"/>
    <col min="5378" max="5378" width="26.33203125" style="148" customWidth="1"/>
    <col min="5379" max="5379" width="21.6640625" style="148" customWidth="1"/>
    <col min="5380" max="5380" width="5.6640625" style="148" customWidth="1"/>
    <col min="5381" max="5381" width="18.33203125" style="148" customWidth="1"/>
    <col min="5382" max="5382" width="17.1640625" style="148" customWidth="1"/>
    <col min="5383" max="5383" width="9.1640625" style="148"/>
    <col min="5384" max="5384" width="17.1640625" style="148" customWidth="1"/>
    <col min="5385" max="5385" width="9.1640625" style="148"/>
    <col min="5386" max="5386" width="17.1640625" style="148" customWidth="1"/>
    <col min="5387" max="5387" width="9.1640625" style="148"/>
    <col min="5388" max="5388" width="17.1640625" style="148" customWidth="1"/>
    <col min="5389" max="5396" width="9.1640625" style="148"/>
    <col min="5397" max="5400" width="0" style="148" hidden="1" customWidth="1"/>
    <col min="5401" max="5632" width="9.1640625" style="148"/>
    <col min="5633" max="5633" width="19.5" style="148" customWidth="1"/>
    <col min="5634" max="5634" width="26.33203125" style="148" customWidth="1"/>
    <col min="5635" max="5635" width="21.6640625" style="148" customWidth="1"/>
    <col min="5636" max="5636" width="5.6640625" style="148" customWidth="1"/>
    <col min="5637" max="5637" width="18.33203125" style="148" customWidth="1"/>
    <col min="5638" max="5638" width="17.1640625" style="148" customWidth="1"/>
    <col min="5639" max="5639" width="9.1640625" style="148"/>
    <col min="5640" max="5640" width="17.1640625" style="148" customWidth="1"/>
    <col min="5641" max="5641" width="9.1640625" style="148"/>
    <col min="5642" max="5642" width="17.1640625" style="148" customWidth="1"/>
    <col min="5643" max="5643" width="9.1640625" style="148"/>
    <col min="5644" max="5644" width="17.1640625" style="148" customWidth="1"/>
    <col min="5645" max="5652" width="9.1640625" style="148"/>
    <col min="5653" max="5656" width="0" style="148" hidden="1" customWidth="1"/>
    <col min="5657" max="5888" width="9.1640625" style="148"/>
    <col min="5889" max="5889" width="19.5" style="148" customWidth="1"/>
    <col min="5890" max="5890" width="26.33203125" style="148" customWidth="1"/>
    <col min="5891" max="5891" width="21.6640625" style="148" customWidth="1"/>
    <col min="5892" max="5892" width="5.6640625" style="148" customWidth="1"/>
    <col min="5893" max="5893" width="18.33203125" style="148" customWidth="1"/>
    <col min="5894" max="5894" width="17.1640625" style="148" customWidth="1"/>
    <col min="5895" max="5895" width="9.1640625" style="148"/>
    <col min="5896" max="5896" width="17.1640625" style="148" customWidth="1"/>
    <col min="5897" max="5897" width="9.1640625" style="148"/>
    <col min="5898" max="5898" width="17.1640625" style="148" customWidth="1"/>
    <col min="5899" max="5899" width="9.1640625" style="148"/>
    <col min="5900" max="5900" width="17.1640625" style="148" customWidth="1"/>
    <col min="5901" max="5908" width="9.1640625" style="148"/>
    <col min="5909" max="5912" width="0" style="148" hidden="1" customWidth="1"/>
    <col min="5913" max="6144" width="9.1640625" style="148"/>
    <col min="6145" max="6145" width="19.5" style="148" customWidth="1"/>
    <col min="6146" max="6146" width="26.33203125" style="148" customWidth="1"/>
    <col min="6147" max="6147" width="21.6640625" style="148" customWidth="1"/>
    <col min="6148" max="6148" width="5.6640625" style="148" customWidth="1"/>
    <col min="6149" max="6149" width="18.33203125" style="148" customWidth="1"/>
    <col min="6150" max="6150" width="17.1640625" style="148" customWidth="1"/>
    <col min="6151" max="6151" width="9.1640625" style="148"/>
    <col min="6152" max="6152" width="17.1640625" style="148" customWidth="1"/>
    <col min="6153" max="6153" width="9.1640625" style="148"/>
    <col min="6154" max="6154" width="17.1640625" style="148" customWidth="1"/>
    <col min="6155" max="6155" width="9.1640625" style="148"/>
    <col min="6156" max="6156" width="17.1640625" style="148" customWidth="1"/>
    <col min="6157" max="6164" width="9.1640625" style="148"/>
    <col min="6165" max="6168" width="0" style="148" hidden="1" customWidth="1"/>
    <col min="6169" max="6400" width="9.1640625" style="148"/>
    <col min="6401" max="6401" width="19.5" style="148" customWidth="1"/>
    <col min="6402" max="6402" width="26.33203125" style="148" customWidth="1"/>
    <col min="6403" max="6403" width="21.6640625" style="148" customWidth="1"/>
    <col min="6404" max="6404" width="5.6640625" style="148" customWidth="1"/>
    <col min="6405" max="6405" width="18.33203125" style="148" customWidth="1"/>
    <col min="6406" max="6406" width="17.1640625" style="148" customWidth="1"/>
    <col min="6407" max="6407" width="9.1640625" style="148"/>
    <col min="6408" max="6408" width="17.1640625" style="148" customWidth="1"/>
    <col min="6409" max="6409" width="9.1640625" style="148"/>
    <col min="6410" max="6410" width="17.1640625" style="148" customWidth="1"/>
    <col min="6411" max="6411" width="9.1640625" style="148"/>
    <col min="6412" max="6412" width="17.1640625" style="148" customWidth="1"/>
    <col min="6413" max="6420" width="9.1640625" style="148"/>
    <col min="6421" max="6424" width="0" style="148" hidden="1" customWidth="1"/>
    <col min="6425" max="6656" width="9.1640625" style="148"/>
    <col min="6657" max="6657" width="19.5" style="148" customWidth="1"/>
    <col min="6658" max="6658" width="26.33203125" style="148" customWidth="1"/>
    <col min="6659" max="6659" width="21.6640625" style="148" customWidth="1"/>
    <col min="6660" max="6660" width="5.6640625" style="148" customWidth="1"/>
    <col min="6661" max="6661" width="18.33203125" style="148" customWidth="1"/>
    <col min="6662" max="6662" width="17.1640625" style="148" customWidth="1"/>
    <col min="6663" max="6663" width="9.1640625" style="148"/>
    <col min="6664" max="6664" width="17.1640625" style="148" customWidth="1"/>
    <col min="6665" max="6665" width="9.1640625" style="148"/>
    <col min="6666" max="6666" width="17.1640625" style="148" customWidth="1"/>
    <col min="6667" max="6667" width="9.1640625" style="148"/>
    <col min="6668" max="6668" width="17.1640625" style="148" customWidth="1"/>
    <col min="6669" max="6676" width="9.1640625" style="148"/>
    <col min="6677" max="6680" width="0" style="148" hidden="1" customWidth="1"/>
    <col min="6681" max="6912" width="9.1640625" style="148"/>
    <col min="6913" max="6913" width="19.5" style="148" customWidth="1"/>
    <col min="6914" max="6914" width="26.33203125" style="148" customWidth="1"/>
    <col min="6915" max="6915" width="21.6640625" style="148" customWidth="1"/>
    <col min="6916" max="6916" width="5.6640625" style="148" customWidth="1"/>
    <col min="6917" max="6917" width="18.33203125" style="148" customWidth="1"/>
    <col min="6918" max="6918" width="17.1640625" style="148" customWidth="1"/>
    <col min="6919" max="6919" width="9.1640625" style="148"/>
    <col min="6920" max="6920" width="17.1640625" style="148" customWidth="1"/>
    <col min="6921" max="6921" width="9.1640625" style="148"/>
    <col min="6922" max="6922" width="17.1640625" style="148" customWidth="1"/>
    <col min="6923" max="6923" width="9.1640625" style="148"/>
    <col min="6924" max="6924" width="17.1640625" style="148" customWidth="1"/>
    <col min="6925" max="6932" width="9.1640625" style="148"/>
    <col min="6933" max="6936" width="0" style="148" hidden="1" customWidth="1"/>
    <col min="6937" max="7168" width="9.1640625" style="148"/>
    <col min="7169" max="7169" width="19.5" style="148" customWidth="1"/>
    <col min="7170" max="7170" width="26.33203125" style="148" customWidth="1"/>
    <col min="7171" max="7171" width="21.6640625" style="148" customWidth="1"/>
    <col min="7172" max="7172" width="5.6640625" style="148" customWidth="1"/>
    <col min="7173" max="7173" width="18.33203125" style="148" customWidth="1"/>
    <col min="7174" max="7174" width="17.1640625" style="148" customWidth="1"/>
    <col min="7175" max="7175" width="9.1640625" style="148"/>
    <col min="7176" max="7176" width="17.1640625" style="148" customWidth="1"/>
    <col min="7177" max="7177" width="9.1640625" style="148"/>
    <col min="7178" max="7178" width="17.1640625" style="148" customWidth="1"/>
    <col min="7179" max="7179" width="9.1640625" style="148"/>
    <col min="7180" max="7180" width="17.1640625" style="148" customWidth="1"/>
    <col min="7181" max="7188" width="9.1640625" style="148"/>
    <col min="7189" max="7192" width="0" style="148" hidden="1" customWidth="1"/>
    <col min="7193" max="7424" width="9.1640625" style="148"/>
    <col min="7425" max="7425" width="19.5" style="148" customWidth="1"/>
    <col min="7426" max="7426" width="26.33203125" style="148" customWidth="1"/>
    <col min="7427" max="7427" width="21.6640625" style="148" customWidth="1"/>
    <col min="7428" max="7428" width="5.6640625" style="148" customWidth="1"/>
    <col min="7429" max="7429" width="18.33203125" style="148" customWidth="1"/>
    <col min="7430" max="7430" width="17.1640625" style="148" customWidth="1"/>
    <col min="7431" max="7431" width="9.1640625" style="148"/>
    <col min="7432" max="7432" width="17.1640625" style="148" customWidth="1"/>
    <col min="7433" max="7433" width="9.1640625" style="148"/>
    <col min="7434" max="7434" width="17.1640625" style="148" customWidth="1"/>
    <col min="7435" max="7435" width="9.1640625" style="148"/>
    <col min="7436" max="7436" width="17.1640625" style="148" customWidth="1"/>
    <col min="7437" max="7444" width="9.1640625" style="148"/>
    <col min="7445" max="7448" width="0" style="148" hidden="1" customWidth="1"/>
    <col min="7449" max="7680" width="9.1640625" style="148"/>
    <col min="7681" max="7681" width="19.5" style="148" customWidth="1"/>
    <col min="7682" max="7682" width="26.33203125" style="148" customWidth="1"/>
    <col min="7683" max="7683" width="21.6640625" style="148" customWidth="1"/>
    <col min="7684" max="7684" width="5.6640625" style="148" customWidth="1"/>
    <col min="7685" max="7685" width="18.33203125" style="148" customWidth="1"/>
    <col min="7686" max="7686" width="17.1640625" style="148" customWidth="1"/>
    <col min="7687" max="7687" width="9.1640625" style="148"/>
    <col min="7688" max="7688" width="17.1640625" style="148" customWidth="1"/>
    <col min="7689" max="7689" width="9.1640625" style="148"/>
    <col min="7690" max="7690" width="17.1640625" style="148" customWidth="1"/>
    <col min="7691" max="7691" width="9.1640625" style="148"/>
    <col min="7692" max="7692" width="17.1640625" style="148" customWidth="1"/>
    <col min="7693" max="7700" width="9.1640625" style="148"/>
    <col min="7701" max="7704" width="0" style="148" hidden="1" customWidth="1"/>
    <col min="7705" max="7936" width="9.1640625" style="148"/>
    <col min="7937" max="7937" width="19.5" style="148" customWidth="1"/>
    <col min="7938" max="7938" width="26.33203125" style="148" customWidth="1"/>
    <col min="7939" max="7939" width="21.6640625" style="148" customWidth="1"/>
    <col min="7940" max="7940" width="5.6640625" style="148" customWidth="1"/>
    <col min="7941" max="7941" width="18.33203125" style="148" customWidth="1"/>
    <col min="7942" max="7942" width="17.1640625" style="148" customWidth="1"/>
    <col min="7943" max="7943" width="9.1640625" style="148"/>
    <col min="7944" max="7944" width="17.1640625" style="148" customWidth="1"/>
    <col min="7945" max="7945" width="9.1640625" style="148"/>
    <col min="7946" max="7946" width="17.1640625" style="148" customWidth="1"/>
    <col min="7947" max="7947" width="9.1640625" style="148"/>
    <col min="7948" max="7948" width="17.1640625" style="148" customWidth="1"/>
    <col min="7949" max="7956" width="9.1640625" style="148"/>
    <col min="7957" max="7960" width="0" style="148" hidden="1" customWidth="1"/>
    <col min="7961" max="8192" width="9.1640625" style="148"/>
    <col min="8193" max="8193" width="19.5" style="148" customWidth="1"/>
    <col min="8194" max="8194" width="26.33203125" style="148" customWidth="1"/>
    <col min="8195" max="8195" width="21.6640625" style="148" customWidth="1"/>
    <col min="8196" max="8196" width="5.6640625" style="148" customWidth="1"/>
    <col min="8197" max="8197" width="18.33203125" style="148" customWidth="1"/>
    <col min="8198" max="8198" width="17.1640625" style="148" customWidth="1"/>
    <col min="8199" max="8199" width="9.1640625" style="148"/>
    <col min="8200" max="8200" width="17.1640625" style="148" customWidth="1"/>
    <col min="8201" max="8201" width="9.1640625" style="148"/>
    <col min="8202" max="8202" width="17.1640625" style="148" customWidth="1"/>
    <col min="8203" max="8203" width="9.1640625" style="148"/>
    <col min="8204" max="8204" width="17.1640625" style="148" customWidth="1"/>
    <col min="8205" max="8212" width="9.1640625" style="148"/>
    <col min="8213" max="8216" width="0" style="148" hidden="1" customWidth="1"/>
    <col min="8217" max="8448" width="9.1640625" style="148"/>
    <col min="8449" max="8449" width="19.5" style="148" customWidth="1"/>
    <col min="8450" max="8450" width="26.33203125" style="148" customWidth="1"/>
    <col min="8451" max="8451" width="21.6640625" style="148" customWidth="1"/>
    <col min="8452" max="8452" width="5.6640625" style="148" customWidth="1"/>
    <col min="8453" max="8453" width="18.33203125" style="148" customWidth="1"/>
    <col min="8454" max="8454" width="17.1640625" style="148" customWidth="1"/>
    <col min="8455" max="8455" width="9.1640625" style="148"/>
    <col min="8456" max="8456" width="17.1640625" style="148" customWidth="1"/>
    <col min="8457" max="8457" width="9.1640625" style="148"/>
    <col min="8458" max="8458" width="17.1640625" style="148" customWidth="1"/>
    <col min="8459" max="8459" width="9.1640625" style="148"/>
    <col min="8460" max="8460" width="17.1640625" style="148" customWidth="1"/>
    <col min="8461" max="8468" width="9.1640625" style="148"/>
    <col min="8469" max="8472" width="0" style="148" hidden="1" customWidth="1"/>
    <col min="8473" max="8704" width="9.1640625" style="148"/>
    <col min="8705" max="8705" width="19.5" style="148" customWidth="1"/>
    <col min="8706" max="8706" width="26.33203125" style="148" customWidth="1"/>
    <col min="8707" max="8707" width="21.6640625" style="148" customWidth="1"/>
    <col min="8708" max="8708" width="5.6640625" style="148" customWidth="1"/>
    <col min="8709" max="8709" width="18.33203125" style="148" customWidth="1"/>
    <col min="8710" max="8710" width="17.1640625" style="148" customWidth="1"/>
    <col min="8711" max="8711" width="9.1640625" style="148"/>
    <col min="8712" max="8712" width="17.1640625" style="148" customWidth="1"/>
    <col min="8713" max="8713" width="9.1640625" style="148"/>
    <col min="8714" max="8714" width="17.1640625" style="148" customWidth="1"/>
    <col min="8715" max="8715" width="9.1640625" style="148"/>
    <col min="8716" max="8716" width="17.1640625" style="148" customWidth="1"/>
    <col min="8717" max="8724" width="9.1640625" style="148"/>
    <col min="8725" max="8728" width="0" style="148" hidden="1" customWidth="1"/>
    <col min="8729" max="8960" width="9.1640625" style="148"/>
    <col min="8961" max="8961" width="19.5" style="148" customWidth="1"/>
    <col min="8962" max="8962" width="26.33203125" style="148" customWidth="1"/>
    <col min="8963" max="8963" width="21.6640625" style="148" customWidth="1"/>
    <col min="8964" max="8964" width="5.6640625" style="148" customWidth="1"/>
    <col min="8965" max="8965" width="18.33203125" style="148" customWidth="1"/>
    <col min="8966" max="8966" width="17.1640625" style="148" customWidth="1"/>
    <col min="8967" max="8967" width="9.1640625" style="148"/>
    <col min="8968" max="8968" width="17.1640625" style="148" customWidth="1"/>
    <col min="8969" max="8969" width="9.1640625" style="148"/>
    <col min="8970" max="8970" width="17.1640625" style="148" customWidth="1"/>
    <col min="8971" max="8971" width="9.1640625" style="148"/>
    <col min="8972" max="8972" width="17.1640625" style="148" customWidth="1"/>
    <col min="8973" max="8980" width="9.1640625" style="148"/>
    <col min="8981" max="8984" width="0" style="148" hidden="1" customWidth="1"/>
    <col min="8985" max="9216" width="9.1640625" style="148"/>
    <col min="9217" max="9217" width="19.5" style="148" customWidth="1"/>
    <col min="9218" max="9218" width="26.33203125" style="148" customWidth="1"/>
    <col min="9219" max="9219" width="21.6640625" style="148" customWidth="1"/>
    <col min="9220" max="9220" width="5.6640625" style="148" customWidth="1"/>
    <col min="9221" max="9221" width="18.33203125" style="148" customWidth="1"/>
    <col min="9222" max="9222" width="17.1640625" style="148" customWidth="1"/>
    <col min="9223" max="9223" width="9.1640625" style="148"/>
    <col min="9224" max="9224" width="17.1640625" style="148" customWidth="1"/>
    <col min="9225" max="9225" width="9.1640625" style="148"/>
    <col min="9226" max="9226" width="17.1640625" style="148" customWidth="1"/>
    <col min="9227" max="9227" width="9.1640625" style="148"/>
    <col min="9228" max="9228" width="17.1640625" style="148" customWidth="1"/>
    <col min="9229" max="9236" width="9.1640625" style="148"/>
    <col min="9237" max="9240" width="0" style="148" hidden="1" customWidth="1"/>
    <col min="9241" max="9472" width="9.1640625" style="148"/>
    <col min="9473" max="9473" width="19.5" style="148" customWidth="1"/>
    <col min="9474" max="9474" width="26.33203125" style="148" customWidth="1"/>
    <col min="9475" max="9475" width="21.6640625" style="148" customWidth="1"/>
    <col min="9476" max="9476" width="5.6640625" style="148" customWidth="1"/>
    <col min="9477" max="9477" width="18.33203125" style="148" customWidth="1"/>
    <col min="9478" max="9478" width="17.1640625" style="148" customWidth="1"/>
    <col min="9479" max="9479" width="9.1640625" style="148"/>
    <col min="9480" max="9480" width="17.1640625" style="148" customWidth="1"/>
    <col min="9481" max="9481" width="9.1640625" style="148"/>
    <col min="9482" max="9482" width="17.1640625" style="148" customWidth="1"/>
    <col min="9483" max="9483" width="9.1640625" style="148"/>
    <col min="9484" max="9484" width="17.1640625" style="148" customWidth="1"/>
    <col min="9485" max="9492" width="9.1640625" style="148"/>
    <col min="9493" max="9496" width="0" style="148" hidden="1" customWidth="1"/>
    <col min="9497" max="9728" width="9.1640625" style="148"/>
    <col min="9729" max="9729" width="19.5" style="148" customWidth="1"/>
    <col min="9730" max="9730" width="26.33203125" style="148" customWidth="1"/>
    <col min="9731" max="9731" width="21.6640625" style="148" customWidth="1"/>
    <col min="9732" max="9732" width="5.6640625" style="148" customWidth="1"/>
    <col min="9733" max="9733" width="18.33203125" style="148" customWidth="1"/>
    <col min="9734" max="9734" width="17.1640625" style="148" customWidth="1"/>
    <col min="9735" max="9735" width="9.1640625" style="148"/>
    <col min="9736" max="9736" width="17.1640625" style="148" customWidth="1"/>
    <col min="9737" max="9737" width="9.1640625" style="148"/>
    <col min="9738" max="9738" width="17.1640625" style="148" customWidth="1"/>
    <col min="9739" max="9739" width="9.1640625" style="148"/>
    <col min="9740" max="9740" width="17.1640625" style="148" customWidth="1"/>
    <col min="9741" max="9748" width="9.1640625" style="148"/>
    <col min="9749" max="9752" width="0" style="148" hidden="1" customWidth="1"/>
    <col min="9753" max="9984" width="9.1640625" style="148"/>
    <col min="9985" max="9985" width="19.5" style="148" customWidth="1"/>
    <col min="9986" max="9986" width="26.33203125" style="148" customWidth="1"/>
    <col min="9987" max="9987" width="21.6640625" style="148" customWidth="1"/>
    <col min="9988" max="9988" width="5.6640625" style="148" customWidth="1"/>
    <col min="9989" max="9989" width="18.33203125" style="148" customWidth="1"/>
    <col min="9990" max="9990" width="17.1640625" style="148" customWidth="1"/>
    <col min="9991" max="9991" width="9.1640625" style="148"/>
    <col min="9992" max="9992" width="17.1640625" style="148" customWidth="1"/>
    <col min="9993" max="9993" width="9.1640625" style="148"/>
    <col min="9994" max="9994" width="17.1640625" style="148" customWidth="1"/>
    <col min="9995" max="9995" width="9.1640625" style="148"/>
    <col min="9996" max="9996" width="17.1640625" style="148" customWidth="1"/>
    <col min="9997" max="10004" width="9.1640625" style="148"/>
    <col min="10005" max="10008" width="0" style="148" hidden="1" customWidth="1"/>
    <col min="10009" max="10240" width="9.1640625" style="148"/>
    <col min="10241" max="10241" width="19.5" style="148" customWidth="1"/>
    <col min="10242" max="10242" width="26.33203125" style="148" customWidth="1"/>
    <col min="10243" max="10243" width="21.6640625" style="148" customWidth="1"/>
    <col min="10244" max="10244" width="5.6640625" style="148" customWidth="1"/>
    <col min="10245" max="10245" width="18.33203125" style="148" customWidth="1"/>
    <col min="10246" max="10246" width="17.1640625" style="148" customWidth="1"/>
    <col min="10247" max="10247" width="9.1640625" style="148"/>
    <col min="10248" max="10248" width="17.1640625" style="148" customWidth="1"/>
    <col min="10249" max="10249" width="9.1640625" style="148"/>
    <col min="10250" max="10250" width="17.1640625" style="148" customWidth="1"/>
    <col min="10251" max="10251" width="9.1640625" style="148"/>
    <col min="10252" max="10252" width="17.1640625" style="148" customWidth="1"/>
    <col min="10253" max="10260" width="9.1640625" style="148"/>
    <col min="10261" max="10264" width="0" style="148" hidden="1" customWidth="1"/>
    <col min="10265" max="10496" width="9.1640625" style="148"/>
    <col min="10497" max="10497" width="19.5" style="148" customWidth="1"/>
    <col min="10498" max="10498" width="26.33203125" style="148" customWidth="1"/>
    <col min="10499" max="10499" width="21.6640625" style="148" customWidth="1"/>
    <col min="10500" max="10500" width="5.6640625" style="148" customWidth="1"/>
    <col min="10501" max="10501" width="18.33203125" style="148" customWidth="1"/>
    <col min="10502" max="10502" width="17.1640625" style="148" customWidth="1"/>
    <col min="10503" max="10503" width="9.1640625" style="148"/>
    <col min="10504" max="10504" width="17.1640625" style="148" customWidth="1"/>
    <col min="10505" max="10505" width="9.1640625" style="148"/>
    <col min="10506" max="10506" width="17.1640625" style="148" customWidth="1"/>
    <col min="10507" max="10507" width="9.1640625" style="148"/>
    <col min="10508" max="10508" width="17.1640625" style="148" customWidth="1"/>
    <col min="10509" max="10516" width="9.1640625" style="148"/>
    <col min="10517" max="10520" width="0" style="148" hidden="1" customWidth="1"/>
    <col min="10521" max="10752" width="9.1640625" style="148"/>
    <col min="10753" max="10753" width="19.5" style="148" customWidth="1"/>
    <col min="10754" max="10754" width="26.33203125" style="148" customWidth="1"/>
    <col min="10755" max="10755" width="21.6640625" style="148" customWidth="1"/>
    <col min="10756" max="10756" width="5.6640625" style="148" customWidth="1"/>
    <col min="10757" max="10757" width="18.33203125" style="148" customWidth="1"/>
    <col min="10758" max="10758" width="17.1640625" style="148" customWidth="1"/>
    <col min="10759" max="10759" width="9.1640625" style="148"/>
    <col min="10760" max="10760" width="17.1640625" style="148" customWidth="1"/>
    <col min="10761" max="10761" width="9.1640625" style="148"/>
    <col min="10762" max="10762" width="17.1640625" style="148" customWidth="1"/>
    <col min="10763" max="10763" width="9.1640625" style="148"/>
    <col min="10764" max="10764" width="17.1640625" style="148" customWidth="1"/>
    <col min="10765" max="10772" width="9.1640625" style="148"/>
    <col min="10773" max="10776" width="0" style="148" hidden="1" customWidth="1"/>
    <col min="10777" max="11008" width="9.1640625" style="148"/>
    <col min="11009" max="11009" width="19.5" style="148" customWidth="1"/>
    <col min="11010" max="11010" width="26.33203125" style="148" customWidth="1"/>
    <col min="11011" max="11011" width="21.6640625" style="148" customWidth="1"/>
    <col min="11012" max="11012" width="5.6640625" style="148" customWidth="1"/>
    <col min="11013" max="11013" width="18.33203125" style="148" customWidth="1"/>
    <col min="11014" max="11014" width="17.1640625" style="148" customWidth="1"/>
    <col min="11015" max="11015" width="9.1640625" style="148"/>
    <col min="11016" max="11016" width="17.1640625" style="148" customWidth="1"/>
    <col min="11017" max="11017" width="9.1640625" style="148"/>
    <col min="11018" max="11018" width="17.1640625" style="148" customWidth="1"/>
    <col min="11019" max="11019" width="9.1640625" style="148"/>
    <col min="11020" max="11020" width="17.1640625" style="148" customWidth="1"/>
    <col min="11021" max="11028" width="9.1640625" style="148"/>
    <col min="11029" max="11032" width="0" style="148" hidden="1" customWidth="1"/>
    <col min="11033" max="11264" width="9.1640625" style="148"/>
    <col min="11265" max="11265" width="19.5" style="148" customWidth="1"/>
    <col min="11266" max="11266" width="26.33203125" style="148" customWidth="1"/>
    <col min="11267" max="11267" width="21.6640625" style="148" customWidth="1"/>
    <col min="11268" max="11268" width="5.6640625" style="148" customWidth="1"/>
    <col min="11269" max="11269" width="18.33203125" style="148" customWidth="1"/>
    <col min="11270" max="11270" width="17.1640625" style="148" customWidth="1"/>
    <col min="11271" max="11271" width="9.1640625" style="148"/>
    <col min="11272" max="11272" width="17.1640625" style="148" customWidth="1"/>
    <col min="11273" max="11273" width="9.1640625" style="148"/>
    <col min="11274" max="11274" width="17.1640625" style="148" customWidth="1"/>
    <col min="11275" max="11275" width="9.1640625" style="148"/>
    <col min="11276" max="11276" width="17.1640625" style="148" customWidth="1"/>
    <col min="11277" max="11284" width="9.1640625" style="148"/>
    <col min="11285" max="11288" width="0" style="148" hidden="1" customWidth="1"/>
    <col min="11289" max="11520" width="9.1640625" style="148"/>
    <col min="11521" max="11521" width="19.5" style="148" customWidth="1"/>
    <col min="11522" max="11522" width="26.33203125" style="148" customWidth="1"/>
    <col min="11523" max="11523" width="21.6640625" style="148" customWidth="1"/>
    <col min="11524" max="11524" width="5.6640625" style="148" customWidth="1"/>
    <col min="11525" max="11525" width="18.33203125" style="148" customWidth="1"/>
    <col min="11526" max="11526" width="17.1640625" style="148" customWidth="1"/>
    <col min="11527" max="11527" width="9.1640625" style="148"/>
    <col min="11528" max="11528" width="17.1640625" style="148" customWidth="1"/>
    <col min="11529" max="11529" width="9.1640625" style="148"/>
    <col min="11530" max="11530" width="17.1640625" style="148" customWidth="1"/>
    <col min="11531" max="11531" width="9.1640625" style="148"/>
    <col min="11532" max="11532" width="17.1640625" style="148" customWidth="1"/>
    <col min="11533" max="11540" width="9.1640625" style="148"/>
    <col min="11541" max="11544" width="0" style="148" hidden="1" customWidth="1"/>
    <col min="11545" max="11776" width="9.1640625" style="148"/>
    <col min="11777" max="11777" width="19.5" style="148" customWidth="1"/>
    <col min="11778" max="11778" width="26.33203125" style="148" customWidth="1"/>
    <col min="11779" max="11779" width="21.6640625" style="148" customWidth="1"/>
    <col min="11780" max="11780" width="5.6640625" style="148" customWidth="1"/>
    <col min="11781" max="11781" width="18.33203125" style="148" customWidth="1"/>
    <col min="11782" max="11782" width="17.1640625" style="148" customWidth="1"/>
    <col min="11783" max="11783" width="9.1640625" style="148"/>
    <col min="11784" max="11784" width="17.1640625" style="148" customWidth="1"/>
    <col min="11785" max="11785" width="9.1640625" style="148"/>
    <col min="11786" max="11786" width="17.1640625" style="148" customWidth="1"/>
    <col min="11787" max="11787" width="9.1640625" style="148"/>
    <col min="11788" max="11788" width="17.1640625" style="148" customWidth="1"/>
    <col min="11789" max="11796" width="9.1640625" style="148"/>
    <col min="11797" max="11800" width="0" style="148" hidden="1" customWidth="1"/>
    <col min="11801" max="12032" width="9.1640625" style="148"/>
    <col min="12033" max="12033" width="19.5" style="148" customWidth="1"/>
    <col min="12034" max="12034" width="26.33203125" style="148" customWidth="1"/>
    <col min="12035" max="12035" width="21.6640625" style="148" customWidth="1"/>
    <col min="12036" max="12036" width="5.6640625" style="148" customWidth="1"/>
    <col min="12037" max="12037" width="18.33203125" style="148" customWidth="1"/>
    <col min="12038" max="12038" width="17.1640625" style="148" customWidth="1"/>
    <col min="12039" max="12039" width="9.1640625" style="148"/>
    <col min="12040" max="12040" width="17.1640625" style="148" customWidth="1"/>
    <col min="12041" max="12041" width="9.1640625" style="148"/>
    <col min="12042" max="12042" width="17.1640625" style="148" customWidth="1"/>
    <col min="12043" max="12043" width="9.1640625" style="148"/>
    <col min="12044" max="12044" width="17.1640625" style="148" customWidth="1"/>
    <col min="12045" max="12052" width="9.1640625" style="148"/>
    <col min="12053" max="12056" width="0" style="148" hidden="1" customWidth="1"/>
    <col min="12057" max="12288" width="9.1640625" style="148"/>
    <col min="12289" max="12289" width="19.5" style="148" customWidth="1"/>
    <col min="12290" max="12290" width="26.33203125" style="148" customWidth="1"/>
    <col min="12291" max="12291" width="21.6640625" style="148" customWidth="1"/>
    <col min="12292" max="12292" width="5.6640625" style="148" customWidth="1"/>
    <col min="12293" max="12293" width="18.33203125" style="148" customWidth="1"/>
    <col min="12294" max="12294" width="17.1640625" style="148" customWidth="1"/>
    <col min="12295" max="12295" width="9.1640625" style="148"/>
    <col min="12296" max="12296" width="17.1640625" style="148" customWidth="1"/>
    <col min="12297" max="12297" width="9.1640625" style="148"/>
    <col min="12298" max="12298" width="17.1640625" style="148" customWidth="1"/>
    <col min="12299" max="12299" width="9.1640625" style="148"/>
    <col min="12300" max="12300" width="17.1640625" style="148" customWidth="1"/>
    <col min="12301" max="12308" width="9.1640625" style="148"/>
    <col min="12309" max="12312" width="0" style="148" hidden="1" customWidth="1"/>
    <col min="12313" max="12544" width="9.1640625" style="148"/>
    <col min="12545" max="12545" width="19.5" style="148" customWidth="1"/>
    <col min="12546" max="12546" width="26.33203125" style="148" customWidth="1"/>
    <col min="12547" max="12547" width="21.6640625" style="148" customWidth="1"/>
    <col min="12548" max="12548" width="5.6640625" style="148" customWidth="1"/>
    <col min="12549" max="12549" width="18.33203125" style="148" customWidth="1"/>
    <col min="12550" max="12550" width="17.1640625" style="148" customWidth="1"/>
    <col min="12551" max="12551" width="9.1640625" style="148"/>
    <col min="12552" max="12552" width="17.1640625" style="148" customWidth="1"/>
    <col min="12553" max="12553" width="9.1640625" style="148"/>
    <col min="12554" max="12554" width="17.1640625" style="148" customWidth="1"/>
    <col min="12555" max="12555" width="9.1640625" style="148"/>
    <col min="12556" max="12556" width="17.1640625" style="148" customWidth="1"/>
    <col min="12557" max="12564" width="9.1640625" style="148"/>
    <col min="12565" max="12568" width="0" style="148" hidden="1" customWidth="1"/>
    <col min="12569" max="12800" width="9.1640625" style="148"/>
    <col min="12801" max="12801" width="19.5" style="148" customWidth="1"/>
    <col min="12802" max="12802" width="26.33203125" style="148" customWidth="1"/>
    <col min="12803" max="12803" width="21.6640625" style="148" customWidth="1"/>
    <col min="12804" max="12804" width="5.6640625" style="148" customWidth="1"/>
    <col min="12805" max="12805" width="18.33203125" style="148" customWidth="1"/>
    <col min="12806" max="12806" width="17.1640625" style="148" customWidth="1"/>
    <col min="12807" max="12807" width="9.1640625" style="148"/>
    <col min="12808" max="12808" width="17.1640625" style="148" customWidth="1"/>
    <col min="12809" max="12809" width="9.1640625" style="148"/>
    <col min="12810" max="12810" width="17.1640625" style="148" customWidth="1"/>
    <col min="12811" max="12811" width="9.1640625" style="148"/>
    <col min="12812" max="12812" width="17.1640625" style="148" customWidth="1"/>
    <col min="12813" max="12820" width="9.1640625" style="148"/>
    <col min="12821" max="12824" width="0" style="148" hidden="1" customWidth="1"/>
    <col min="12825" max="13056" width="9.1640625" style="148"/>
    <col min="13057" max="13057" width="19.5" style="148" customWidth="1"/>
    <col min="13058" max="13058" width="26.33203125" style="148" customWidth="1"/>
    <col min="13059" max="13059" width="21.6640625" style="148" customWidth="1"/>
    <col min="13060" max="13060" width="5.6640625" style="148" customWidth="1"/>
    <col min="13061" max="13061" width="18.33203125" style="148" customWidth="1"/>
    <col min="13062" max="13062" width="17.1640625" style="148" customWidth="1"/>
    <col min="13063" max="13063" width="9.1640625" style="148"/>
    <col min="13064" max="13064" width="17.1640625" style="148" customWidth="1"/>
    <col min="13065" max="13065" width="9.1640625" style="148"/>
    <col min="13066" max="13066" width="17.1640625" style="148" customWidth="1"/>
    <col min="13067" max="13067" width="9.1640625" style="148"/>
    <col min="13068" max="13068" width="17.1640625" style="148" customWidth="1"/>
    <col min="13069" max="13076" width="9.1640625" style="148"/>
    <col min="13077" max="13080" width="0" style="148" hidden="1" customWidth="1"/>
    <col min="13081" max="13312" width="9.1640625" style="148"/>
    <col min="13313" max="13313" width="19.5" style="148" customWidth="1"/>
    <col min="13314" max="13314" width="26.33203125" style="148" customWidth="1"/>
    <col min="13315" max="13315" width="21.6640625" style="148" customWidth="1"/>
    <col min="13316" max="13316" width="5.6640625" style="148" customWidth="1"/>
    <col min="13317" max="13317" width="18.33203125" style="148" customWidth="1"/>
    <col min="13318" max="13318" width="17.1640625" style="148" customWidth="1"/>
    <col min="13319" max="13319" width="9.1640625" style="148"/>
    <col min="13320" max="13320" width="17.1640625" style="148" customWidth="1"/>
    <col min="13321" max="13321" width="9.1640625" style="148"/>
    <col min="13322" max="13322" width="17.1640625" style="148" customWidth="1"/>
    <col min="13323" max="13323" width="9.1640625" style="148"/>
    <col min="13324" max="13324" width="17.1640625" style="148" customWidth="1"/>
    <col min="13325" max="13332" width="9.1640625" style="148"/>
    <col min="13333" max="13336" width="0" style="148" hidden="1" customWidth="1"/>
    <col min="13337" max="13568" width="9.1640625" style="148"/>
    <col min="13569" max="13569" width="19.5" style="148" customWidth="1"/>
    <col min="13570" max="13570" width="26.33203125" style="148" customWidth="1"/>
    <col min="13571" max="13571" width="21.6640625" style="148" customWidth="1"/>
    <col min="13572" max="13572" width="5.6640625" style="148" customWidth="1"/>
    <col min="13573" max="13573" width="18.33203125" style="148" customWidth="1"/>
    <col min="13574" max="13574" width="17.1640625" style="148" customWidth="1"/>
    <col min="13575" max="13575" width="9.1640625" style="148"/>
    <col min="13576" max="13576" width="17.1640625" style="148" customWidth="1"/>
    <col min="13577" max="13577" width="9.1640625" style="148"/>
    <col min="13578" max="13578" width="17.1640625" style="148" customWidth="1"/>
    <col min="13579" max="13579" width="9.1640625" style="148"/>
    <col min="13580" max="13580" width="17.1640625" style="148" customWidth="1"/>
    <col min="13581" max="13588" width="9.1640625" style="148"/>
    <col min="13589" max="13592" width="0" style="148" hidden="1" customWidth="1"/>
    <col min="13593" max="13824" width="9.1640625" style="148"/>
    <col min="13825" max="13825" width="19.5" style="148" customWidth="1"/>
    <col min="13826" max="13826" width="26.33203125" style="148" customWidth="1"/>
    <col min="13827" max="13827" width="21.6640625" style="148" customWidth="1"/>
    <col min="13828" max="13828" width="5.6640625" style="148" customWidth="1"/>
    <col min="13829" max="13829" width="18.33203125" style="148" customWidth="1"/>
    <col min="13830" max="13830" width="17.1640625" style="148" customWidth="1"/>
    <col min="13831" max="13831" width="9.1640625" style="148"/>
    <col min="13832" max="13832" width="17.1640625" style="148" customWidth="1"/>
    <col min="13833" max="13833" width="9.1640625" style="148"/>
    <col min="13834" max="13834" width="17.1640625" style="148" customWidth="1"/>
    <col min="13835" max="13835" width="9.1640625" style="148"/>
    <col min="13836" max="13836" width="17.1640625" style="148" customWidth="1"/>
    <col min="13837" max="13844" width="9.1640625" style="148"/>
    <col min="13845" max="13848" width="0" style="148" hidden="1" customWidth="1"/>
    <col min="13849" max="14080" width="9.1640625" style="148"/>
    <col min="14081" max="14081" width="19.5" style="148" customWidth="1"/>
    <col min="14082" max="14082" width="26.33203125" style="148" customWidth="1"/>
    <col min="14083" max="14083" width="21.6640625" style="148" customWidth="1"/>
    <col min="14084" max="14084" width="5.6640625" style="148" customWidth="1"/>
    <col min="14085" max="14085" width="18.33203125" style="148" customWidth="1"/>
    <col min="14086" max="14086" width="17.1640625" style="148" customWidth="1"/>
    <col min="14087" max="14087" width="9.1640625" style="148"/>
    <col min="14088" max="14088" width="17.1640625" style="148" customWidth="1"/>
    <col min="14089" max="14089" width="9.1640625" style="148"/>
    <col min="14090" max="14090" width="17.1640625" style="148" customWidth="1"/>
    <col min="14091" max="14091" width="9.1640625" style="148"/>
    <col min="14092" max="14092" width="17.1640625" style="148" customWidth="1"/>
    <col min="14093" max="14100" width="9.1640625" style="148"/>
    <col min="14101" max="14104" width="0" style="148" hidden="1" customWidth="1"/>
    <col min="14105" max="14336" width="9.1640625" style="148"/>
    <col min="14337" max="14337" width="19.5" style="148" customWidth="1"/>
    <col min="14338" max="14338" width="26.33203125" style="148" customWidth="1"/>
    <col min="14339" max="14339" width="21.6640625" style="148" customWidth="1"/>
    <col min="14340" max="14340" width="5.6640625" style="148" customWidth="1"/>
    <col min="14341" max="14341" width="18.33203125" style="148" customWidth="1"/>
    <col min="14342" max="14342" width="17.1640625" style="148" customWidth="1"/>
    <col min="14343" max="14343" width="9.1640625" style="148"/>
    <col min="14344" max="14344" width="17.1640625" style="148" customWidth="1"/>
    <col min="14345" max="14345" width="9.1640625" style="148"/>
    <col min="14346" max="14346" width="17.1640625" style="148" customWidth="1"/>
    <col min="14347" max="14347" width="9.1640625" style="148"/>
    <col min="14348" max="14348" width="17.1640625" style="148" customWidth="1"/>
    <col min="14349" max="14356" width="9.1640625" style="148"/>
    <col min="14357" max="14360" width="0" style="148" hidden="1" customWidth="1"/>
    <col min="14361" max="14592" width="9.1640625" style="148"/>
    <col min="14593" max="14593" width="19.5" style="148" customWidth="1"/>
    <col min="14594" max="14594" width="26.33203125" style="148" customWidth="1"/>
    <col min="14595" max="14595" width="21.6640625" style="148" customWidth="1"/>
    <col min="14596" max="14596" width="5.6640625" style="148" customWidth="1"/>
    <col min="14597" max="14597" width="18.33203125" style="148" customWidth="1"/>
    <col min="14598" max="14598" width="17.1640625" style="148" customWidth="1"/>
    <col min="14599" max="14599" width="9.1640625" style="148"/>
    <col min="14600" max="14600" width="17.1640625" style="148" customWidth="1"/>
    <col min="14601" max="14601" width="9.1640625" style="148"/>
    <col min="14602" max="14602" width="17.1640625" style="148" customWidth="1"/>
    <col min="14603" max="14603" width="9.1640625" style="148"/>
    <col min="14604" max="14604" width="17.1640625" style="148" customWidth="1"/>
    <col min="14605" max="14612" width="9.1640625" style="148"/>
    <col min="14613" max="14616" width="0" style="148" hidden="1" customWidth="1"/>
    <col min="14617" max="14848" width="9.1640625" style="148"/>
    <col min="14849" max="14849" width="19.5" style="148" customWidth="1"/>
    <col min="14850" max="14850" width="26.33203125" style="148" customWidth="1"/>
    <col min="14851" max="14851" width="21.6640625" style="148" customWidth="1"/>
    <col min="14852" max="14852" width="5.6640625" style="148" customWidth="1"/>
    <col min="14853" max="14853" width="18.33203125" style="148" customWidth="1"/>
    <col min="14854" max="14854" width="17.1640625" style="148" customWidth="1"/>
    <col min="14855" max="14855" width="9.1640625" style="148"/>
    <col min="14856" max="14856" width="17.1640625" style="148" customWidth="1"/>
    <col min="14857" max="14857" width="9.1640625" style="148"/>
    <col min="14858" max="14858" width="17.1640625" style="148" customWidth="1"/>
    <col min="14859" max="14859" width="9.1640625" style="148"/>
    <col min="14860" max="14860" width="17.1640625" style="148" customWidth="1"/>
    <col min="14861" max="14868" width="9.1640625" style="148"/>
    <col min="14869" max="14872" width="0" style="148" hidden="1" customWidth="1"/>
    <col min="14873" max="15104" width="9.1640625" style="148"/>
    <col min="15105" max="15105" width="19.5" style="148" customWidth="1"/>
    <col min="15106" max="15106" width="26.33203125" style="148" customWidth="1"/>
    <col min="15107" max="15107" width="21.6640625" style="148" customWidth="1"/>
    <col min="15108" max="15108" width="5.6640625" style="148" customWidth="1"/>
    <col min="15109" max="15109" width="18.33203125" style="148" customWidth="1"/>
    <col min="15110" max="15110" width="17.1640625" style="148" customWidth="1"/>
    <col min="15111" max="15111" width="9.1640625" style="148"/>
    <col min="15112" max="15112" width="17.1640625" style="148" customWidth="1"/>
    <col min="15113" max="15113" width="9.1640625" style="148"/>
    <col min="15114" max="15114" width="17.1640625" style="148" customWidth="1"/>
    <col min="15115" max="15115" width="9.1640625" style="148"/>
    <col min="15116" max="15116" width="17.1640625" style="148" customWidth="1"/>
    <col min="15117" max="15124" width="9.1640625" style="148"/>
    <col min="15125" max="15128" width="0" style="148" hidden="1" customWidth="1"/>
    <col min="15129" max="15360" width="9.1640625" style="148"/>
    <col min="15361" max="15361" width="19.5" style="148" customWidth="1"/>
    <col min="15362" max="15362" width="26.33203125" style="148" customWidth="1"/>
    <col min="15363" max="15363" width="21.6640625" style="148" customWidth="1"/>
    <col min="15364" max="15364" width="5.6640625" style="148" customWidth="1"/>
    <col min="15365" max="15365" width="18.33203125" style="148" customWidth="1"/>
    <col min="15366" max="15366" width="17.1640625" style="148" customWidth="1"/>
    <col min="15367" max="15367" width="9.1640625" style="148"/>
    <col min="15368" max="15368" width="17.1640625" style="148" customWidth="1"/>
    <col min="15369" max="15369" width="9.1640625" style="148"/>
    <col min="15370" max="15370" width="17.1640625" style="148" customWidth="1"/>
    <col min="15371" max="15371" width="9.1640625" style="148"/>
    <col min="15372" max="15372" width="17.1640625" style="148" customWidth="1"/>
    <col min="15373" max="15380" width="9.1640625" style="148"/>
    <col min="15381" max="15384" width="0" style="148" hidden="1" customWidth="1"/>
    <col min="15385" max="15616" width="9.1640625" style="148"/>
    <col min="15617" max="15617" width="19.5" style="148" customWidth="1"/>
    <col min="15618" max="15618" width="26.33203125" style="148" customWidth="1"/>
    <col min="15619" max="15619" width="21.6640625" style="148" customWidth="1"/>
    <col min="15620" max="15620" width="5.6640625" style="148" customWidth="1"/>
    <col min="15621" max="15621" width="18.33203125" style="148" customWidth="1"/>
    <col min="15622" max="15622" width="17.1640625" style="148" customWidth="1"/>
    <col min="15623" max="15623" width="9.1640625" style="148"/>
    <col min="15624" max="15624" width="17.1640625" style="148" customWidth="1"/>
    <col min="15625" max="15625" width="9.1640625" style="148"/>
    <col min="15626" max="15626" width="17.1640625" style="148" customWidth="1"/>
    <col min="15627" max="15627" width="9.1640625" style="148"/>
    <col min="15628" max="15628" width="17.1640625" style="148" customWidth="1"/>
    <col min="15629" max="15636" width="9.1640625" style="148"/>
    <col min="15637" max="15640" width="0" style="148" hidden="1" customWidth="1"/>
    <col min="15641" max="15872" width="9.1640625" style="148"/>
    <col min="15873" max="15873" width="19.5" style="148" customWidth="1"/>
    <col min="15874" max="15874" width="26.33203125" style="148" customWidth="1"/>
    <col min="15875" max="15875" width="21.6640625" style="148" customWidth="1"/>
    <col min="15876" max="15876" width="5.6640625" style="148" customWidth="1"/>
    <col min="15877" max="15877" width="18.33203125" style="148" customWidth="1"/>
    <col min="15878" max="15878" width="17.1640625" style="148" customWidth="1"/>
    <col min="15879" max="15879" width="9.1640625" style="148"/>
    <col min="15880" max="15880" width="17.1640625" style="148" customWidth="1"/>
    <col min="15881" max="15881" width="9.1640625" style="148"/>
    <col min="15882" max="15882" width="17.1640625" style="148" customWidth="1"/>
    <col min="15883" max="15883" width="9.1640625" style="148"/>
    <col min="15884" max="15884" width="17.1640625" style="148" customWidth="1"/>
    <col min="15885" max="15892" width="9.1640625" style="148"/>
    <col min="15893" max="15896" width="0" style="148" hidden="1" customWidth="1"/>
    <col min="15897" max="16128" width="9.1640625" style="148"/>
    <col min="16129" max="16129" width="19.5" style="148" customWidth="1"/>
    <col min="16130" max="16130" width="26.33203125" style="148" customWidth="1"/>
    <col min="16131" max="16131" width="21.6640625" style="148" customWidth="1"/>
    <col min="16132" max="16132" width="5.6640625" style="148" customWidth="1"/>
    <col min="16133" max="16133" width="18.33203125" style="148" customWidth="1"/>
    <col min="16134" max="16134" width="17.1640625" style="148" customWidth="1"/>
    <col min="16135" max="16135" width="9.1640625" style="148"/>
    <col min="16136" max="16136" width="17.1640625" style="148" customWidth="1"/>
    <col min="16137" max="16137" width="9.1640625" style="148"/>
    <col min="16138" max="16138" width="17.1640625" style="148" customWidth="1"/>
    <col min="16139" max="16139" width="9.1640625" style="148"/>
    <col min="16140" max="16140" width="17.1640625" style="148" customWidth="1"/>
    <col min="16141" max="16148" width="9.1640625" style="148"/>
    <col min="16149" max="16152" width="0" style="148" hidden="1" customWidth="1"/>
    <col min="16153" max="16384" width="9.1640625" style="148"/>
  </cols>
  <sheetData>
    <row r="1" spans="1:24" ht="12.75" customHeight="1" x14ac:dyDescent="0.15">
      <c r="A1" s="148" t="s">
        <v>373</v>
      </c>
    </row>
    <row r="2" spans="1:24" ht="12.75" customHeight="1" x14ac:dyDescent="0.15">
      <c r="A2" s="426" t="s">
        <v>1066</v>
      </c>
      <c r="B2" s="426" t="s">
        <v>2004</v>
      </c>
      <c r="C2" s="426" t="s">
        <v>1092</v>
      </c>
      <c r="D2" s="426" t="s">
        <v>1063</v>
      </c>
      <c r="E2" s="426" t="s">
        <v>2349</v>
      </c>
      <c r="F2" s="426" t="s">
        <v>2760</v>
      </c>
      <c r="G2" s="426" t="s">
        <v>2859</v>
      </c>
      <c r="H2" s="426" t="s">
        <v>368</v>
      </c>
      <c r="I2" s="426" t="s">
        <v>2859</v>
      </c>
      <c r="J2" s="426" t="s">
        <v>2289</v>
      </c>
      <c r="K2" s="426" t="s">
        <v>2859</v>
      </c>
      <c r="L2" s="426" t="s">
        <v>1719</v>
      </c>
      <c r="M2" s="426" t="s">
        <v>2859</v>
      </c>
      <c r="U2" s="148" t="s">
        <v>727</v>
      </c>
    </row>
    <row r="3" spans="1:24" ht="12.75" customHeight="1" x14ac:dyDescent="0.15">
      <c r="A3" s="426" t="s">
        <v>2859</v>
      </c>
      <c r="B3" s="426" t="s">
        <v>2859</v>
      </c>
      <c r="C3" s="426" t="s">
        <v>2859</v>
      </c>
      <c r="D3" s="426" t="s">
        <v>2859</v>
      </c>
      <c r="E3" s="426" t="s">
        <v>2859</v>
      </c>
      <c r="F3" s="149" t="s">
        <v>1530</v>
      </c>
      <c r="G3" s="149" t="s">
        <v>2548</v>
      </c>
      <c r="H3" s="149" t="s">
        <v>1530</v>
      </c>
      <c r="I3" s="149" t="s">
        <v>2548</v>
      </c>
      <c r="J3" s="149" t="s">
        <v>1530</v>
      </c>
      <c r="K3" s="149" t="s">
        <v>2548</v>
      </c>
      <c r="L3" s="149" t="s">
        <v>1530</v>
      </c>
      <c r="M3" s="149" t="s">
        <v>2548</v>
      </c>
      <c r="U3" s="148" t="s">
        <v>803</v>
      </c>
    </row>
    <row r="4" spans="1:24" ht="12.75" customHeight="1" x14ac:dyDescent="0.15">
      <c r="A4" s="150" t="s">
        <v>3015</v>
      </c>
      <c r="B4" s="150" t="s">
        <v>1000</v>
      </c>
      <c r="C4" s="150" t="s">
        <v>3014</v>
      </c>
      <c r="D4" s="150" t="s">
        <v>2090</v>
      </c>
      <c r="E4" s="151">
        <v>312000</v>
      </c>
      <c r="F4" s="151">
        <v>312000</v>
      </c>
      <c r="G4" s="150" t="s">
        <v>3181</v>
      </c>
      <c r="H4" s="150"/>
      <c r="I4" s="150" t="s">
        <v>2859</v>
      </c>
      <c r="J4" s="150"/>
      <c r="K4" s="150" t="s">
        <v>1333</v>
      </c>
      <c r="L4" s="150"/>
      <c r="M4" s="150" t="s">
        <v>2859</v>
      </c>
      <c r="U4" s="148" t="s">
        <v>803</v>
      </c>
      <c r="V4" s="148" t="s">
        <v>2859</v>
      </c>
      <c r="W4" s="148" t="s">
        <v>1726</v>
      </c>
      <c r="X4" s="148" t="s">
        <v>2859</v>
      </c>
    </row>
    <row r="5" spans="1:24" ht="12.75" customHeight="1" x14ac:dyDescent="0.15">
      <c r="A5" s="150" t="s">
        <v>3011</v>
      </c>
      <c r="B5" s="150" t="s">
        <v>2719</v>
      </c>
      <c r="C5" s="150" t="s">
        <v>3010</v>
      </c>
      <c r="D5" s="150" t="s">
        <v>1086</v>
      </c>
      <c r="E5" s="151">
        <v>19780</v>
      </c>
      <c r="F5" s="151">
        <v>19780</v>
      </c>
      <c r="G5" s="150" t="s">
        <v>3182</v>
      </c>
      <c r="H5" s="150"/>
      <c r="I5" s="150" t="s">
        <v>2859</v>
      </c>
      <c r="J5" s="150"/>
      <c r="K5" s="150" t="s">
        <v>2859</v>
      </c>
      <c r="L5" s="150"/>
      <c r="M5" s="150" t="s">
        <v>2859</v>
      </c>
      <c r="V5" s="148" t="s">
        <v>2859</v>
      </c>
      <c r="W5" s="148" t="s">
        <v>1466</v>
      </c>
      <c r="X5" s="148" t="s">
        <v>2859</v>
      </c>
    </row>
    <row r="6" spans="1:24" ht="12.75" customHeight="1" x14ac:dyDescent="0.15">
      <c r="A6" s="150" t="s">
        <v>3019</v>
      </c>
      <c r="B6" s="150" t="s">
        <v>765</v>
      </c>
      <c r="C6" s="150" t="s">
        <v>3018</v>
      </c>
      <c r="D6" s="150" t="s">
        <v>3173</v>
      </c>
      <c r="E6" s="151">
        <v>24000</v>
      </c>
      <c r="F6" s="150"/>
      <c r="G6" s="150" t="s">
        <v>2859</v>
      </c>
      <c r="H6" s="150"/>
      <c r="I6" s="150" t="s">
        <v>2859</v>
      </c>
      <c r="J6" s="151">
        <v>24000</v>
      </c>
      <c r="K6" s="150" t="s">
        <v>3183</v>
      </c>
      <c r="L6" s="150"/>
      <c r="M6" s="150" t="s">
        <v>2859</v>
      </c>
      <c r="V6" s="148" t="s">
        <v>2859</v>
      </c>
      <c r="W6" s="148" t="s">
        <v>2859</v>
      </c>
      <c r="X6" s="148" t="s">
        <v>2859</v>
      </c>
    </row>
    <row r="7" spans="1:24" ht="12.75" customHeight="1" x14ac:dyDescent="0.15">
      <c r="A7" s="150" t="s">
        <v>3024</v>
      </c>
      <c r="B7" s="150" t="s">
        <v>3175</v>
      </c>
      <c r="C7" s="150" t="s">
        <v>3023</v>
      </c>
      <c r="D7" s="150" t="s">
        <v>1188</v>
      </c>
      <c r="E7" s="151">
        <v>22500</v>
      </c>
      <c r="F7" s="150"/>
      <c r="G7" s="150" t="s">
        <v>2859</v>
      </c>
      <c r="H7" s="151">
        <v>22500</v>
      </c>
      <c r="I7" s="150" t="s">
        <v>3184</v>
      </c>
      <c r="J7" s="150"/>
      <c r="K7" s="150" t="s">
        <v>2859</v>
      </c>
      <c r="L7" s="150"/>
      <c r="M7" s="150" t="s">
        <v>2859</v>
      </c>
      <c r="V7" s="148" t="s">
        <v>2859</v>
      </c>
      <c r="W7" s="148" t="s">
        <v>2859</v>
      </c>
      <c r="X7" s="148" t="s">
        <v>2859</v>
      </c>
    </row>
    <row r="8" spans="1:24" ht="12.75" customHeight="1" x14ac:dyDescent="0.15">
      <c r="A8" s="150" t="s">
        <v>3180</v>
      </c>
      <c r="B8" s="150" t="s">
        <v>3177</v>
      </c>
      <c r="C8" s="150" t="s">
        <v>3178</v>
      </c>
      <c r="D8" s="150" t="s">
        <v>3179</v>
      </c>
      <c r="E8" s="151">
        <v>60000</v>
      </c>
      <c r="F8" s="150"/>
      <c r="G8" s="150" t="s">
        <v>2859</v>
      </c>
      <c r="H8" s="151">
        <v>60000</v>
      </c>
      <c r="I8" s="150" t="s">
        <v>3184</v>
      </c>
      <c r="J8" s="150"/>
      <c r="K8" s="150" t="s">
        <v>2859</v>
      </c>
      <c r="L8" s="150"/>
      <c r="M8" s="150" t="s">
        <v>2859</v>
      </c>
      <c r="V8" s="148" t="s">
        <v>2859</v>
      </c>
      <c r="W8" s="148" t="s">
        <v>2859</v>
      </c>
      <c r="X8" s="148" t="s">
        <v>2859</v>
      </c>
    </row>
    <row r="9" spans="1:24" ht="12.75" customHeight="1" x14ac:dyDescent="0.15">
      <c r="A9" s="152"/>
      <c r="B9" s="152" t="s">
        <v>3215</v>
      </c>
      <c r="C9" s="152" t="s">
        <v>3216</v>
      </c>
      <c r="D9" s="152" t="s">
        <v>3206</v>
      </c>
      <c r="E9" s="153">
        <f>MIN(F9,H9,J9,L9)</f>
        <v>42000</v>
      </c>
      <c r="F9" s="153">
        <v>42000</v>
      </c>
      <c r="G9" s="152" t="s">
        <v>3209</v>
      </c>
      <c r="H9" s="152"/>
      <c r="I9" s="152"/>
      <c r="J9" s="153"/>
      <c r="K9" s="152"/>
      <c r="L9" s="152"/>
      <c r="M9" s="152"/>
    </row>
    <row r="10" spans="1:24" ht="12.75" customHeight="1" x14ac:dyDescent="0.15">
      <c r="A10" s="152"/>
      <c r="B10" s="154" t="s">
        <v>3219</v>
      </c>
      <c r="C10" s="154" t="s">
        <v>3220</v>
      </c>
      <c r="D10" s="155" t="s">
        <v>1678</v>
      </c>
      <c r="E10" s="153">
        <f t="shared" ref="E10:E15" si="0">MIN(F10,H10,J10,L10)</f>
        <v>5250</v>
      </c>
      <c r="F10" s="153">
        <v>5250</v>
      </c>
      <c r="G10" s="152" t="s">
        <v>3230</v>
      </c>
      <c r="H10" s="152"/>
      <c r="I10" s="152"/>
      <c r="J10" s="152"/>
      <c r="K10" s="152"/>
      <c r="L10" s="152"/>
      <c r="M10" s="152"/>
    </row>
    <row r="11" spans="1:24" ht="12.75" customHeight="1" x14ac:dyDescent="0.15">
      <c r="A11" s="152"/>
      <c r="B11" s="154" t="s">
        <v>3217</v>
      </c>
      <c r="C11" s="154" t="s">
        <v>3221</v>
      </c>
      <c r="D11" s="155" t="s">
        <v>3227</v>
      </c>
      <c r="E11" s="153">
        <f t="shared" si="0"/>
        <v>10500</v>
      </c>
      <c r="F11" s="153">
        <v>10500</v>
      </c>
      <c r="G11" s="152" t="s">
        <v>3230</v>
      </c>
      <c r="H11" s="152"/>
      <c r="I11" s="152"/>
      <c r="J11" s="152"/>
      <c r="K11" s="152"/>
      <c r="L11" s="152"/>
      <c r="M11" s="152"/>
      <c r="U11" s="148" t="s">
        <v>803</v>
      </c>
    </row>
    <row r="12" spans="1:24" ht="12.75" customHeight="1" x14ac:dyDescent="0.15">
      <c r="A12" s="152"/>
      <c r="B12" s="154" t="s">
        <v>3222</v>
      </c>
      <c r="C12" s="154" t="s">
        <v>3218</v>
      </c>
      <c r="D12" s="155" t="s">
        <v>1678</v>
      </c>
      <c r="E12" s="153">
        <f t="shared" si="0"/>
        <v>5250</v>
      </c>
      <c r="F12" s="153">
        <v>5250</v>
      </c>
      <c r="G12" s="152" t="s">
        <v>3230</v>
      </c>
      <c r="H12" s="152"/>
      <c r="I12" s="152"/>
      <c r="J12" s="152"/>
      <c r="K12" s="152"/>
      <c r="L12" s="152"/>
      <c r="M12" s="152"/>
      <c r="U12" s="148" t="s">
        <v>2738</v>
      </c>
    </row>
    <row r="13" spans="1:24" ht="12.75" customHeight="1" x14ac:dyDescent="0.15">
      <c r="A13" s="152"/>
      <c r="B13" s="154" t="s">
        <v>3223</v>
      </c>
      <c r="C13" s="154" t="s">
        <v>3218</v>
      </c>
      <c r="D13" s="155" t="s">
        <v>1678</v>
      </c>
      <c r="E13" s="153">
        <f t="shared" si="0"/>
        <v>5250</v>
      </c>
      <c r="F13" s="153">
        <v>5250</v>
      </c>
      <c r="G13" s="152" t="s">
        <v>3230</v>
      </c>
      <c r="H13" s="152"/>
      <c r="I13" s="152"/>
      <c r="J13" s="152"/>
      <c r="K13" s="152"/>
      <c r="L13" s="152"/>
      <c r="M13" s="152"/>
      <c r="U13" s="148" t="s">
        <v>2511</v>
      </c>
    </row>
    <row r="14" spans="1:24" ht="12.75" customHeight="1" x14ac:dyDescent="0.15">
      <c r="A14" s="152"/>
      <c r="B14" s="154" t="s">
        <v>3224</v>
      </c>
      <c r="C14" s="154" t="s">
        <v>3225</v>
      </c>
      <c r="D14" s="155" t="s">
        <v>3227</v>
      </c>
      <c r="E14" s="153">
        <f t="shared" si="0"/>
        <v>3110</v>
      </c>
      <c r="F14" s="153">
        <v>3110</v>
      </c>
      <c r="G14" s="152" t="s">
        <v>3228</v>
      </c>
      <c r="H14" s="152"/>
      <c r="I14" s="152"/>
      <c r="J14" s="152"/>
      <c r="K14" s="152"/>
      <c r="L14" s="152"/>
      <c r="M14" s="152"/>
      <c r="U14" s="148" t="s">
        <v>2511</v>
      </c>
    </row>
    <row r="15" spans="1:24" ht="12.75" customHeight="1" x14ac:dyDescent="0.15">
      <c r="A15" s="152"/>
      <c r="B15" s="154" t="s">
        <v>3226</v>
      </c>
      <c r="C15" s="154" t="s">
        <v>3225</v>
      </c>
      <c r="D15" s="155" t="s">
        <v>3227</v>
      </c>
      <c r="E15" s="153">
        <f t="shared" si="0"/>
        <v>2080</v>
      </c>
      <c r="F15" s="153">
        <v>2080</v>
      </c>
      <c r="G15" s="152" t="s">
        <v>3229</v>
      </c>
      <c r="H15" s="152"/>
      <c r="I15" s="152"/>
      <c r="J15" s="152"/>
      <c r="K15" s="152"/>
      <c r="L15" s="152"/>
      <c r="M15" s="152"/>
      <c r="U15" s="148" t="s">
        <v>2511</v>
      </c>
    </row>
    <row r="16" spans="1:24" ht="12.75" customHeight="1" x14ac:dyDescent="0.15">
      <c r="U16" s="148" t="s">
        <v>2511</v>
      </c>
    </row>
    <row r="21" spans="21:21" ht="12.75" customHeight="1" x14ac:dyDescent="0.15">
      <c r="U21" s="148" t="s">
        <v>2760</v>
      </c>
    </row>
    <row r="22" spans="21:21" ht="12.75" customHeight="1" x14ac:dyDescent="0.15">
      <c r="U22" s="148" t="s">
        <v>368</v>
      </c>
    </row>
    <row r="23" spans="21:21" ht="12.75" customHeight="1" x14ac:dyDescent="0.15">
      <c r="U23" s="148" t="s">
        <v>2289</v>
      </c>
    </row>
    <row r="24" spans="21:21" ht="12.75" customHeight="1" x14ac:dyDescent="0.15">
      <c r="U24" s="148" t="s">
        <v>1719</v>
      </c>
    </row>
    <row r="25" spans="21:21" ht="12.75" customHeight="1" x14ac:dyDescent="0.15">
      <c r="U25" s="148" t="s">
        <v>2859</v>
      </c>
    </row>
    <row r="26" spans="21:21" ht="12.75" customHeight="1" x14ac:dyDescent="0.15">
      <c r="U26" s="148" t="s">
        <v>2859</v>
      </c>
    </row>
    <row r="31" spans="21:21" ht="12.75" customHeight="1" x14ac:dyDescent="0.15">
      <c r="U31" s="148" t="s">
        <v>2511</v>
      </c>
    </row>
    <row r="32" spans="21:21" ht="12.75" customHeight="1" x14ac:dyDescent="0.15">
      <c r="U32" s="148" t="s">
        <v>2511</v>
      </c>
    </row>
    <row r="33" spans="21:21" ht="12.75" customHeight="1" x14ac:dyDescent="0.15">
      <c r="U33" s="148" t="s">
        <v>2511</v>
      </c>
    </row>
    <row r="34" spans="21:21" ht="12.75" customHeight="1" x14ac:dyDescent="0.15">
      <c r="U34" s="148" t="s">
        <v>2511</v>
      </c>
    </row>
    <row r="35" spans="21:21" ht="12.75" customHeight="1" x14ac:dyDescent="0.15">
      <c r="U35" s="148" t="s">
        <v>2511</v>
      </c>
    </row>
    <row r="36" spans="21:21" ht="12.75" customHeight="1" x14ac:dyDescent="0.15">
      <c r="U36" s="148" t="s">
        <v>2511</v>
      </c>
    </row>
  </sheetData>
  <mergeCells count="9">
    <mergeCell ref="H2:I2"/>
    <mergeCell ref="J2:K2"/>
    <mergeCell ref="L2:M2"/>
    <mergeCell ref="A2:A3"/>
    <mergeCell ref="B2:B3"/>
    <mergeCell ref="C2:C3"/>
    <mergeCell ref="D2:D3"/>
    <mergeCell ref="E2:E3"/>
    <mergeCell ref="F2:G2"/>
  </mergeCells>
  <phoneticPr fontId="5" type="noConversion"/>
  <pageMargins left="0.31496062992125984" right="0.31496062992125984" top="1" bottom="0.59055118110236215" header="0.5" footer="0.5"/>
  <pageSetup paperSize="9" scale="88" orientation="landscape" r:id="rId1"/>
  <headerFooter alignWithMargins="0">
    <oddHeader>&amp;RPage : &amp;P/&amp;N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1562-75B2-467A-805B-39FBAF10E10A}">
  <sheetPr>
    <tabColor rgb="FFFF0000"/>
  </sheetPr>
  <dimension ref="A1:E47"/>
  <sheetViews>
    <sheetView topLeftCell="A13" workbookViewId="0">
      <selection activeCell="F8" sqref="F8"/>
    </sheetView>
  </sheetViews>
  <sheetFormatPr defaultRowHeight="12.75" customHeight="1" x14ac:dyDescent="0.15"/>
  <cols>
    <col min="1" max="1" width="28.5" style="64" customWidth="1"/>
    <col min="2" max="2" width="11.5" style="64" customWidth="1"/>
    <col min="3" max="3" width="28.5" style="64" customWidth="1"/>
    <col min="4" max="4" width="46.83203125" style="64" customWidth="1"/>
    <col min="5" max="5" width="115.5" style="64" customWidth="1"/>
    <col min="6" max="256" width="9.1640625" style="64"/>
    <col min="257" max="257" width="28.5" style="64" customWidth="1"/>
    <col min="258" max="258" width="11.5" style="64" customWidth="1"/>
    <col min="259" max="259" width="28.5" style="64" customWidth="1"/>
    <col min="260" max="260" width="46.83203125" style="64" customWidth="1"/>
    <col min="261" max="261" width="115.5" style="64" customWidth="1"/>
    <col min="262" max="512" width="9.1640625" style="64"/>
    <col min="513" max="513" width="28.5" style="64" customWidth="1"/>
    <col min="514" max="514" width="11.5" style="64" customWidth="1"/>
    <col min="515" max="515" width="28.5" style="64" customWidth="1"/>
    <col min="516" max="516" width="46.83203125" style="64" customWidth="1"/>
    <col min="517" max="517" width="115.5" style="64" customWidth="1"/>
    <col min="518" max="768" width="9.1640625" style="64"/>
    <col min="769" max="769" width="28.5" style="64" customWidth="1"/>
    <col min="770" max="770" width="11.5" style="64" customWidth="1"/>
    <col min="771" max="771" width="28.5" style="64" customWidth="1"/>
    <col min="772" max="772" width="46.83203125" style="64" customWidth="1"/>
    <col min="773" max="773" width="115.5" style="64" customWidth="1"/>
    <col min="774" max="1024" width="9.1640625" style="64"/>
    <col min="1025" max="1025" width="28.5" style="64" customWidth="1"/>
    <col min="1026" max="1026" width="11.5" style="64" customWidth="1"/>
    <col min="1027" max="1027" width="28.5" style="64" customWidth="1"/>
    <col min="1028" max="1028" width="46.83203125" style="64" customWidth="1"/>
    <col min="1029" max="1029" width="115.5" style="64" customWidth="1"/>
    <col min="1030" max="1280" width="9.1640625" style="64"/>
    <col min="1281" max="1281" width="28.5" style="64" customWidth="1"/>
    <col min="1282" max="1282" width="11.5" style="64" customWidth="1"/>
    <col min="1283" max="1283" width="28.5" style="64" customWidth="1"/>
    <col min="1284" max="1284" width="46.83203125" style="64" customWidth="1"/>
    <col min="1285" max="1285" width="115.5" style="64" customWidth="1"/>
    <col min="1286" max="1536" width="9.1640625" style="64"/>
    <col min="1537" max="1537" width="28.5" style="64" customWidth="1"/>
    <col min="1538" max="1538" width="11.5" style="64" customWidth="1"/>
    <col min="1539" max="1539" width="28.5" style="64" customWidth="1"/>
    <col min="1540" max="1540" width="46.83203125" style="64" customWidth="1"/>
    <col min="1541" max="1541" width="115.5" style="64" customWidth="1"/>
    <col min="1542" max="1792" width="9.1640625" style="64"/>
    <col min="1793" max="1793" width="28.5" style="64" customWidth="1"/>
    <col min="1794" max="1794" width="11.5" style="64" customWidth="1"/>
    <col min="1795" max="1795" width="28.5" style="64" customWidth="1"/>
    <col min="1796" max="1796" width="46.83203125" style="64" customWidth="1"/>
    <col min="1797" max="1797" width="115.5" style="64" customWidth="1"/>
    <col min="1798" max="2048" width="9.1640625" style="64"/>
    <col min="2049" max="2049" width="28.5" style="64" customWidth="1"/>
    <col min="2050" max="2050" width="11.5" style="64" customWidth="1"/>
    <col min="2051" max="2051" width="28.5" style="64" customWidth="1"/>
    <col min="2052" max="2052" width="46.83203125" style="64" customWidth="1"/>
    <col min="2053" max="2053" width="115.5" style="64" customWidth="1"/>
    <col min="2054" max="2304" width="9.1640625" style="64"/>
    <col min="2305" max="2305" width="28.5" style="64" customWidth="1"/>
    <col min="2306" max="2306" width="11.5" style="64" customWidth="1"/>
    <col min="2307" max="2307" width="28.5" style="64" customWidth="1"/>
    <col min="2308" max="2308" width="46.83203125" style="64" customWidth="1"/>
    <col min="2309" max="2309" width="115.5" style="64" customWidth="1"/>
    <col min="2310" max="2560" width="9.1640625" style="64"/>
    <col min="2561" max="2561" width="28.5" style="64" customWidth="1"/>
    <col min="2562" max="2562" width="11.5" style="64" customWidth="1"/>
    <col min="2563" max="2563" width="28.5" style="64" customWidth="1"/>
    <col min="2564" max="2564" width="46.83203125" style="64" customWidth="1"/>
    <col min="2565" max="2565" width="115.5" style="64" customWidth="1"/>
    <col min="2566" max="2816" width="9.1640625" style="64"/>
    <col min="2817" max="2817" width="28.5" style="64" customWidth="1"/>
    <col min="2818" max="2818" width="11.5" style="64" customWidth="1"/>
    <col min="2819" max="2819" width="28.5" style="64" customWidth="1"/>
    <col min="2820" max="2820" width="46.83203125" style="64" customWidth="1"/>
    <col min="2821" max="2821" width="115.5" style="64" customWidth="1"/>
    <col min="2822" max="3072" width="9.1640625" style="64"/>
    <col min="3073" max="3073" width="28.5" style="64" customWidth="1"/>
    <col min="3074" max="3074" width="11.5" style="64" customWidth="1"/>
    <col min="3075" max="3075" width="28.5" style="64" customWidth="1"/>
    <col min="3076" max="3076" width="46.83203125" style="64" customWidth="1"/>
    <col min="3077" max="3077" width="115.5" style="64" customWidth="1"/>
    <col min="3078" max="3328" width="9.1640625" style="64"/>
    <col min="3329" max="3329" width="28.5" style="64" customWidth="1"/>
    <col min="3330" max="3330" width="11.5" style="64" customWidth="1"/>
    <col min="3331" max="3331" width="28.5" style="64" customWidth="1"/>
    <col min="3332" max="3332" width="46.83203125" style="64" customWidth="1"/>
    <col min="3333" max="3333" width="115.5" style="64" customWidth="1"/>
    <col min="3334" max="3584" width="9.1640625" style="64"/>
    <col min="3585" max="3585" width="28.5" style="64" customWidth="1"/>
    <col min="3586" max="3586" width="11.5" style="64" customWidth="1"/>
    <col min="3587" max="3587" width="28.5" style="64" customWidth="1"/>
    <col min="3588" max="3588" width="46.83203125" style="64" customWidth="1"/>
    <col min="3589" max="3589" width="115.5" style="64" customWidth="1"/>
    <col min="3590" max="3840" width="9.1640625" style="64"/>
    <col min="3841" max="3841" width="28.5" style="64" customWidth="1"/>
    <col min="3842" max="3842" width="11.5" style="64" customWidth="1"/>
    <col min="3843" max="3843" width="28.5" style="64" customWidth="1"/>
    <col min="3844" max="3844" width="46.83203125" style="64" customWidth="1"/>
    <col min="3845" max="3845" width="115.5" style="64" customWidth="1"/>
    <col min="3846" max="4096" width="9.1640625" style="64"/>
    <col min="4097" max="4097" width="28.5" style="64" customWidth="1"/>
    <col min="4098" max="4098" width="11.5" style="64" customWidth="1"/>
    <col min="4099" max="4099" width="28.5" style="64" customWidth="1"/>
    <col min="4100" max="4100" width="46.83203125" style="64" customWidth="1"/>
    <col min="4101" max="4101" width="115.5" style="64" customWidth="1"/>
    <col min="4102" max="4352" width="9.1640625" style="64"/>
    <col min="4353" max="4353" width="28.5" style="64" customWidth="1"/>
    <col min="4354" max="4354" width="11.5" style="64" customWidth="1"/>
    <col min="4355" max="4355" width="28.5" style="64" customWidth="1"/>
    <col min="4356" max="4356" width="46.83203125" style="64" customWidth="1"/>
    <col min="4357" max="4357" width="115.5" style="64" customWidth="1"/>
    <col min="4358" max="4608" width="9.1640625" style="64"/>
    <col min="4609" max="4609" width="28.5" style="64" customWidth="1"/>
    <col min="4610" max="4610" width="11.5" style="64" customWidth="1"/>
    <col min="4611" max="4611" width="28.5" style="64" customWidth="1"/>
    <col min="4612" max="4612" width="46.83203125" style="64" customWidth="1"/>
    <col min="4613" max="4613" width="115.5" style="64" customWidth="1"/>
    <col min="4614" max="4864" width="9.1640625" style="64"/>
    <col min="4865" max="4865" width="28.5" style="64" customWidth="1"/>
    <col min="4866" max="4866" width="11.5" style="64" customWidth="1"/>
    <col min="4867" max="4867" width="28.5" style="64" customWidth="1"/>
    <col min="4868" max="4868" width="46.83203125" style="64" customWidth="1"/>
    <col min="4869" max="4869" width="115.5" style="64" customWidth="1"/>
    <col min="4870" max="5120" width="9.1640625" style="64"/>
    <col min="5121" max="5121" width="28.5" style="64" customWidth="1"/>
    <col min="5122" max="5122" width="11.5" style="64" customWidth="1"/>
    <col min="5123" max="5123" width="28.5" style="64" customWidth="1"/>
    <col min="5124" max="5124" width="46.83203125" style="64" customWidth="1"/>
    <col min="5125" max="5125" width="115.5" style="64" customWidth="1"/>
    <col min="5126" max="5376" width="9.1640625" style="64"/>
    <col min="5377" max="5377" width="28.5" style="64" customWidth="1"/>
    <col min="5378" max="5378" width="11.5" style="64" customWidth="1"/>
    <col min="5379" max="5379" width="28.5" style="64" customWidth="1"/>
    <col min="5380" max="5380" width="46.83203125" style="64" customWidth="1"/>
    <col min="5381" max="5381" width="115.5" style="64" customWidth="1"/>
    <col min="5382" max="5632" width="9.1640625" style="64"/>
    <col min="5633" max="5633" width="28.5" style="64" customWidth="1"/>
    <col min="5634" max="5634" width="11.5" style="64" customWidth="1"/>
    <col min="5635" max="5635" width="28.5" style="64" customWidth="1"/>
    <col min="5636" max="5636" width="46.83203125" style="64" customWidth="1"/>
    <col min="5637" max="5637" width="115.5" style="64" customWidth="1"/>
    <col min="5638" max="5888" width="9.1640625" style="64"/>
    <col min="5889" max="5889" width="28.5" style="64" customWidth="1"/>
    <col min="5890" max="5890" width="11.5" style="64" customWidth="1"/>
    <col min="5891" max="5891" width="28.5" style="64" customWidth="1"/>
    <col min="5892" max="5892" width="46.83203125" style="64" customWidth="1"/>
    <col min="5893" max="5893" width="115.5" style="64" customWidth="1"/>
    <col min="5894" max="6144" width="9.1640625" style="64"/>
    <col min="6145" max="6145" width="28.5" style="64" customWidth="1"/>
    <col min="6146" max="6146" width="11.5" style="64" customWidth="1"/>
    <col min="6147" max="6147" width="28.5" style="64" customWidth="1"/>
    <col min="6148" max="6148" width="46.83203125" style="64" customWidth="1"/>
    <col min="6149" max="6149" width="115.5" style="64" customWidth="1"/>
    <col min="6150" max="6400" width="9.1640625" style="64"/>
    <col min="6401" max="6401" width="28.5" style="64" customWidth="1"/>
    <col min="6402" max="6402" width="11.5" style="64" customWidth="1"/>
    <col min="6403" max="6403" width="28.5" style="64" customWidth="1"/>
    <col min="6404" max="6404" width="46.83203125" style="64" customWidth="1"/>
    <col min="6405" max="6405" width="115.5" style="64" customWidth="1"/>
    <col min="6406" max="6656" width="9.1640625" style="64"/>
    <col min="6657" max="6657" width="28.5" style="64" customWidth="1"/>
    <col min="6658" max="6658" width="11.5" style="64" customWidth="1"/>
    <col min="6659" max="6659" width="28.5" style="64" customWidth="1"/>
    <col min="6660" max="6660" width="46.83203125" style="64" customWidth="1"/>
    <col min="6661" max="6661" width="115.5" style="64" customWidth="1"/>
    <col min="6662" max="6912" width="9.1640625" style="64"/>
    <col min="6913" max="6913" width="28.5" style="64" customWidth="1"/>
    <col min="6914" max="6914" width="11.5" style="64" customWidth="1"/>
    <col min="6915" max="6915" width="28.5" style="64" customWidth="1"/>
    <col min="6916" max="6916" width="46.83203125" style="64" customWidth="1"/>
    <col min="6917" max="6917" width="115.5" style="64" customWidth="1"/>
    <col min="6918" max="7168" width="9.1640625" style="64"/>
    <col min="7169" max="7169" width="28.5" style="64" customWidth="1"/>
    <col min="7170" max="7170" width="11.5" style="64" customWidth="1"/>
    <col min="7171" max="7171" width="28.5" style="64" customWidth="1"/>
    <col min="7172" max="7172" width="46.83203125" style="64" customWidth="1"/>
    <col min="7173" max="7173" width="115.5" style="64" customWidth="1"/>
    <col min="7174" max="7424" width="9.1640625" style="64"/>
    <col min="7425" max="7425" width="28.5" style="64" customWidth="1"/>
    <col min="7426" max="7426" width="11.5" style="64" customWidth="1"/>
    <col min="7427" max="7427" width="28.5" style="64" customWidth="1"/>
    <col min="7428" max="7428" width="46.83203125" style="64" customWidth="1"/>
    <col min="7429" max="7429" width="115.5" style="64" customWidth="1"/>
    <col min="7430" max="7680" width="9.1640625" style="64"/>
    <col min="7681" max="7681" width="28.5" style="64" customWidth="1"/>
    <col min="7682" max="7682" width="11.5" style="64" customWidth="1"/>
    <col min="7683" max="7683" width="28.5" style="64" customWidth="1"/>
    <col min="7684" max="7684" width="46.83203125" style="64" customWidth="1"/>
    <col min="7685" max="7685" width="115.5" style="64" customWidth="1"/>
    <col min="7686" max="7936" width="9.1640625" style="64"/>
    <col min="7937" max="7937" width="28.5" style="64" customWidth="1"/>
    <col min="7938" max="7938" width="11.5" style="64" customWidth="1"/>
    <col min="7939" max="7939" width="28.5" style="64" customWidth="1"/>
    <col min="7940" max="7940" width="46.83203125" style="64" customWidth="1"/>
    <col min="7941" max="7941" width="115.5" style="64" customWidth="1"/>
    <col min="7942" max="8192" width="9.1640625" style="64"/>
    <col min="8193" max="8193" width="28.5" style="64" customWidth="1"/>
    <col min="8194" max="8194" width="11.5" style="64" customWidth="1"/>
    <col min="8195" max="8195" width="28.5" style="64" customWidth="1"/>
    <col min="8196" max="8196" width="46.83203125" style="64" customWidth="1"/>
    <col min="8197" max="8197" width="115.5" style="64" customWidth="1"/>
    <col min="8198" max="8448" width="9.1640625" style="64"/>
    <col min="8449" max="8449" width="28.5" style="64" customWidth="1"/>
    <col min="8450" max="8450" width="11.5" style="64" customWidth="1"/>
    <col min="8451" max="8451" width="28.5" style="64" customWidth="1"/>
    <col min="8452" max="8452" width="46.83203125" style="64" customWidth="1"/>
    <col min="8453" max="8453" width="115.5" style="64" customWidth="1"/>
    <col min="8454" max="8704" width="9.1640625" style="64"/>
    <col min="8705" max="8705" width="28.5" style="64" customWidth="1"/>
    <col min="8706" max="8706" width="11.5" style="64" customWidth="1"/>
    <col min="8707" max="8707" width="28.5" style="64" customWidth="1"/>
    <col min="8708" max="8708" width="46.83203125" style="64" customWidth="1"/>
    <col min="8709" max="8709" width="115.5" style="64" customWidth="1"/>
    <col min="8710" max="8960" width="9.1640625" style="64"/>
    <col min="8961" max="8961" width="28.5" style="64" customWidth="1"/>
    <col min="8962" max="8962" width="11.5" style="64" customWidth="1"/>
    <col min="8963" max="8963" width="28.5" style="64" customWidth="1"/>
    <col min="8964" max="8964" width="46.83203125" style="64" customWidth="1"/>
    <col min="8965" max="8965" width="115.5" style="64" customWidth="1"/>
    <col min="8966" max="9216" width="9.1640625" style="64"/>
    <col min="9217" max="9217" width="28.5" style="64" customWidth="1"/>
    <col min="9218" max="9218" width="11.5" style="64" customWidth="1"/>
    <col min="9219" max="9219" width="28.5" style="64" customWidth="1"/>
    <col min="9220" max="9220" width="46.83203125" style="64" customWidth="1"/>
    <col min="9221" max="9221" width="115.5" style="64" customWidth="1"/>
    <col min="9222" max="9472" width="9.1640625" style="64"/>
    <col min="9473" max="9473" width="28.5" style="64" customWidth="1"/>
    <col min="9474" max="9474" width="11.5" style="64" customWidth="1"/>
    <col min="9475" max="9475" width="28.5" style="64" customWidth="1"/>
    <col min="9476" max="9476" width="46.83203125" style="64" customWidth="1"/>
    <col min="9477" max="9477" width="115.5" style="64" customWidth="1"/>
    <col min="9478" max="9728" width="9.1640625" style="64"/>
    <col min="9729" max="9729" width="28.5" style="64" customWidth="1"/>
    <col min="9730" max="9730" width="11.5" style="64" customWidth="1"/>
    <col min="9731" max="9731" width="28.5" style="64" customWidth="1"/>
    <col min="9732" max="9732" width="46.83203125" style="64" customWidth="1"/>
    <col min="9733" max="9733" width="115.5" style="64" customWidth="1"/>
    <col min="9734" max="9984" width="9.1640625" style="64"/>
    <col min="9985" max="9985" width="28.5" style="64" customWidth="1"/>
    <col min="9986" max="9986" width="11.5" style="64" customWidth="1"/>
    <col min="9987" max="9987" width="28.5" style="64" customWidth="1"/>
    <col min="9988" max="9988" width="46.83203125" style="64" customWidth="1"/>
    <col min="9989" max="9989" width="115.5" style="64" customWidth="1"/>
    <col min="9990" max="10240" width="9.1640625" style="64"/>
    <col min="10241" max="10241" width="28.5" style="64" customWidth="1"/>
    <col min="10242" max="10242" width="11.5" style="64" customWidth="1"/>
    <col min="10243" max="10243" width="28.5" style="64" customWidth="1"/>
    <col min="10244" max="10244" width="46.83203125" style="64" customWidth="1"/>
    <col min="10245" max="10245" width="115.5" style="64" customWidth="1"/>
    <col min="10246" max="10496" width="9.1640625" style="64"/>
    <col min="10497" max="10497" width="28.5" style="64" customWidth="1"/>
    <col min="10498" max="10498" width="11.5" style="64" customWidth="1"/>
    <col min="10499" max="10499" width="28.5" style="64" customWidth="1"/>
    <col min="10500" max="10500" width="46.83203125" style="64" customWidth="1"/>
    <col min="10501" max="10501" width="115.5" style="64" customWidth="1"/>
    <col min="10502" max="10752" width="9.1640625" style="64"/>
    <col min="10753" max="10753" width="28.5" style="64" customWidth="1"/>
    <col min="10754" max="10754" width="11.5" style="64" customWidth="1"/>
    <col min="10755" max="10755" width="28.5" style="64" customWidth="1"/>
    <col min="10756" max="10756" width="46.83203125" style="64" customWidth="1"/>
    <col min="10757" max="10757" width="115.5" style="64" customWidth="1"/>
    <col min="10758" max="11008" width="9.1640625" style="64"/>
    <col min="11009" max="11009" width="28.5" style="64" customWidth="1"/>
    <col min="11010" max="11010" width="11.5" style="64" customWidth="1"/>
    <col min="11011" max="11011" width="28.5" style="64" customWidth="1"/>
    <col min="11012" max="11012" width="46.83203125" style="64" customWidth="1"/>
    <col min="11013" max="11013" width="115.5" style="64" customWidth="1"/>
    <col min="11014" max="11264" width="9.1640625" style="64"/>
    <col min="11265" max="11265" width="28.5" style="64" customWidth="1"/>
    <col min="11266" max="11266" width="11.5" style="64" customWidth="1"/>
    <col min="11267" max="11267" width="28.5" style="64" customWidth="1"/>
    <col min="11268" max="11268" width="46.83203125" style="64" customWidth="1"/>
    <col min="11269" max="11269" width="115.5" style="64" customWidth="1"/>
    <col min="11270" max="11520" width="9.1640625" style="64"/>
    <col min="11521" max="11521" width="28.5" style="64" customWidth="1"/>
    <col min="11522" max="11522" width="11.5" style="64" customWidth="1"/>
    <col min="11523" max="11523" width="28.5" style="64" customWidth="1"/>
    <col min="11524" max="11524" width="46.83203125" style="64" customWidth="1"/>
    <col min="11525" max="11525" width="115.5" style="64" customWidth="1"/>
    <col min="11526" max="11776" width="9.1640625" style="64"/>
    <col min="11777" max="11777" width="28.5" style="64" customWidth="1"/>
    <col min="11778" max="11778" width="11.5" style="64" customWidth="1"/>
    <col min="11779" max="11779" width="28.5" style="64" customWidth="1"/>
    <col min="11780" max="11780" width="46.83203125" style="64" customWidth="1"/>
    <col min="11781" max="11781" width="115.5" style="64" customWidth="1"/>
    <col min="11782" max="12032" width="9.1640625" style="64"/>
    <col min="12033" max="12033" width="28.5" style="64" customWidth="1"/>
    <col min="12034" max="12034" width="11.5" style="64" customWidth="1"/>
    <col min="12035" max="12035" width="28.5" style="64" customWidth="1"/>
    <col min="12036" max="12036" width="46.83203125" style="64" customWidth="1"/>
    <col min="12037" max="12037" width="115.5" style="64" customWidth="1"/>
    <col min="12038" max="12288" width="9.1640625" style="64"/>
    <col min="12289" max="12289" width="28.5" style="64" customWidth="1"/>
    <col min="12290" max="12290" width="11.5" style="64" customWidth="1"/>
    <col min="12291" max="12291" width="28.5" style="64" customWidth="1"/>
    <col min="12292" max="12292" width="46.83203125" style="64" customWidth="1"/>
    <col min="12293" max="12293" width="115.5" style="64" customWidth="1"/>
    <col min="12294" max="12544" width="9.1640625" style="64"/>
    <col min="12545" max="12545" width="28.5" style="64" customWidth="1"/>
    <col min="12546" max="12546" width="11.5" style="64" customWidth="1"/>
    <col min="12547" max="12547" width="28.5" style="64" customWidth="1"/>
    <col min="12548" max="12548" width="46.83203125" style="64" customWidth="1"/>
    <col min="12549" max="12549" width="115.5" style="64" customWidth="1"/>
    <col min="12550" max="12800" width="9.1640625" style="64"/>
    <col min="12801" max="12801" width="28.5" style="64" customWidth="1"/>
    <col min="12802" max="12802" width="11.5" style="64" customWidth="1"/>
    <col min="12803" max="12803" width="28.5" style="64" customWidth="1"/>
    <col min="12804" max="12804" width="46.83203125" style="64" customWidth="1"/>
    <col min="12805" max="12805" width="115.5" style="64" customWidth="1"/>
    <col min="12806" max="13056" width="9.1640625" style="64"/>
    <col min="13057" max="13057" width="28.5" style="64" customWidth="1"/>
    <col min="13058" max="13058" width="11.5" style="64" customWidth="1"/>
    <col min="13059" max="13059" width="28.5" style="64" customWidth="1"/>
    <col min="13060" max="13060" width="46.83203125" style="64" customWidth="1"/>
    <col min="13061" max="13061" width="115.5" style="64" customWidth="1"/>
    <col min="13062" max="13312" width="9.1640625" style="64"/>
    <col min="13313" max="13313" width="28.5" style="64" customWidth="1"/>
    <col min="13314" max="13314" width="11.5" style="64" customWidth="1"/>
    <col min="13315" max="13315" width="28.5" style="64" customWidth="1"/>
    <col min="13316" max="13316" width="46.83203125" style="64" customWidth="1"/>
    <col min="13317" max="13317" width="115.5" style="64" customWidth="1"/>
    <col min="13318" max="13568" width="9.1640625" style="64"/>
    <col min="13569" max="13569" width="28.5" style="64" customWidth="1"/>
    <col min="13570" max="13570" width="11.5" style="64" customWidth="1"/>
    <col min="13571" max="13571" width="28.5" style="64" customWidth="1"/>
    <col min="13572" max="13572" width="46.83203125" style="64" customWidth="1"/>
    <col min="13573" max="13573" width="115.5" style="64" customWidth="1"/>
    <col min="13574" max="13824" width="9.1640625" style="64"/>
    <col min="13825" max="13825" width="28.5" style="64" customWidth="1"/>
    <col min="13826" max="13826" width="11.5" style="64" customWidth="1"/>
    <col min="13827" max="13827" width="28.5" style="64" customWidth="1"/>
    <col min="13828" max="13828" width="46.83203125" style="64" customWidth="1"/>
    <col min="13829" max="13829" width="115.5" style="64" customWidth="1"/>
    <col min="13830" max="14080" width="9.1640625" style="64"/>
    <col min="14081" max="14081" width="28.5" style="64" customWidth="1"/>
    <col min="14082" max="14082" width="11.5" style="64" customWidth="1"/>
    <col min="14083" max="14083" width="28.5" style="64" customWidth="1"/>
    <col min="14084" max="14084" width="46.83203125" style="64" customWidth="1"/>
    <col min="14085" max="14085" width="115.5" style="64" customWidth="1"/>
    <col min="14086" max="14336" width="9.1640625" style="64"/>
    <col min="14337" max="14337" width="28.5" style="64" customWidth="1"/>
    <col min="14338" max="14338" width="11.5" style="64" customWidth="1"/>
    <col min="14339" max="14339" width="28.5" style="64" customWidth="1"/>
    <col min="14340" max="14340" width="46.83203125" style="64" customWidth="1"/>
    <col min="14341" max="14341" width="115.5" style="64" customWidth="1"/>
    <col min="14342" max="14592" width="9.1640625" style="64"/>
    <col min="14593" max="14593" width="28.5" style="64" customWidth="1"/>
    <col min="14594" max="14594" width="11.5" style="64" customWidth="1"/>
    <col min="14595" max="14595" width="28.5" style="64" customWidth="1"/>
    <col min="14596" max="14596" width="46.83203125" style="64" customWidth="1"/>
    <col min="14597" max="14597" width="115.5" style="64" customWidth="1"/>
    <col min="14598" max="14848" width="9.1640625" style="64"/>
    <col min="14849" max="14849" width="28.5" style="64" customWidth="1"/>
    <col min="14850" max="14850" width="11.5" style="64" customWidth="1"/>
    <col min="14851" max="14851" width="28.5" style="64" customWidth="1"/>
    <col min="14852" max="14852" width="46.83203125" style="64" customWidth="1"/>
    <col min="14853" max="14853" width="115.5" style="64" customWidth="1"/>
    <col min="14854" max="15104" width="9.1640625" style="64"/>
    <col min="15105" max="15105" width="28.5" style="64" customWidth="1"/>
    <col min="15106" max="15106" width="11.5" style="64" customWidth="1"/>
    <col min="15107" max="15107" width="28.5" style="64" customWidth="1"/>
    <col min="15108" max="15108" width="46.83203125" style="64" customWidth="1"/>
    <col min="15109" max="15109" width="115.5" style="64" customWidth="1"/>
    <col min="15110" max="15360" width="9.1640625" style="64"/>
    <col min="15361" max="15361" width="28.5" style="64" customWidth="1"/>
    <col min="15362" max="15362" width="11.5" style="64" customWidth="1"/>
    <col min="15363" max="15363" width="28.5" style="64" customWidth="1"/>
    <col min="15364" max="15364" width="46.83203125" style="64" customWidth="1"/>
    <col min="15365" max="15365" width="115.5" style="64" customWidth="1"/>
    <col min="15366" max="15616" width="9.1640625" style="64"/>
    <col min="15617" max="15617" width="28.5" style="64" customWidth="1"/>
    <col min="15618" max="15618" width="11.5" style="64" customWidth="1"/>
    <col min="15619" max="15619" width="28.5" style="64" customWidth="1"/>
    <col min="15620" max="15620" width="46.83203125" style="64" customWidth="1"/>
    <col min="15621" max="15621" width="115.5" style="64" customWidth="1"/>
    <col min="15622" max="15872" width="9.1640625" style="64"/>
    <col min="15873" max="15873" width="28.5" style="64" customWidth="1"/>
    <col min="15874" max="15874" width="11.5" style="64" customWidth="1"/>
    <col min="15875" max="15875" width="28.5" style="64" customWidth="1"/>
    <col min="15876" max="15876" width="46.83203125" style="64" customWidth="1"/>
    <col min="15877" max="15877" width="115.5" style="64" customWidth="1"/>
    <col min="15878" max="16128" width="9.1640625" style="64"/>
    <col min="16129" max="16129" width="28.5" style="64" customWidth="1"/>
    <col min="16130" max="16130" width="11.5" style="64" customWidth="1"/>
    <col min="16131" max="16131" width="28.5" style="64" customWidth="1"/>
    <col min="16132" max="16132" width="46.83203125" style="64" customWidth="1"/>
    <col min="16133" max="16133" width="115.5" style="64" customWidth="1"/>
    <col min="16134" max="16384" width="9.1640625" style="64"/>
  </cols>
  <sheetData>
    <row r="1" spans="1:5" ht="12.75" customHeight="1" x14ac:dyDescent="0.15">
      <c r="A1" s="64" t="s">
        <v>2134</v>
      </c>
    </row>
    <row r="2" spans="1:5" ht="12.75" customHeight="1" x14ac:dyDescent="0.15">
      <c r="A2" s="65" t="s">
        <v>255</v>
      </c>
      <c r="B2" s="65" t="s">
        <v>2167</v>
      </c>
      <c r="C2" s="65" t="s">
        <v>483</v>
      </c>
      <c r="D2" s="65" t="s">
        <v>630</v>
      </c>
      <c r="E2" s="65" t="s">
        <v>70</v>
      </c>
    </row>
    <row r="3" spans="1:5" ht="12.75" customHeight="1" x14ac:dyDescent="0.15">
      <c r="A3" s="66" t="s">
        <v>2056</v>
      </c>
      <c r="B3" s="66" t="s">
        <v>2817</v>
      </c>
      <c r="C3" s="66">
        <v>1208</v>
      </c>
      <c r="D3" s="66" t="s">
        <v>1039</v>
      </c>
      <c r="E3" s="66" t="s">
        <v>2466</v>
      </c>
    </row>
    <row r="4" spans="1:5" ht="12.75" customHeight="1" x14ac:dyDescent="0.15">
      <c r="A4" s="66" t="s">
        <v>1270</v>
      </c>
      <c r="B4" s="66" t="s">
        <v>2817</v>
      </c>
      <c r="C4" s="66">
        <v>50</v>
      </c>
      <c r="D4" s="66" t="s">
        <v>2106</v>
      </c>
      <c r="E4" s="66" t="s">
        <v>1318</v>
      </c>
    </row>
    <row r="5" spans="1:5" ht="12.75" customHeight="1" x14ac:dyDescent="0.15">
      <c r="A5" s="66" t="s">
        <v>1353</v>
      </c>
      <c r="B5" s="66" t="s">
        <v>2817</v>
      </c>
      <c r="C5" s="66">
        <v>20</v>
      </c>
      <c r="D5" s="66" t="s">
        <v>181</v>
      </c>
      <c r="E5" s="66" t="s">
        <v>1318</v>
      </c>
    </row>
    <row r="6" spans="1:5" ht="12.75" customHeight="1" x14ac:dyDescent="0.15">
      <c r="A6" s="66" t="s">
        <v>2009</v>
      </c>
      <c r="B6" s="66" t="s">
        <v>2817</v>
      </c>
      <c r="C6" s="66">
        <v>0</v>
      </c>
      <c r="D6" s="66" t="s">
        <v>1522</v>
      </c>
      <c r="E6" s="66" t="s">
        <v>1318</v>
      </c>
    </row>
    <row r="7" spans="1:5" ht="12.75" customHeight="1" x14ac:dyDescent="0.15">
      <c r="A7" s="66" t="s">
        <v>290</v>
      </c>
      <c r="B7" s="66" t="s">
        <v>2817</v>
      </c>
      <c r="C7" s="66">
        <v>30</v>
      </c>
      <c r="D7" s="66" t="s">
        <v>1406</v>
      </c>
      <c r="E7" s="66" t="s">
        <v>1318</v>
      </c>
    </row>
    <row r="8" spans="1:5" ht="12.75" customHeight="1" x14ac:dyDescent="0.15">
      <c r="A8" s="66" t="s">
        <v>847</v>
      </c>
      <c r="B8" s="66" t="s">
        <v>2817</v>
      </c>
      <c r="C8" s="66">
        <v>30</v>
      </c>
      <c r="D8" s="66" t="s">
        <v>296</v>
      </c>
      <c r="E8" s="66" t="s">
        <v>2466</v>
      </c>
    </row>
    <row r="9" spans="1:5" ht="12.75" customHeight="1" x14ac:dyDescent="0.15">
      <c r="A9" s="66" t="s">
        <v>1364</v>
      </c>
      <c r="B9" s="66" t="s">
        <v>2817</v>
      </c>
      <c r="C9" s="66">
        <v>59</v>
      </c>
      <c r="D9" s="66" t="s">
        <v>650</v>
      </c>
      <c r="E9" s="66" t="s">
        <v>1318</v>
      </c>
    </row>
    <row r="10" spans="1:5" ht="12.75" customHeight="1" x14ac:dyDescent="0.15">
      <c r="A10" s="66" t="s">
        <v>747</v>
      </c>
      <c r="B10" s="66" t="s">
        <v>2817</v>
      </c>
      <c r="C10" s="66">
        <v>100</v>
      </c>
      <c r="D10" s="66" t="s">
        <v>1842</v>
      </c>
      <c r="E10" s="66" t="s">
        <v>1318</v>
      </c>
    </row>
    <row r="11" spans="1:5" ht="12.75" customHeight="1" x14ac:dyDescent="0.15">
      <c r="A11" s="66" t="s">
        <v>2694</v>
      </c>
      <c r="B11" s="66" t="s">
        <v>2817</v>
      </c>
      <c r="C11" s="66">
        <v>100</v>
      </c>
      <c r="D11" s="66" t="s">
        <v>720</v>
      </c>
      <c r="E11" s="66" t="s">
        <v>1318</v>
      </c>
    </row>
    <row r="12" spans="1:5" ht="12.75" customHeight="1" x14ac:dyDescent="0.15">
      <c r="A12" s="66" t="s">
        <v>1993</v>
      </c>
      <c r="B12" s="66" t="s">
        <v>2817</v>
      </c>
      <c r="C12" s="66">
        <v>70</v>
      </c>
      <c r="D12" s="66" t="s">
        <v>1039</v>
      </c>
      <c r="E12" s="66" t="s">
        <v>2466</v>
      </c>
    </row>
    <row r="13" spans="1:5" ht="12.75" customHeight="1" x14ac:dyDescent="0.15">
      <c r="A13" s="66" t="s">
        <v>152</v>
      </c>
      <c r="B13" s="66" t="s">
        <v>2817</v>
      </c>
      <c r="C13" s="66">
        <v>4.99</v>
      </c>
      <c r="D13" s="66" t="s">
        <v>2727</v>
      </c>
      <c r="E13" s="66" t="s">
        <v>1318</v>
      </c>
    </row>
    <row r="14" spans="1:5" ht="12.75" customHeight="1" x14ac:dyDescent="0.15">
      <c r="A14" s="66" t="s">
        <v>2098</v>
      </c>
      <c r="B14" s="66" t="s">
        <v>2817</v>
      </c>
      <c r="C14" s="66">
        <v>4</v>
      </c>
      <c r="D14" s="66" t="s">
        <v>1039</v>
      </c>
      <c r="E14" s="66" t="s">
        <v>2466</v>
      </c>
    </row>
    <row r="15" spans="1:5" ht="12.75" customHeight="1" x14ac:dyDescent="0.15">
      <c r="A15" s="66" t="s">
        <v>1827</v>
      </c>
      <c r="B15" s="66" t="s">
        <v>2817</v>
      </c>
      <c r="C15" s="66">
        <v>0</v>
      </c>
      <c r="D15" s="66" t="s">
        <v>862</v>
      </c>
      <c r="E15" s="66" t="s">
        <v>1318</v>
      </c>
    </row>
    <row r="16" spans="1:5" ht="12.75" customHeight="1" x14ac:dyDescent="0.15">
      <c r="A16" s="66" t="s">
        <v>1060</v>
      </c>
      <c r="B16" s="66" t="s">
        <v>2817</v>
      </c>
      <c r="C16" s="66">
        <v>0</v>
      </c>
      <c r="D16" s="66" t="s">
        <v>200</v>
      </c>
      <c r="E16" s="66" t="s">
        <v>1318</v>
      </c>
    </row>
    <row r="17" spans="1:5" ht="12.75" customHeight="1" x14ac:dyDescent="0.15">
      <c r="A17" s="66" t="s">
        <v>105</v>
      </c>
      <c r="B17" s="66" t="s">
        <v>2817</v>
      </c>
      <c r="C17" s="66">
        <v>0</v>
      </c>
      <c r="D17" s="66" t="s">
        <v>542</v>
      </c>
      <c r="E17" s="66" t="s">
        <v>1318</v>
      </c>
    </row>
    <row r="18" spans="1:5" ht="12.75" customHeight="1" x14ac:dyDescent="0.15">
      <c r="A18" s="66" t="s">
        <v>2678</v>
      </c>
      <c r="B18" s="66" t="s">
        <v>2817</v>
      </c>
      <c r="C18" s="66">
        <v>0</v>
      </c>
      <c r="D18" s="66" t="s">
        <v>2206</v>
      </c>
      <c r="E18" s="66" t="s">
        <v>1318</v>
      </c>
    </row>
    <row r="19" spans="1:5" ht="12.75" customHeight="1" x14ac:dyDescent="0.15">
      <c r="A19" s="66" t="s">
        <v>2088</v>
      </c>
      <c r="B19" s="66" t="s">
        <v>2817</v>
      </c>
      <c r="C19" s="66">
        <v>50</v>
      </c>
      <c r="D19" s="66" t="s">
        <v>1907</v>
      </c>
      <c r="E19" s="66" t="s">
        <v>1318</v>
      </c>
    </row>
    <row r="20" spans="1:5" ht="12.75" customHeight="1" x14ac:dyDescent="0.15">
      <c r="A20" s="66" t="s">
        <v>1605</v>
      </c>
      <c r="B20" s="66" t="s">
        <v>2817</v>
      </c>
      <c r="C20" s="66">
        <v>0</v>
      </c>
      <c r="D20" s="66" t="s">
        <v>1457</v>
      </c>
      <c r="E20" s="66" t="s">
        <v>1318</v>
      </c>
    </row>
    <row r="21" spans="1:5" ht="12.75" customHeight="1" x14ac:dyDescent="0.15">
      <c r="A21" s="66" t="s">
        <v>1320</v>
      </c>
      <c r="B21" s="66" t="s">
        <v>2817</v>
      </c>
      <c r="C21" s="66">
        <v>74</v>
      </c>
      <c r="D21" s="66" t="s">
        <v>1123</v>
      </c>
      <c r="E21" s="66" t="s">
        <v>1318</v>
      </c>
    </row>
    <row r="22" spans="1:5" ht="12.75" customHeight="1" x14ac:dyDescent="0.15">
      <c r="A22" s="66" t="s">
        <v>185</v>
      </c>
      <c r="B22" s="66" t="s">
        <v>2817</v>
      </c>
      <c r="C22" s="66">
        <v>56</v>
      </c>
      <c r="D22" s="66" t="s">
        <v>693</v>
      </c>
      <c r="E22" s="66" t="s">
        <v>1318</v>
      </c>
    </row>
    <row r="23" spans="1:5" ht="12.75" customHeight="1" x14ac:dyDescent="0.15">
      <c r="A23" s="66" t="s">
        <v>0</v>
      </c>
      <c r="B23" s="66" t="s">
        <v>2817</v>
      </c>
      <c r="C23" s="66">
        <v>9</v>
      </c>
      <c r="D23" s="66" t="s">
        <v>679</v>
      </c>
      <c r="E23" s="66" t="s">
        <v>1318</v>
      </c>
    </row>
    <row r="24" spans="1:5" ht="12.75" customHeight="1" x14ac:dyDescent="0.15">
      <c r="A24" s="66" t="s">
        <v>2428</v>
      </c>
      <c r="B24" s="66" t="s">
        <v>2817</v>
      </c>
      <c r="C24" s="66">
        <v>80.2</v>
      </c>
      <c r="D24" s="66" t="s">
        <v>91</v>
      </c>
      <c r="E24" s="66" t="s">
        <v>1318</v>
      </c>
    </row>
    <row r="25" spans="1:5" ht="12.75" customHeight="1" x14ac:dyDescent="0.15">
      <c r="A25" s="66" t="s">
        <v>1002</v>
      </c>
      <c r="B25" s="66" t="s">
        <v>2817</v>
      </c>
      <c r="C25" s="66">
        <v>59</v>
      </c>
      <c r="D25" s="66" t="s">
        <v>1341</v>
      </c>
      <c r="E25" s="66" t="s">
        <v>1318</v>
      </c>
    </row>
    <row r="26" spans="1:5" ht="12.75" customHeight="1" x14ac:dyDescent="0.15">
      <c r="A26" s="66" t="s">
        <v>477</v>
      </c>
      <c r="B26" s="66" t="s">
        <v>2817</v>
      </c>
      <c r="C26" s="66">
        <v>100</v>
      </c>
      <c r="D26" s="66" t="s">
        <v>1265</v>
      </c>
      <c r="E26" s="66" t="s">
        <v>1318</v>
      </c>
    </row>
    <row r="27" spans="1:5" ht="12.75" customHeight="1" x14ac:dyDescent="0.15">
      <c r="A27" s="66" t="s">
        <v>2315</v>
      </c>
      <c r="B27" s="66" t="s">
        <v>2817</v>
      </c>
      <c r="C27" s="66">
        <v>0.2</v>
      </c>
      <c r="D27" s="66" t="s">
        <v>1283</v>
      </c>
      <c r="E27" s="66" t="s">
        <v>2466</v>
      </c>
    </row>
    <row r="28" spans="1:5" ht="12.75" customHeight="1" x14ac:dyDescent="0.15">
      <c r="A28" s="66" t="s">
        <v>2406</v>
      </c>
      <c r="B28" s="66" t="s">
        <v>2817</v>
      </c>
      <c r="C28" s="66">
        <v>0.15</v>
      </c>
      <c r="D28" s="66" t="s">
        <v>1070</v>
      </c>
      <c r="E28" s="66" t="s">
        <v>2466</v>
      </c>
    </row>
    <row r="29" spans="1:5" ht="12.75" customHeight="1" x14ac:dyDescent="0.15">
      <c r="A29" s="66" t="s">
        <v>81</v>
      </c>
      <c r="B29" s="66" t="s">
        <v>2817</v>
      </c>
      <c r="C29" s="66">
        <v>1.5</v>
      </c>
      <c r="D29" s="66" t="s">
        <v>1039</v>
      </c>
      <c r="E29" s="66" t="s">
        <v>2466</v>
      </c>
    </row>
    <row r="30" spans="1:5" ht="12.75" customHeight="1" x14ac:dyDescent="0.15">
      <c r="A30" s="66" t="s">
        <v>2680</v>
      </c>
      <c r="B30" s="66" t="s">
        <v>2817</v>
      </c>
      <c r="C30" s="66">
        <v>1.4</v>
      </c>
      <c r="D30" s="66" t="s">
        <v>2853</v>
      </c>
      <c r="E30" s="66" t="s">
        <v>1318</v>
      </c>
    </row>
    <row r="31" spans="1:5" ht="12.75" customHeight="1" x14ac:dyDescent="0.15">
      <c r="A31" s="66" t="s">
        <v>2419</v>
      </c>
      <c r="B31" s="66" t="s">
        <v>2817</v>
      </c>
      <c r="C31" s="66">
        <v>0</v>
      </c>
      <c r="D31" s="66" t="s">
        <v>901</v>
      </c>
      <c r="E31" s="66" t="s">
        <v>1318</v>
      </c>
    </row>
    <row r="32" spans="1:5" ht="12.75" customHeight="1" x14ac:dyDescent="0.15">
      <c r="A32" s="66" t="s">
        <v>2350</v>
      </c>
      <c r="B32" s="66" t="s">
        <v>2817</v>
      </c>
      <c r="C32" s="66">
        <v>0</v>
      </c>
      <c r="D32" s="66" t="s">
        <v>143</v>
      </c>
      <c r="E32" s="66" t="s">
        <v>1318</v>
      </c>
    </row>
    <row r="33" spans="1:5" ht="12.75" customHeight="1" x14ac:dyDescent="0.15">
      <c r="A33" s="66" t="s">
        <v>1967</v>
      </c>
      <c r="B33" s="66" t="s">
        <v>2817</v>
      </c>
      <c r="C33" s="66">
        <v>10.4</v>
      </c>
      <c r="D33" s="66" t="s">
        <v>2468</v>
      </c>
      <c r="E33" s="66" t="s">
        <v>1318</v>
      </c>
    </row>
    <row r="34" spans="1:5" ht="12.75" customHeight="1" x14ac:dyDescent="0.15">
      <c r="A34" s="66" t="s">
        <v>928</v>
      </c>
      <c r="B34" s="66" t="s">
        <v>2817</v>
      </c>
      <c r="C34" s="66">
        <v>1</v>
      </c>
      <c r="D34" s="66" t="s">
        <v>768</v>
      </c>
      <c r="E34" s="66" t="s">
        <v>930</v>
      </c>
    </row>
    <row r="35" spans="1:5" ht="12.75" customHeight="1" x14ac:dyDescent="0.15">
      <c r="A35" s="66" t="s">
        <v>2197</v>
      </c>
      <c r="B35" s="66" t="s">
        <v>2817</v>
      </c>
      <c r="C35" s="66">
        <v>1.5</v>
      </c>
      <c r="D35" s="66" t="s">
        <v>1039</v>
      </c>
      <c r="E35" s="66" t="s">
        <v>2466</v>
      </c>
    </row>
    <row r="36" spans="1:5" ht="12.75" customHeight="1" x14ac:dyDescent="0.15">
      <c r="A36" s="66" t="s">
        <v>2247</v>
      </c>
      <c r="B36" s="66" t="s">
        <v>2817</v>
      </c>
      <c r="C36" s="66">
        <v>1.0386</v>
      </c>
      <c r="D36" s="66" t="s">
        <v>1039</v>
      </c>
      <c r="E36" s="66" t="s">
        <v>2466</v>
      </c>
    </row>
    <row r="37" spans="1:5" ht="12.75" customHeight="1" x14ac:dyDescent="0.15">
      <c r="A37" s="66" t="s">
        <v>982</v>
      </c>
      <c r="B37" s="66" t="s">
        <v>2817</v>
      </c>
      <c r="C37" s="66">
        <v>1108</v>
      </c>
      <c r="D37" s="66" t="s">
        <v>1039</v>
      </c>
      <c r="E37" s="66" t="s">
        <v>2466</v>
      </c>
    </row>
    <row r="38" spans="1:5" ht="12.75" customHeight="1" x14ac:dyDescent="0.15">
      <c r="A38" s="66" t="s">
        <v>263</v>
      </c>
      <c r="B38" s="66" t="s">
        <v>2817</v>
      </c>
      <c r="C38" s="66">
        <v>9</v>
      </c>
      <c r="D38" s="66" t="s">
        <v>1183</v>
      </c>
      <c r="E38" s="66" t="s">
        <v>1318</v>
      </c>
    </row>
    <row r="39" spans="1:5" ht="12.75" customHeight="1" x14ac:dyDescent="0.15">
      <c r="A39" s="66" t="s">
        <v>1243</v>
      </c>
      <c r="B39" s="66" t="s">
        <v>2817</v>
      </c>
      <c r="C39" s="66">
        <v>1.2E-2</v>
      </c>
      <c r="D39" s="66" t="s">
        <v>1224</v>
      </c>
      <c r="E39" s="66" t="s">
        <v>2466</v>
      </c>
    </row>
    <row r="40" spans="1:5" ht="12.75" customHeight="1" x14ac:dyDescent="0.15">
      <c r="A40" s="66" t="s">
        <v>1202</v>
      </c>
      <c r="B40" s="66" t="s">
        <v>2817</v>
      </c>
      <c r="C40" s="66">
        <v>0.01</v>
      </c>
      <c r="D40" s="66" t="s">
        <v>569</v>
      </c>
      <c r="E40" s="66" t="s">
        <v>2466</v>
      </c>
    </row>
    <row r="41" spans="1:5" ht="12.75" customHeight="1" x14ac:dyDescent="0.15">
      <c r="A41" s="66" t="s">
        <v>1691</v>
      </c>
      <c r="B41" s="66" t="s">
        <v>2817</v>
      </c>
      <c r="C41" s="66">
        <v>100</v>
      </c>
      <c r="D41" s="66" t="s">
        <v>1759</v>
      </c>
      <c r="E41" s="66" t="s">
        <v>1318</v>
      </c>
    </row>
    <row r="42" spans="1:5" ht="12.75" customHeight="1" x14ac:dyDescent="0.15">
      <c r="A42" s="66" t="s">
        <v>1744</v>
      </c>
      <c r="B42" s="66" t="s">
        <v>2817</v>
      </c>
      <c r="C42" s="66">
        <v>0.43880000000000002</v>
      </c>
      <c r="D42" s="66" t="s">
        <v>1039</v>
      </c>
      <c r="E42" s="66" t="s">
        <v>2466</v>
      </c>
    </row>
    <row r="43" spans="1:5" ht="12.75" customHeight="1" x14ac:dyDescent="0.15">
      <c r="A43" s="66" t="s">
        <v>2705</v>
      </c>
      <c r="B43" s="66" t="s">
        <v>2817</v>
      </c>
      <c r="C43" s="66">
        <v>1138.5999999999999</v>
      </c>
      <c r="D43" s="66" t="s">
        <v>1039</v>
      </c>
      <c r="E43" s="66" t="s">
        <v>2617</v>
      </c>
    </row>
    <row r="44" spans="1:5" ht="12.75" customHeight="1" x14ac:dyDescent="0.15">
      <c r="A44" s="66" t="s">
        <v>1859</v>
      </c>
      <c r="B44" s="66" t="s">
        <v>2817</v>
      </c>
      <c r="C44" s="66">
        <v>1088</v>
      </c>
      <c r="D44" s="66" t="s">
        <v>1039</v>
      </c>
      <c r="E44" s="66" t="s">
        <v>2466</v>
      </c>
    </row>
    <row r="45" spans="1:5" ht="12.75" customHeight="1" x14ac:dyDescent="0.15">
      <c r="A45" s="66" t="s">
        <v>1012</v>
      </c>
      <c r="B45" s="66" t="s">
        <v>2817</v>
      </c>
      <c r="C45" s="66">
        <v>10.37</v>
      </c>
      <c r="D45" s="66" t="s">
        <v>983</v>
      </c>
      <c r="E45" s="66" t="s">
        <v>2466</v>
      </c>
    </row>
    <row r="46" spans="1:5" ht="12.75" customHeight="1" x14ac:dyDescent="0.15">
      <c r="A46" s="66" t="s">
        <v>545</v>
      </c>
      <c r="B46" s="66" t="s">
        <v>2817</v>
      </c>
      <c r="C46" s="66">
        <v>100</v>
      </c>
      <c r="D46" s="66" t="s">
        <v>1698</v>
      </c>
      <c r="E46" s="66" t="s">
        <v>1318</v>
      </c>
    </row>
    <row r="47" spans="1:5" ht="12.75" customHeight="1" x14ac:dyDescent="0.15">
      <c r="A47" s="66" t="s">
        <v>2621</v>
      </c>
      <c r="B47" s="66" t="s">
        <v>2817</v>
      </c>
      <c r="C47" s="66">
        <v>100</v>
      </c>
      <c r="D47" s="66" t="s">
        <v>2530</v>
      </c>
      <c r="E47" s="66" t="s">
        <v>1318</v>
      </c>
    </row>
  </sheetData>
  <phoneticPr fontId="5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41463-3EF0-414E-AB45-DFB747FF57B1}">
  <sheetPr>
    <tabColor rgb="FFFF0000"/>
  </sheetPr>
  <dimension ref="A1:D50"/>
  <sheetViews>
    <sheetView showFormulas="1" workbookViewId="0">
      <selection activeCell="F8" sqref="F8"/>
    </sheetView>
  </sheetViews>
  <sheetFormatPr defaultRowHeight="12.75" customHeight="1" x14ac:dyDescent="0.15"/>
  <cols>
    <col min="1" max="1" width="28.5" style="64" customWidth="1"/>
    <col min="2" max="2" width="11.5" style="64" customWidth="1"/>
    <col min="3" max="3" width="28.5" style="64" customWidth="1"/>
    <col min="4" max="4" width="45.6640625" style="64" customWidth="1"/>
    <col min="5" max="256" width="9.1640625" style="64"/>
    <col min="257" max="257" width="28.5" style="64" customWidth="1"/>
    <col min="258" max="258" width="11.5" style="64" customWidth="1"/>
    <col min="259" max="259" width="28.5" style="64" customWidth="1"/>
    <col min="260" max="260" width="45.6640625" style="64" customWidth="1"/>
    <col min="261" max="512" width="9.1640625" style="64"/>
    <col min="513" max="513" width="28.5" style="64" customWidth="1"/>
    <col min="514" max="514" width="11.5" style="64" customWidth="1"/>
    <col min="515" max="515" width="28.5" style="64" customWidth="1"/>
    <col min="516" max="516" width="45.6640625" style="64" customWidth="1"/>
    <col min="517" max="768" width="9.1640625" style="64"/>
    <col min="769" max="769" width="28.5" style="64" customWidth="1"/>
    <col min="770" max="770" width="11.5" style="64" customWidth="1"/>
    <col min="771" max="771" width="28.5" style="64" customWidth="1"/>
    <col min="772" max="772" width="45.6640625" style="64" customWidth="1"/>
    <col min="773" max="1024" width="9.1640625" style="64"/>
    <col min="1025" max="1025" width="28.5" style="64" customWidth="1"/>
    <col min="1026" max="1026" width="11.5" style="64" customWidth="1"/>
    <col min="1027" max="1027" width="28.5" style="64" customWidth="1"/>
    <col min="1028" max="1028" width="45.6640625" style="64" customWidth="1"/>
    <col min="1029" max="1280" width="9.1640625" style="64"/>
    <col min="1281" max="1281" width="28.5" style="64" customWidth="1"/>
    <col min="1282" max="1282" width="11.5" style="64" customWidth="1"/>
    <col min="1283" max="1283" width="28.5" style="64" customWidth="1"/>
    <col min="1284" max="1284" width="45.6640625" style="64" customWidth="1"/>
    <col min="1285" max="1536" width="9.1640625" style="64"/>
    <col min="1537" max="1537" width="28.5" style="64" customWidth="1"/>
    <col min="1538" max="1538" width="11.5" style="64" customWidth="1"/>
    <col min="1539" max="1539" width="28.5" style="64" customWidth="1"/>
    <col min="1540" max="1540" width="45.6640625" style="64" customWidth="1"/>
    <col min="1541" max="1792" width="9.1640625" style="64"/>
    <col min="1793" max="1793" width="28.5" style="64" customWidth="1"/>
    <col min="1794" max="1794" width="11.5" style="64" customWidth="1"/>
    <col min="1795" max="1795" width="28.5" style="64" customWidth="1"/>
    <col min="1796" max="1796" width="45.6640625" style="64" customWidth="1"/>
    <col min="1797" max="2048" width="9.1640625" style="64"/>
    <col min="2049" max="2049" width="28.5" style="64" customWidth="1"/>
    <col min="2050" max="2050" width="11.5" style="64" customWidth="1"/>
    <col min="2051" max="2051" width="28.5" style="64" customWidth="1"/>
    <col min="2052" max="2052" width="45.6640625" style="64" customWidth="1"/>
    <col min="2053" max="2304" width="9.1640625" style="64"/>
    <col min="2305" max="2305" width="28.5" style="64" customWidth="1"/>
    <col min="2306" max="2306" width="11.5" style="64" customWidth="1"/>
    <col min="2307" max="2307" width="28.5" style="64" customWidth="1"/>
    <col min="2308" max="2308" width="45.6640625" style="64" customWidth="1"/>
    <col min="2309" max="2560" width="9.1640625" style="64"/>
    <col min="2561" max="2561" width="28.5" style="64" customWidth="1"/>
    <col min="2562" max="2562" width="11.5" style="64" customWidth="1"/>
    <col min="2563" max="2563" width="28.5" style="64" customWidth="1"/>
    <col min="2564" max="2564" width="45.6640625" style="64" customWidth="1"/>
    <col min="2565" max="2816" width="9.1640625" style="64"/>
    <col min="2817" max="2817" width="28.5" style="64" customWidth="1"/>
    <col min="2818" max="2818" width="11.5" style="64" customWidth="1"/>
    <col min="2819" max="2819" width="28.5" style="64" customWidth="1"/>
    <col min="2820" max="2820" width="45.6640625" style="64" customWidth="1"/>
    <col min="2821" max="3072" width="9.1640625" style="64"/>
    <col min="3073" max="3073" width="28.5" style="64" customWidth="1"/>
    <col min="3074" max="3074" width="11.5" style="64" customWidth="1"/>
    <col min="3075" max="3075" width="28.5" style="64" customWidth="1"/>
    <col min="3076" max="3076" width="45.6640625" style="64" customWidth="1"/>
    <col min="3077" max="3328" width="9.1640625" style="64"/>
    <col min="3329" max="3329" width="28.5" style="64" customWidth="1"/>
    <col min="3330" max="3330" width="11.5" style="64" customWidth="1"/>
    <col min="3331" max="3331" width="28.5" style="64" customWidth="1"/>
    <col min="3332" max="3332" width="45.6640625" style="64" customWidth="1"/>
    <col min="3333" max="3584" width="9.1640625" style="64"/>
    <col min="3585" max="3585" width="28.5" style="64" customWidth="1"/>
    <col min="3586" max="3586" width="11.5" style="64" customWidth="1"/>
    <col min="3587" max="3587" width="28.5" style="64" customWidth="1"/>
    <col min="3588" max="3588" width="45.6640625" style="64" customWidth="1"/>
    <col min="3589" max="3840" width="9.1640625" style="64"/>
    <col min="3841" max="3841" width="28.5" style="64" customWidth="1"/>
    <col min="3842" max="3842" width="11.5" style="64" customWidth="1"/>
    <col min="3843" max="3843" width="28.5" style="64" customWidth="1"/>
    <col min="3844" max="3844" width="45.6640625" style="64" customWidth="1"/>
    <col min="3845" max="4096" width="9.1640625" style="64"/>
    <col min="4097" max="4097" width="28.5" style="64" customWidth="1"/>
    <col min="4098" max="4098" width="11.5" style="64" customWidth="1"/>
    <col min="4099" max="4099" width="28.5" style="64" customWidth="1"/>
    <col min="4100" max="4100" width="45.6640625" style="64" customWidth="1"/>
    <col min="4101" max="4352" width="9.1640625" style="64"/>
    <col min="4353" max="4353" width="28.5" style="64" customWidth="1"/>
    <col min="4354" max="4354" width="11.5" style="64" customWidth="1"/>
    <col min="4355" max="4355" width="28.5" style="64" customWidth="1"/>
    <col min="4356" max="4356" width="45.6640625" style="64" customWidth="1"/>
    <col min="4357" max="4608" width="9.1640625" style="64"/>
    <col min="4609" max="4609" width="28.5" style="64" customWidth="1"/>
    <col min="4610" max="4610" width="11.5" style="64" customWidth="1"/>
    <col min="4611" max="4611" width="28.5" style="64" customWidth="1"/>
    <col min="4612" max="4612" width="45.6640625" style="64" customWidth="1"/>
    <col min="4613" max="4864" width="9.1640625" style="64"/>
    <col min="4865" max="4865" width="28.5" style="64" customWidth="1"/>
    <col min="4866" max="4866" width="11.5" style="64" customWidth="1"/>
    <col min="4867" max="4867" width="28.5" style="64" customWidth="1"/>
    <col min="4868" max="4868" width="45.6640625" style="64" customWidth="1"/>
    <col min="4869" max="5120" width="9.1640625" style="64"/>
    <col min="5121" max="5121" width="28.5" style="64" customWidth="1"/>
    <col min="5122" max="5122" width="11.5" style="64" customWidth="1"/>
    <col min="5123" max="5123" width="28.5" style="64" customWidth="1"/>
    <col min="5124" max="5124" width="45.6640625" style="64" customWidth="1"/>
    <col min="5125" max="5376" width="9.1640625" style="64"/>
    <col min="5377" max="5377" width="28.5" style="64" customWidth="1"/>
    <col min="5378" max="5378" width="11.5" style="64" customWidth="1"/>
    <col min="5379" max="5379" width="28.5" style="64" customWidth="1"/>
    <col min="5380" max="5380" width="45.6640625" style="64" customWidth="1"/>
    <col min="5381" max="5632" width="9.1640625" style="64"/>
    <col min="5633" max="5633" width="28.5" style="64" customWidth="1"/>
    <col min="5634" max="5634" width="11.5" style="64" customWidth="1"/>
    <col min="5635" max="5635" width="28.5" style="64" customWidth="1"/>
    <col min="5636" max="5636" width="45.6640625" style="64" customWidth="1"/>
    <col min="5637" max="5888" width="9.1640625" style="64"/>
    <col min="5889" max="5889" width="28.5" style="64" customWidth="1"/>
    <col min="5890" max="5890" width="11.5" style="64" customWidth="1"/>
    <col min="5891" max="5891" width="28.5" style="64" customWidth="1"/>
    <col min="5892" max="5892" width="45.6640625" style="64" customWidth="1"/>
    <col min="5893" max="6144" width="9.1640625" style="64"/>
    <col min="6145" max="6145" width="28.5" style="64" customWidth="1"/>
    <col min="6146" max="6146" width="11.5" style="64" customWidth="1"/>
    <col min="6147" max="6147" width="28.5" style="64" customWidth="1"/>
    <col min="6148" max="6148" width="45.6640625" style="64" customWidth="1"/>
    <col min="6149" max="6400" width="9.1640625" style="64"/>
    <col min="6401" max="6401" width="28.5" style="64" customWidth="1"/>
    <col min="6402" max="6402" width="11.5" style="64" customWidth="1"/>
    <col min="6403" max="6403" width="28.5" style="64" customWidth="1"/>
    <col min="6404" max="6404" width="45.6640625" style="64" customWidth="1"/>
    <col min="6405" max="6656" width="9.1640625" style="64"/>
    <col min="6657" max="6657" width="28.5" style="64" customWidth="1"/>
    <col min="6658" max="6658" width="11.5" style="64" customWidth="1"/>
    <col min="6659" max="6659" width="28.5" style="64" customWidth="1"/>
    <col min="6660" max="6660" width="45.6640625" style="64" customWidth="1"/>
    <col min="6661" max="6912" width="9.1640625" style="64"/>
    <col min="6913" max="6913" width="28.5" style="64" customWidth="1"/>
    <col min="6914" max="6914" width="11.5" style="64" customWidth="1"/>
    <col min="6915" max="6915" width="28.5" style="64" customWidth="1"/>
    <col min="6916" max="6916" width="45.6640625" style="64" customWidth="1"/>
    <col min="6917" max="7168" width="9.1640625" style="64"/>
    <col min="7169" max="7169" width="28.5" style="64" customWidth="1"/>
    <col min="7170" max="7170" width="11.5" style="64" customWidth="1"/>
    <col min="7171" max="7171" width="28.5" style="64" customWidth="1"/>
    <col min="7172" max="7172" width="45.6640625" style="64" customWidth="1"/>
    <col min="7173" max="7424" width="9.1640625" style="64"/>
    <col min="7425" max="7425" width="28.5" style="64" customWidth="1"/>
    <col min="7426" max="7426" width="11.5" style="64" customWidth="1"/>
    <col min="7427" max="7427" width="28.5" style="64" customWidth="1"/>
    <col min="7428" max="7428" width="45.6640625" style="64" customWidth="1"/>
    <col min="7429" max="7680" width="9.1640625" style="64"/>
    <col min="7681" max="7681" width="28.5" style="64" customWidth="1"/>
    <col min="7682" max="7682" width="11.5" style="64" customWidth="1"/>
    <col min="7683" max="7683" width="28.5" style="64" customWidth="1"/>
    <col min="7684" max="7684" width="45.6640625" style="64" customWidth="1"/>
    <col min="7685" max="7936" width="9.1640625" style="64"/>
    <col min="7937" max="7937" width="28.5" style="64" customWidth="1"/>
    <col min="7938" max="7938" width="11.5" style="64" customWidth="1"/>
    <col min="7939" max="7939" width="28.5" style="64" customWidth="1"/>
    <col min="7940" max="7940" width="45.6640625" style="64" customWidth="1"/>
    <col min="7941" max="8192" width="9.1640625" style="64"/>
    <col min="8193" max="8193" width="28.5" style="64" customWidth="1"/>
    <col min="8194" max="8194" width="11.5" style="64" customWidth="1"/>
    <col min="8195" max="8195" width="28.5" style="64" customWidth="1"/>
    <col min="8196" max="8196" width="45.6640625" style="64" customWidth="1"/>
    <col min="8197" max="8448" width="9.1640625" style="64"/>
    <col min="8449" max="8449" width="28.5" style="64" customWidth="1"/>
    <col min="8450" max="8450" width="11.5" style="64" customWidth="1"/>
    <col min="8451" max="8451" width="28.5" style="64" customWidth="1"/>
    <col min="8452" max="8452" width="45.6640625" style="64" customWidth="1"/>
    <col min="8453" max="8704" width="9.1640625" style="64"/>
    <col min="8705" max="8705" width="28.5" style="64" customWidth="1"/>
    <col min="8706" max="8706" width="11.5" style="64" customWidth="1"/>
    <col min="8707" max="8707" width="28.5" style="64" customWidth="1"/>
    <col min="8708" max="8708" width="45.6640625" style="64" customWidth="1"/>
    <col min="8709" max="8960" width="9.1640625" style="64"/>
    <col min="8961" max="8961" width="28.5" style="64" customWidth="1"/>
    <col min="8962" max="8962" width="11.5" style="64" customWidth="1"/>
    <col min="8963" max="8963" width="28.5" style="64" customWidth="1"/>
    <col min="8964" max="8964" width="45.6640625" style="64" customWidth="1"/>
    <col min="8965" max="9216" width="9.1640625" style="64"/>
    <col min="9217" max="9217" width="28.5" style="64" customWidth="1"/>
    <col min="9218" max="9218" width="11.5" style="64" customWidth="1"/>
    <col min="9219" max="9219" width="28.5" style="64" customWidth="1"/>
    <col min="9220" max="9220" width="45.6640625" style="64" customWidth="1"/>
    <col min="9221" max="9472" width="9.1640625" style="64"/>
    <col min="9473" max="9473" width="28.5" style="64" customWidth="1"/>
    <col min="9474" max="9474" width="11.5" style="64" customWidth="1"/>
    <col min="9475" max="9475" width="28.5" style="64" customWidth="1"/>
    <col min="9476" max="9476" width="45.6640625" style="64" customWidth="1"/>
    <col min="9477" max="9728" width="9.1640625" style="64"/>
    <col min="9729" max="9729" width="28.5" style="64" customWidth="1"/>
    <col min="9730" max="9730" width="11.5" style="64" customWidth="1"/>
    <col min="9731" max="9731" width="28.5" style="64" customWidth="1"/>
    <col min="9732" max="9732" width="45.6640625" style="64" customWidth="1"/>
    <col min="9733" max="9984" width="9.1640625" style="64"/>
    <col min="9985" max="9985" width="28.5" style="64" customWidth="1"/>
    <col min="9986" max="9986" width="11.5" style="64" customWidth="1"/>
    <col min="9987" max="9987" width="28.5" style="64" customWidth="1"/>
    <col min="9988" max="9988" width="45.6640625" style="64" customWidth="1"/>
    <col min="9989" max="10240" width="9.1640625" style="64"/>
    <col min="10241" max="10241" width="28.5" style="64" customWidth="1"/>
    <col min="10242" max="10242" width="11.5" style="64" customWidth="1"/>
    <col min="10243" max="10243" width="28.5" style="64" customWidth="1"/>
    <col min="10244" max="10244" width="45.6640625" style="64" customWidth="1"/>
    <col min="10245" max="10496" width="9.1640625" style="64"/>
    <col min="10497" max="10497" width="28.5" style="64" customWidth="1"/>
    <col min="10498" max="10498" width="11.5" style="64" customWidth="1"/>
    <col min="10499" max="10499" width="28.5" style="64" customWidth="1"/>
    <col min="10500" max="10500" width="45.6640625" style="64" customWidth="1"/>
    <col min="10501" max="10752" width="9.1640625" style="64"/>
    <col min="10753" max="10753" width="28.5" style="64" customWidth="1"/>
    <col min="10754" max="10754" width="11.5" style="64" customWidth="1"/>
    <col min="10755" max="10755" width="28.5" style="64" customWidth="1"/>
    <col min="10756" max="10756" width="45.6640625" style="64" customWidth="1"/>
    <col min="10757" max="11008" width="9.1640625" style="64"/>
    <col min="11009" max="11009" width="28.5" style="64" customWidth="1"/>
    <col min="11010" max="11010" width="11.5" style="64" customWidth="1"/>
    <col min="11011" max="11011" width="28.5" style="64" customWidth="1"/>
    <col min="11012" max="11012" width="45.6640625" style="64" customWidth="1"/>
    <col min="11013" max="11264" width="9.1640625" style="64"/>
    <col min="11265" max="11265" width="28.5" style="64" customWidth="1"/>
    <col min="11266" max="11266" width="11.5" style="64" customWidth="1"/>
    <col min="11267" max="11267" width="28.5" style="64" customWidth="1"/>
    <col min="11268" max="11268" width="45.6640625" style="64" customWidth="1"/>
    <col min="11269" max="11520" width="9.1640625" style="64"/>
    <col min="11521" max="11521" width="28.5" style="64" customWidth="1"/>
    <col min="11522" max="11522" width="11.5" style="64" customWidth="1"/>
    <col min="11523" max="11523" width="28.5" style="64" customWidth="1"/>
    <col min="11524" max="11524" width="45.6640625" style="64" customWidth="1"/>
    <col min="11525" max="11776" width="9.1640625" style="64"/>
    <col min="11777" max="11777" width="28.5" style="64" customWidth="1"/>
    <col min="11778" max="11778" width="11.5" style="64" customWidth="1"/>
    <col min="11779" max="11779" width="28.5" style="64" customWidth="1"/>
    <col min="11780" max="11780" width="45.6640625" style="64" customWidth="1"/>
    <col min="11781" max="12032" width="9.1640625" style="64"/>
    <col min="12033" max="12033" width="28.5" style="64" customWidth="1"/>
    <col min="12034" max="12034" width="11.5" style="64" customWidth="1"/>
    <col min="12035" max="12035" width="28.5" style="64" customWidth="1"/>
    <col min="12036" max="12036" width="45.6640625" style="64" customWidth="1"/>
    <col min="12037" max="12288" width="9.1640625" style="64"/>
    <col min="12289" max="12289" width="28.5" style="64" customWidth="1"/>
    <col min="12290" max="12290" width="11.5" style="64" customWidth="1"/>
    <col min="12291" max="12291" width="28.5" style="64" customWidth="1"/>
    <col min="12292" max="12292" width="45.6640625" style="64" customWidth="1"/>
    <col min="12293" max="12544" width="9.1640625" style="64"/>
    <col min="12545" max="12545" width="28.5" style="64" customWidth="1"/>
    <col min="12546" max="12546" width="11.5" style="64" customWidth="1"/>
    <col min="12547" max="12547" width="28.5" style="64" customWidth="1"/>
    <col min="12548" max="12548" width="45.6640625" style="64" customWidth="1"/>
    <col min="12549" max="12800" width="9.1640625" style="64"/>
    <col min="12801" max="12801" width="28.5" style="64" customWidth="1"/>
    <col min="12802" max="12802" width="11.5" style="64" customWidth="1"/>
    <col min="12803" max="12803" width="28.5" style="64" customWidth="1"/>
    <col min="12804" max="12804" width="45.6640625" style="64" customWidth="1"/>
    <col min="12805" max="13056" width="9.1640625" style="64"/>
    <col min="13057" max="13057" width="28.5" style="64" customWidth="1"/>
    <col min="13058" max="13058" width="11.5" style="64" customWidth="1"/>
    <col min="13059" max="13059" width="28.5" style="64" customWidth="1"/>
    <col min="13060" max="13060" width="45.6640625" style="64" customWidth="1"/>
    <col min="13061" max="13312" width="9.1640625" style="64"/>
    <col min="13313" max="13313" width="28.5" style="64" customWidth="1"/>
    <col min="13314" max="13314" width="11.5" style="64" customWidth="1"/>
    <col min="13315" max="13315" width="28.5" style="64" customWidth="1"/>
    <col min="13316" max="13316" width="45.6640625" style="64" customWidth="1"/>
    <col min="13317" max="13568" width="9.1640625" style="64"/>
    <col min="13569" max="13569" width="28.5" style="64" customWidth="1"/>
    <col min="13570" max="13570" width="11.5" style="64" customWidth="1"/>
    <col min="13571" max="13571" width="28.5" style="64" customWidth="1"/>
    <col min="13572" max="13572" width="45.6640625" style="64" customWidth="1"/>
    <col min="13573" max="13824" width="9.1640625" style="64"/>
    <col min="13825" max="13825" width="28.5" style="64" customWidth="1"/>
    <col min="13826" max="13826" width="11.5" style="64" customWidth="1"/>
    <col min="13827" max="13827" width="28.5" style="64" customWidth="1"/>
    <col min="13828" max="13828" width="45.6640625" style="64" customWidth="1"/>
    <col min="13829" max="14080" width="9.1640625" style="64"/>
    <col min="14081" max="14081" width="28.5" style="64" customWidth="1"/>
    <col min="14082" max="14082" width="11.5" style="64" customWidth="1"/>
    <col min="14083" max="14083" width="28.5" style="64" customWidth="1"/>
    <col min="14084" max="14084" width="45.6640625" style="64" customWidth="1"/>
    <col min="14085" max="14336" width="9.1640625" style="64"/>
    <col min="14337" max="14337" width="28.5" style="64" customWidth="1"/>
    <col min="14338" max="14338" width="11.5" style="64" customWidth="1"/>
    <col min="14339" max="14339" width="28.5" style="64" customWidth="1"/>
    <col min="14340" max="14340" width="45.6640625" style="64" customWidth="1"/>
    <col min="14341" max="14592" width="9.1640625" style="64"/>
    <col min="14593" max="14593" width="28.5" style="64" customWidth="1"/>
    <col min="14594" max="14594" width="11.5" style="64" customWidth="1"/>
    <col min="14595" max="14595" width="28.5" style="64" customWidth="1"/>
    <col min="14596" max="14596" width="45.6640625" style="64" customWidth="1"/>
    <col min="14597" max="14848" width="9.1640625" style="64"/>
    <col min="14849" max="14849" width="28.5" style="64" customWidth="1"/>
    <col min="14850" max="14850" width="11.5" style="64" customWidth="1"/>
    <col min="14851" max="14851" width="28.5" style="64" customWidth="1"/>
    <col min="14852" max="14852" width="45.6640625" style="64" customWidth="1"/>
    <col min="14853" max="15104" width="9.1640625" style="64"/>
    <col min="15105" max="15105" width="28.5" style="64" customWidth="1"/>
    <col min="15106" max="15106" width="11.5" style="64" customWidth="1"/>
    <col min="15107" max="15107" width="28.5" style="64" customWidth="1"/>
    <col min="15108" max="15108" width="45.6640625" style="64" customWidth="1"/>
    <col min="15109" max="15360" width="9.1640625" style="64"/>
    <col min="15361" max="15361" width="28.5" style="64" customWidth="1"/>
    <col min="15362" max="15362" width="11.5" style="64" customWidth="1"/>
    <col min="15363" max="15363" width="28.5" style="64" customWidth="1"/>
    <col min="15364" max="15364" width="45.6640625" style="64" customWidth="1"/>
    <col min="15365" max="15616" width="9.1640625" style="64"/>
    <col min="15617" max="15617" width="28.5" style="64" customWidth="1"/>
    <col min="15618" max="15618" width="11.5" style="64" customWidth="1"/>
    <col min="15619" max="15619" width="28.5" style="64" customWidth="1"/>
    <col min="15620" max="15620" width="45.6640625" style="64" customWidth="1"/>
    <col min="15621" max="15872" width="9.1640625" style="64"/>
    <col min="15873" max="15873" width="28.5" style="64" customWidth="1"/>
    <col min="15874" max="15874" width="11.5" style="64" customWidth="1"/>
    <col min="15875" max="15875" width="28.5" style="64" customWidth="1"/>
    <col min="15876" max="15876" width="45.6640625" style="64" customWidth="1"/>
    <col min="15877" max="16128" width="9.1640625" style="64"/>
    <col min="16129" max="16129" width="28.5" style="64" customWidth="1"/>
    <col min="16130" max="16130" width="11.5" style="64" customWidth="1"/>
    <col min="16131" max="16131" width="28.5" style="64" customWidth="1"/>
    <col min="16132" max="16132" width="45.6640625" style="64" customWidth="1"/>
    <col min="16133" max="16384" width="9.1640625" style="64"/>
  </cols>
  <sheetData>
    <row r="1" spans="1:4" ht="12.75" customHeight="1" x14ac:dyDescent="0.15">
      <c r="A1" s="64" t="s">
        <v>2586</v>
      </c>
    </row>
    <row r="2" spans="1:4" ht="12.75" customHeight="1" x14ac:dyDescent="0.15">
      <c r="A2" s="65" t="s">
        <v>255</v>
      </c>
      <c r="B2" s="65" t="s">
        <v>2167</v>
      </c>
      <c r="C2" s="65" t="s">
        <v>483</v>
      </c>
      <c r="D2" s="65" t="s">
        <v>630</v>
      </c>
    </row>
    <row r="3" spans="1:4" ht="12.75" customHeight="1" x14ac:dyDescent="0.15">
      <c r="A3" s="66" t="s">
        <v>1882</v>
      </c>
      <c r="B3" s="66" t="s">
        <v>950</v>
      </c>
      <c r="C3" s="66" t="s">
        <v>2717</v>
      </c>
      <c r="D3" s="66" t="s">
        <v>2859</v>
      </c>
    </row>
    <row r="4" spans="1:4" ht="12.75" customHeight="1" x14ac:dyDescent="0.15">
      <c r="A4" s="66" t="s">
        <v>1776</v>
      </c>
      <c r="B4" s="66" t="s">
        <v>2817</v>
      </c>
      <c r="C4" s="66">
        <v>1289</v>
      </c>
      <c r="D4" s="66" t="s">
        <v>1230</v>
      </c>
    </row>
    <row r="5" spans="1:4" ht="12.75" customHeight="1" x14ac:dyDescent="0.15">
      <c r="A5" s="66" t="s">
        <v>567</v>
      </c>
      <c r="B5" s="66" t="s">
        <v>2817</v>
      </c>
      <c r="C5" s="66">
        <v>1289</v>
      </c>
      <c r="D5" s="66" t="s">
        <v>2438</v>
      </c>
    </row>
    <row r="6" spans="1:4" ht="12.75" customHeight="1" x14ac:dyDescent="0.15">
      <c r="A6" s="66" t="s">
        <v>332</v>
      </c>
      <c r="B6" s="66" t="s">
        <v>2817</v>
      </c>
      <c r="C6" s="66">
        <v>9.15</v>
      </c>
      <c r="D6" s="66" t="s">
        <v>2338</v>
      </c>
    </row>
    <row r="7" spans="1:4" ht="12.75" customHeight="1" x14ac:dyDescent="0.15">
      <c r="A7" s="66" t="s">
        <v>730</v>
      </c>
      <c r="B7" s="66" t="s">
        <v>2817</v>
      </c>
      <c r="C7" s="66">
        <v>0</v>
      </c>
      <c r="D7" s="66" t="s">
        <v>1694</v>
      </c>
    </row>
    <row r="8" spans="1:4" ht="12.75" customHeight="1" x14ac:dyDescent="0.15">
      <c r="A8" s="66" t="s">
        <v>1349</v>
      </c>
      <c r="B8" s="66" t="s">
        <v>2817</v>
      </c>
      <c r="C8" s="66">
        <v>0</v>
      </c>
      <c r="D8" s="66" t="s">
        <v>2556</v>
      </c>
    </row>
    <row r="9" spans="1:4" ht="12.75" customHeight="1" x14ac:dyDescent="0.15">
      <c r="A9" s="66" t="s">
        <v>462</v>
      </c>
      <c r="B9" s="66" t="s">
        <v>2817</v>
      </c>
      <c r="C9" s="66">
        <v>0</v>
      </c>
      <c r="D9" s="66" t="s">
        <v>1258</v>
      </c>
    </row>
    <row r="10" spans="1:4" ht="12.75" customHeight="1" x14ac:dyDescent="0.15">
      <c r="A10" s="66" t="s">
        <v>2071</v>
      </c>
      <c r="B10" s="66" t="s">
        <v>950</v>
      </c>
      <c r="C10" s="66" t="s">
        <v>22</v>
      </c>
      <c r="D10" s="66" t="s">
        <v>2133</v>
      </c>
    </row>
    <row r="11" spans="1:4" ht="12.75" customHeight="1" x14ac:dyDescent="0.15">
      <c r="A11" s="66" t="s">
        <v>21</v>
      </c>
      <c r="B11" s="66" t="s">
        <v>950</v>
      </c>
      <c r="C11" s="66" t="s">
        <v>22</v>
      </c>
      <c r="D11" s="66" t="s">
        <v>601</v>
      </c>
    </row>
    <row r="12" spans="1:4" ht="12.75" customHeight="1" x14ac:dyDescent="0.15">
      <c r="A12" s="66" t="s">
        <v>1677</v>
      </c>
      <c r="B12" s="66" t="s">
        <v>950</v>
      </c>
      <c r="C12" s="66" t="s">
        <v>1495</v>
      </c>
      <c r="D12" s="66" t="s">
        <v>2050</v>
      </c>
    </row>
    <row r="13" spans="1:4" ht="12.75" customHeight="1" x14ac:dyDescent="0.15">
      <c r="A13" s="66" t="s">
        <v>123</v>
      </c>
      <c r="B13" s="66" t="s">
        <v>2817</v>
      </c>
      <c r="C13" s="66">
        <v>1.25</v>
      </c>
      <c r="D13" s="66" t="s">
        <v>2328</v>
      </c>
    </row>
    <row r="14" spans="1:4" ht="12.75" customHeight="1" x14ac:dyDescent="0.15">
      <c r="A14" s="66" t="s">
        <v>1709</v>
      </c>
      <c r="B14" s="66" t="s">
        <v>2817</v>
      </c>
      <c r="C14" s="66">
        <v>1.071</v>
      </c>
      <c r="D14" s="66" t="s">
        <v>1015</v>
      </c>
    </row>
    <row r="15" spans="1:4" ht="12.75" customHeight="1" x14ac:dyDescent="0.15">
      <c r="A15" s="66" t="s">
        <v>1449</v>
      </c>
      <c r="B15" s="66" t="s">
        <v>950</v>
      </c>
      <c r="C15" s="66" t="s">
        <v>2511</v>
      </c>
      <c r="D15" s="66" t="s">
        <v>1865</v>
      </c>
    </row>
    <row r="16" spans="1:4" ht="12.75" customHeight="1" x14ac:dyDescent="0.15">
      <c r="A16" s="66" t="s">
        <v>1879</v>
      </c>
      <c r="B16" s="66" t="s">
        <v>950</v>
      </c>
      <c r="C16" s="66" t="s">
        <v>803</v>
      </c>
      <c r="D16" s="66" t="s">
        <v>1946</v>
      </c>
    </row>
    <row r="17" spans="1:4" ht="12.75" customHeight="1" x14ac:dyDescent="0.15">
      <c r="A17" s="66" t="s">
        <v>536</v>
      </c>
      <c r="B17" s="66" t="s">
        <v>950</v>
      </c>
      <c r="C17" s="66" t="s">
        <v>2511</v>
      </c>
      <c r="D17" s="66" t="s">
        <v>486</v>
      </c>
    </row>
    <row r="18" spans="1:4" ht="12.75" customHeight="1" x14ac:dyDescent="0.15">
      <c r="A18" s="66" t="s">
        <v>1080</v>
      </c>
      <c r="B18" s="66" t="s">
        <v>950</v>
      </c>
      <c r="C18" s="91">
        <f t="shared" ref="C18:C23" si="0">25/20 * 16/12 * 1/8</f>
        <v>0.20833333333333334</v>
      </c>
      <c r="D18" s="66" t="s">
        <v>2669</v>
      </c>
    </row>
    <row r="19" spans="1:4" ht="12.75" customHeight="1" x14ac:dyDescent="0.15">
      <c r="A19" s="66" t="s">
        <v>2598</v>
      </c>
      <c r="B19" s="66" t="s">
        <v>950</v>
      </c>
      <c r="C19" s="91">
        <f t="shared" si="0"/>
        <v>0.20833333333333334</v>
      </c>
      <c r="D19" s="66" t="s">
        <v>852</v>
      </c>
    </row>
    <row r="20" spans="1:4" ht="12.75" customHeight="1" x14ac:dyDescent="0.15">
      <c r="A20" s="66" t="s">
        <v>239</v>
      </c>
      <c r="B20" s="66" t="s">
        <v>950</v>
      </c>
      <c r="C20" s="91">
        <f t="shared" si="0"/>
        <v>0.20833333333333334</v>
      </c>
      <c r="D20" s="66" t="s">
        <v>1954</v>
      </c>
    </row>
    <row r="21" spans="1:4" ht="12.75" customHeight="1" x14ac:dyDescent="0.15">
      <c r="A21" s="66" t="s">
        <v>969</v>
      </c>
      <c r="B21" s="66" t="s">
        <v>950</v>
      </c>
      <c r="C21" s="91">
        <f t="shared" si="0"/>
        <v>0.20833333333333334</v>
      </c>
      <c r="D21" s="66" t="s">
        <v>1229</v>
      </c>
    </row>
    <row r="22" spans="1:4" ht="12.75" customHeight="1" x14ac:dyDescent="0.15">
      <c r="A22" s="66" t="s">
        <v>2645</v>
      </c>
      <c r="B22" s="66" t="s">
        <v>950</v>
      </c>
      <c r="C22" s="91">
        <f t="shared" si="0"/>
        <v>0.20833333333333334</v>
      </c>
      <c r="D22" s="66" t="s">
        <v>2151</v>
      </c>
    </row>
    <row r="23" spans="1:4" ht="12.75" customHeight="1" x14ac:dyDescent="0.15">
      <c r="A23" s="66" t="s">
        <v>1382</v>
      </c>
      <c r="B23" s="66" t="s">
        <v>950</v>
      </c>
      <c r="C23" s="91">
        <f t="shared" si="0"/>
        <v>0.20833333333333334</v>
      </c>
      <c r="D23" s="66" t="s">
        <v>184</v>
      </c>
    </row>
    <row r="24" spans="1:4" ht="12.75" customHeight="1" x14ac:dyDescent="0.15">
      <c r="A24" s="66" t="s">
        <v>2207</v>
      </c>
      <c r="B24" s="66" t="s">
        <v>2817</v>
      </c>
      <c r="C24" s="66">
        <v>1</v>
      </c>
      <c r="D24" s="66" t="s">
        <v>1486</v>
      </c>
    </row>
    <row r="25" spans="1:4" ht="12.75" customHeight="1" x14ac:dyDescent="0.15">
      <c r="A25" s="66" t="s">
        <v>1414</v>
      </c>
      <c r="B25" s="66" t="s">
        <v>2817</v>
      </c>
      <c r="C25" s="66">
        <v>1.5</v>
      </c>
      <c r="D25" s="66" t="s">
        <v>2648</v>
      </c>
    </row>
    <row r="26" spans="1:4" ht="12.75" customHeight="1" x14ac:dyDescent="0.15">
      <c r="A26" s="66" t="s">
        <v>2631</v>
      </c>
      <c r="B26" s="66" t="s">
        <v>2817</v>
      </c>
      <c r="C26" s="66">
        <v>1.1599999999999999</v>
      </c>
      <c r="D26" s="66" t="s">
        <v>2759</v>
      </c>
    </row>
    <row r="27" spans="1:4" ht="12.75" customHeight="1" x14ac:dyDescent="0.15">
      <c r="A27" s="66" t="s">
        <v>2816</v>
      </c>
      <c r="B27" s="66" t="s">
        <v>2817</v>
      </c>
      <c r="C27" s="66">
        <v>1.6</v>
      </c>
      <c r="D27" s="66" t="s">
        <v>731</v>
      </c>
    </row>
    <row r="28" spans="1:4" ht="12.75" customHeight="1" x14ac:dyDescent="0.15">
      <c r="A28" s="66" t="s">
        <v>702</v>
      </c>
      <c r="B28" s="66" t="s">
        <v>2817</v>
      </c>
      <c r="C28" s="66">
        <v>1.6</v>
      </c>
      <c r="D28" s="66" t="s">
        <v>461</v>
      </c>
    </row>
    <row r="29" spans="1:4" ht="12.75" customHeight="1" x14ac:dyDescent="0.15">
      <c r="A29" s="66" t="s">
        <v>2401</v>
      </c>
      <c r="B29" s="66" t="s">
        <v>2817</v>
      </c>
      <c r="C29" s="66">
        <v>1.6</v>
      </c>
      <c r="D29" s="66" t="s">
        <v>1867</v>
      </c>
    </row>
    <row r="30" spans="1:4" ht="12.75" customHeight="1" x14ac:dyDescent="0.15">
      <c r="A30" s="66" t="s">
        <v>1310</v>
      </c>
      <c r="B30" s="66" t="s">
        <v>2817</v>
      </c>
      <c r="C30" s="66">
        <v>1.94</v>
      </c>
      <c r="D30" s="66" t="s">
        <v>1880</v>
      </c>
    </row>
    <row r="31" spans="1:4" ht="12.75" customHeight="1" x14ac:dyDescent="0.15">
      <c r="A31" s="66" t="s">
        <v>2549</v>
      </c>
      <c r="B31" s="66" t="s">
        <v>2817</v>
      </c>
      <c r="C31" s="66">
        <v>1.94</v>
      </c>
      <c r="D31" s="66" t="s">
        <v>2132</v>
      </c>
    </row>
    <row r="32" spans="1:4" ht="12.75" customHeight="1" x14ac:dyDescent="0.15">
      <c r="A32" s="66" t="s">
        <v>991</v>
      </c>
      <c r="B32" s="66" t="s">
        <v>2817</v>
      </c>
      <c r="C32" s="66">
        <v>1.94</v>
      </c>
      <c r="D32" s="66" t="s">
        <v>464</v>
      </c>
    </row>
    <row r="33" spans="1:4" ht="12.75" customHeight="1" x14ac:dyDescent="0.15">
      <c r="A33" s="66" t="s">
        <v>625</v>
      </c>
      <c r="B33" s="66" t="s">
        <v>2817</v>
      </c>
      <c r="C33" s="66">
        <v>1</v>
      </c>
      <c r="D33" s="66" t="s">
        <v>678</v>
      </c>
    </row>
    <row r="34" spans="1:4" ht="12.75" customHeight="1" x14ac:dyDescent="0.15">
      <c r="A34" s="66" t="s">
        <v>1918</v>
      </c>
      <c r="B34" s="66" t="s">
        <v>2817</v>
      </c>
      <c r="C34" s="66">
        <v>1</v>
      </c>
      <c r="D34" s="66" t="s">
        <v>984</v>
      </c>
    </row>
    <row r="35" spans="1:4" ht="12.75" customHeight="1" x14ac:dyDescent="0.15">
      <c r="A35" s="66" t="s">
        <v>238</v>
      </c>
      <c r="B35" s="66" t="s">
        <v>2817</v>
      </c>
      <c r="C35" s="66">
        <v>1</v>
      </c>
      <c r="D35" s="66" t="s">
        <v>1663</v>
      </c>
    </row>
    <row r="36" spans="1:4" ht="12.75" customHeight="1" x14ac:dyDescent="0.15">
      <c r="A36" s="66" t="s">
        <v>1923</v>
      </c>
      <c r="B36" s="66" t="s">
        <v>950</v>
      </c>
      <c r="C36" s="66" t="s">
        <v>803</v>
      </c>
      <c r="D36" s="66" t="s">
        <v>206</v>
      </c>
    </row>
    <row r="37" spans="1:4" ht="12.75" customHeight="1" x14ac:dyDescent="0.15">
      <c r="A37" s="66" t="s">
        <v>1485</v>
      </c>
      <c r="B37" s="66" t="s">
        <v>950</v>
      </c>
      <c r="C37" s="66" t="s">
        <v>803</v>
      </c>
      <c r="D37" s="66" t="s">
        <v>201</v>
      </c>
    </row>
    <row r="38" spans="1:4" ht="12.75" customHeight="1" x14ac:dyDescent="0.15">
      <c r="A38" s="66" t="s">
        <v>315</v>
      </c>
      <c r="B38" s="66" t="s">
        <v>950</v>
      </c>
      <c r="C38" s="66" t="s">
        <v>2511</v>
      </c>
      <c r="D38" s="66" t="s">
        <v>110</v>
      </c>
    </row>
    <row r="39" spans="1:4" ht="12.75" customHeight="1" x14ac:dyDescent="0.15">
      <c r="A39" s="66" t="s">
        <v>2270</v>
      </c>
      <c r="B39" s="66" t="s">
        <v>2817</v>
      </c>
      <c r="C39" s="66">
        <v>1.1100000000000001</v>
      </c>
      <c r="D39" s="66" t="s">
        <v>2532</v>
      </c>
    </row>
    <row r="40" spans="1:4" ht="12.75" customHeight="1" x14ac:dyDescent="0.15">
      <c r="A40" s="66" t="s">
        <v>1024</v>
      </c>
      <c r="B40" s="66" t="s">
        <v>2817</v>
      </c>
      <c r="C40" s="66">
        <v>1.1200000000000001</v>
      </c>
      <c r="D40" s="66" t="s">
        <v>882</v>
      </c>
    </row>
    <row r="41" spans="1:4" ht="12.75" customHeight="1" x14ac:dyDescent="0.15">
      <c r="A41" s="66" t="s">
        <v>2658</v>
      </c>
      <c r="B41" s="66" t="s">
        <v>950</v>
      </c>
      <c r="C41" s="66" t="s">
        <v>2738</v>
      </c>
      <c r="D41" s="66" t="s">
        <v>2426</v>
      </c>
    </row>
    <row r="42" spans="1:4" ht="12.75" customHeight="1" x14ac:dyDescent="0.15">
      <c r="A42" s="66" t="s">
        <v>2178</v>
      </c>
      <c r="B42" s="66" t="s">
        <v>950</v>
      </c>
      <c r="C42" s="66" t="s">
        <v>803</v>
      </c>
      <c r="D42" s="66" t="s">
        <v>2523</v>
      </c>
    </row>
    <row r="43" spans="1:4" ht="12.75" customHeight="1" x14ac:dyDescent="0.15">
      <c r="A43" s="66" t="s">
        <v>1089</v>
      </c>
      <c r="B43" s="66" t="s">
        <v>950</v>
      </c>
      <c r="C43" s="66" t="s">
        <v>2511</v>
      </c>
      <c r="D43" s="66" t="s">
        <v>1419</v>
      </c>
    </row>
    <row r="44" spans="1:4" ht="12.75" customHeight="1" x14ac:dyDescent="0.15">
      <c r="A44" s="66" t="s">
        <v>2112</v>
      </c>
      <c r="B44" s="66" t="s">
        <v>950</v>
      </c>
      <c r="C44" s="66" t="s">
        <v>2511</v>
      </c>
      <c r="D44" s="66" t="s">
        <v>2859</v>
      </c>
    </row>
    <row r="45" spans="1:4" ht="12.75" customHeight="1" x14ac:dyDescent="0.15">
      <c r="A45" s="66" t="s">
        <v>1145</v>
      </c>
      <c r="B45" s="66" t="s">
        <v>950</v>
      </c>
      <c r="C45" s="66" t="s">
        <v>2859</v>
      </c>
      <c r="D45" s="66" t="s">
        <v>2859</v>
      </c>
    </row>
    <row r="46" spans="1:4" ht="12.75" customHeight="1" x14ac:dyDescent="0.15">
      <c r="A46" s="66" t="s">
        <v>835</v>
      </c>
      <c r="B46" s="66" t="s">
        <v>950</v>
      </c>
      <c r="C46" s="66" t="s">
        <v>2859</v>
      </c>
      <c r="D46" s="66" t="s">
        <v>2859</v>
      </c>
    </row>
    <row r="47" spans="1:4" ht="12.75" customHeight="1" x14ac:dyDescent="0.15">
      <c r="A47" s="66" t="s">
        <v>1574</v>
      </c>
      <c r="B47" s="66" t="s">
        <v>2817</v>
      </c>
      <c r="C47" s="66">
        <v>0</v>
      </c>
      <c r="D47" s="66" t="s">
        <v>786</v>
      </c>
    </row>
    <row r="48" spans="1:4" ht="12.75" customHeight="1" x14ac:dyDescent="0.15">
      <c r="A48" s="66" t="s">
        <v>265</v>
      </c>
      <c r="B48" s="66" t="s">
        <v>2817</v>
      </c>
      <c r="C48" s="66">
        <v>0</v>
      </c>
      <c r="D48" s="66" t="s">
        <v>1876</v>
      </c>
    </row>
    <row r="49" spans="1:4" ht="12.75" customHeight="1" x14ac:dyDescent="0.15">
      <c r="A49" s="66" t="s">
        <v>415</v>
      </c>
      <c r="B49" s="66" t="s">
        <v>950</v>
      </c>
      <c r="C49" s="66" t="s">
        <v>1413</v>
      </c>
      <c r="D49" s="66" t="s">
        <v>2859</v>
      </c>
    </row>
    <row r="50" spans="1:4" ht="12.75" customHeight="1" x14ac:dyDescent="0.15">
      <c r="A50" s="66" t="s">
        <v>343</v>
      </c>
      <c r="B50" s="66" t="s">
        <v>950</v>
      </c>
      <c r="C50" s="66" t="s">
        <v>2511</v>
      </c>
      <c r="D50" s="66" t="s">
        <v>2859</v>
      </c>
    </row>
  </sheetData>
  <phoneticPr fontId="5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"/>
  <sheetViews>
    <sheetView workbookViewId="0">
      <selection activeCell="F8" sqref="F8"/>
    </sheetView>
  </sheetViews>
  <sheetFormatPr defaultRowHeight="18.399999999999999" customHeight="1" x14ac:dyDescent="0.15"/>
  <cols>
    <col min="1" max="1" width="30" customWidth="1"/>
    <col min="2" max="2" width="25" customWidth="1"/>
    <col min="3" max="3" width="10" customWidth="1"/>
    <col min="4" max="4" width="20" customWidth="1"/>
    <col min="5" max="5" width="30" customWidth="1"/>
    <col min="6" max="8" width="0" hidden="1" customWidth="1"/>
  </cols>
  <sheetData>
    <row r="1" spans="1:8" ht="18.399999999999999" customHeight="1" thickBot="1" x14ac:dyDescent="0.2">
      <c r="A1" t="s">
        <v>2633</v>
      </c>
    </row>
    <row r="2" spans="1:8" ht="18.399999999999999" customHeight="1" thickBot="1" x14ac:dyDescent="0.2">
      <c r="A2" s="18" t="s">
        <v>2004</v>
      </c>
      <c r="B2" s="19" t="s">
        <v>1092</v>
      </c>
      <c r="C2" s="19" t="s">
        <v>2682</v>
      </c>
      <c r="D2" s="19" t="s">
        <v>1542</v>
      </c>
      <c r="E2" s="21" t="s">
        <v>716</v>
      </c>
    </row>
    <row r="3" spans="1:8" ht="18.399999999999999" customHeight="1" x14ac:dyDescent="0.15">
      <c r="A3" s="13" t="s">
        <v>1009</v>
      </c>
      <c r="B3" s="2" t="s">
        <v>2859</v>
      </c>
      <c r="C3" s="2" t="s">
        <v>1688</v>
      </c>
      <c r="D3" s="27">
        <v>275108</v>
      </c>
      <c r="E3" s="22" t="s">
        <v>2859</v>
      </c>
      <c r="F3" t="s">
        <v>2859</v>
      </c>
      <c r="G3" t="s">
        <v>1953</v>
      </c>
      <c r="H3" t="s">
        <v>1953</v>
      </c>
    </row>
    <row r="4" spans="1:8" ht="18.399999999999999" customHeight="1" x14ac:dyDescent="0.15">
      <c r="A4" s="13" t="s">
        <v>1546</v>
      </c>
      <c r="B4" s="2" t="s">
        <v>2859</v>
      </c>
      <c r="C4" s="2" t="s">
        <v>1688</v>
      </c>
      <c r="D4" s="27">
        <v>237480</v>
      </c>
      <c r="E4" s="22" t="s">
        <v>2859</v>
      </c>
      <c r="F4" t="s">
        <v>1379</v>
      </c>
      <c r="G4" t="s">
        <v>101</v>
      </c>
      <c r="H4" t="s">
        <v>101</v>
      </c>
    </row>
    <row r="5" spans="1:8" ht="18.399999999999999" customHeight="1" x14ac:dyDescent="0.15">
      <c r="A5" s="13" t="s">
        <v>186</v>
      </c>
      <c r="B5" s="2" t="s">
        <v>2859</v>
      </c>
      <c r="C5" s="2" t="s">
        <v>1688</v>
      </c>
      <c r="D5" s="27">
        <v>261934</v>
      </c>
      <c r="E5" s="22" t="s">
        <v>2859</v>
      </c>
      <c r="F5" t="s">
        <v>2859</v>
      </c>
      <c r="G5" t="s">
        <v>1723</v>
      </c>
      <c r="H5" t="s">
        <v>1723</v>
      </c>
    </row>
    <row r="6" spans="1:8" ht="18.399999999999999" customHeight="1" x14ac:dyDescent="0.15">
      <c r="A6" s="13" t="s">
        <v>624</v>
      </c>
      <c r="B6" s="2" t="s">
        <v>2859</v>
      </c>
      <c r="C6" s="2" t="s">
        <v>1688</v>
      </c>
      <c r="D6" s="27">
        <v>282352</v>
      </c>
      <c r="E6" s="22" t="s">
        <v>2859</v>
      </c>
      <c r="F6" t="s">
        <v>2859</v>
      </c>
      <c r="G6" t="s">
        <v>1173</v>
      </c>
      <c r="H6" t="s">
        <v>1173</v>
      </c>
    </row>
    <row r="7" spans="1:8" ht="18.399999999999999" customHeight="1" x14ac:dyDescent="0.15">
      <c r="A7" s="13" t="s">
        <v>2832</v>
      </c>
      <c r="B7" s="2" t="s">
        <v>2859</v>
      </c>
      <c r="C7" s="2" t="s">
        <v>1688</v>
      </c>
      <c r="D7" s="27">
        <v>264080</v>
      </c>
      <c r="E7" s="22" t="s">
        <v>2859</v>
      </c>
      <c r="F7" t="s">
        <v>2859</v>
      </c>
      <c r="G7" t="s">
        <v>1826</v>
      </c>
      <c r="H7" t="s">
        <v>1826</v>
      </c>
    </row>
    <row r="8" spans="1:8" ht="18.399999999999999" customHeight="1" x14ac:dyDescent="0.15">
      <c r="A8" s="13" t="s">
        <v>843</v>
      </c>
      <c r="B8" s="2" t="s">
        <v>2859</v>
      </c>
      <c r="C8" s="2" t="s">
        <v>1688</v>
      </c>
      <c r="D8" s="27">
        <v>229664</v>
      </c>
      <c r="E8" s="22" t="s">
        <v>2859</v>
      </c>
      <c r="F8" t="s">
        <v>289</v>
      </c>
      <c r="G8" t="s">
        <v>262</v>
      </c>
      <c r="H8" t="s">
        <v>262</v>
      </c>
    </row>
    <row r="9" spans="1:8" ht="18.399999999999999" customHeight="1" x14ac:dyDescent="0.15">
      <c r="A9" s="13" t="s">
        <v>2299</v>
      </c>
      <c r="B9" s="2" t="s">
        <v>2859</v>
      </c>
      <c r="C9" s="2" t="s">
        <v>1688</v>
      </c>
      <c r="D9" s="27">
        <v>256854</v>
      </c>
      <c r="E9" s="22" t="s">
        <v>2859</v>
      </c>
      <c r="F9" t="s">
        <v>2859</v>
      </c>
      <c r="G9" t="s">
        <v>772</v>
      </c>
      <c r="H9" t="s">
        <v>772</v>
      </c>
    </row>
    <row r="10" spans="1:8" ht="18.399999999999999" customHeight="1" x14ac:dyDescent="0.15">
      <c r="A10" s="13" t="s">
        <v>886</v>
      </c>
      <c r="B10" s="2" t="s">
        <v>2859</v>
      </c>
      <c r="C10" s="2" t="s">
        <v>1688</v>
      </c>
      <c r="D10" s="27">
        <v>266931</v>
      </c>
      <c r="E10" s="22" t="s">
        <v>2859</v>
      </c>
      <c r="F10" t="s">
        <v>2859</v>
      </c>
      <c r="G10" t="s">
        <v>627</v>
      </c>
      <c r="H10" t="s">
        <v>627</v>
      </c>
    </row>
    <row r="11" spans="1:8" ht="18.399999999999999" customHeight="1" x14ac:dyDescent="0.15">
      <c r="A11" s="13" t="s">
        <v>1635</v>
      </c>
      <c r="B11" s="2" t="s">
        <v>2859</v>
      </c>
      <c r="C11" s="2" t="s">
        <v>1688</v>
      </c>
      <c r="D11" s="27">
        <v>211355</v>
      </c>
      <c r="E11" s="22" t="s">
        <v>2859</v>
      </c>
      <c r="F11" t="s">
        <v>703</v>
      </c>
      <c r="G11" t="s">
        <v>1452</v>
      </c>
      <c r="H11" t="s">
        <v>1452</v>
      </c>
    </row>
    <row r="12" spans="1:8" ht="18.399999999999999" customHeight="1" x14ac:dyDescent="0.15">
      <c r="A12" s="13" t="s">
        <v>133</v>
      </c>
      <c r="B12" s="2" t="s">
        <v>2859</v>
      </c>
      <c r="C12" s="2" t="s">
        <v>1688</v>
      </c>
      <c r="D12" s="27">
        <v>219321</v>
      </c>
      <c r="E12" s="22" t="s">
        <v>2859</v>
      </c>
      <c r="F12" t="s">
        <v>2859</v>
      </c>
      <c r="G12" t="s">
        <v>2035</v>
      </c>
      <c r="H12" t="s">
        <v>2035</v>
      </c>
    </row>
    <row r="13" spans="1:8" ht="18.399999999999999" customHeight="1" x14ac:dyDescent="0.15">
      <c r="A13" s="13" t="s">
        <v>174</v>
      </c>
      <c r="B13" s="2" t="s">
        <v>2859</v>
      </c>
      <c r="C13" s="2" t="s">
        <v>1688</v>
      </c>
      <c r="D13" s="27">
        <v>167081</v>
      </c>
      <c r="E13" s="22" t="s">
        <v>2859</v>
      </c>
      <c r="F13" t="s">
        <v>822</v>
      </c>
      <c r="G13" t="s">
        <v>485</v>
      </c>
      <c r="H13" t="s">
        <v>485</v>
      </c>
    </row>
    <row r="14" spans="1:8" ht="18.399999999999999" customHeight="1" thickBot="1" x14ac:dyDescent="0.2">
      <c r="A14" s="15" t="s">
        <v>419</v>
      </c>
      <c r="B14" s="16" t="s">
        <v>2859</v>
      </c>
      <c r="C14" s="16" t="s">
        <v>1688</v>
      </c>
      <c r="D14" s="28">
        <v>270724</v>
      </c>
      <c r="E14" s="23" t="s">
        <v>2859</v>
      </c>
      <c r="F14" t="s">
        <v>2859</v>
      </c>
      <c r="G14" t="s">
        <v>2184</v>
      </c>
      <c r="H14" t="s">
        <v>2184</v>
      </c>
    </row>
  </sheetData>
  <phoneticPr fontId="5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75"/>
  <sheetViews>
    <sheetView topLeftCell="A16" workbookViewId="0">
      <selection activeCell="F8" sqref="F8"/>
    </sheetView>
  </sheetViews>
  <sheetFormatPr defaultRowHeight="18.399999999999999" customHeight="1" x14ac:dyDescent="0.15"/>
  <cols>
    <col min="1" max="1" width="25" customWidth="1"/>
    <col min="2" max="2" width="20" customWidth="1"/>
    <col min="3" max="3" width="8" customWidth="1"/>
    <col min="4" max="4" width="5" customWidth="1"/>
    <col min="5" max="8" width="13" customWidth="1"/>
    <col min="9" max="9" width="10" customWidth="1"/>
    <col min="10" max="23" width="0" hidden="1" customWidth="1"/>
  </cols>
  <sheetData>
    <row r="1" spans="1:27" ht="18.399999999999999" customHeight="1" thickBot="1" x14ac:dyDescent="0.2">
      <c r="A1" t="s">
        <v>1877</v>
      </c>
    </row>
    <row r="2" spans="1:27" ht="18.399999999999999" customHeight="1" thickBot="1" x14ac:dyDescent="0.2">
      <c r="A2" s="18" t="s">
        <v>445</v>
      </c>
      <c r="B2" s="19" t="s">
        <v>1092</v>
      </c>
      <c r="C2" s="19" t="s">
        <v>73</v>
      </c>
      <c r="D2" s="19" t="s">
        <v>2682</v>
      </c>
      <c r="E2" s="19" t="s">
        <v>2786</v>
      </c>
      <c r="F2" s="19" t="s">
        <v>1942</v>
      </c>
      <c r="G2" s="19" t="s">
        <v>1175</v>
      </c>
      <c r="H2" s="19" t="s">
        <v>171</v>
      </c>
      <c r="I2" s="21" t="s">
        <v>716</v>
      </c>
      <c r="T2" s="1" t="s">
        <v>1765</v>
      </c>
      <c r="U2" s="1" t="s">
        <v>2437</v>
      </c>
      <c r="V2" s="1" t="s">
        <v>2373</v>
      </c>
      <c r="W2" s="1" t="s">
        <v>900</v>
      </c>
      <c r="Y2" s="1" t="s">
        <v>602</v>
      </c>
    </row>
    <row r="3" spans="1:27" ht="18.399999999999999" customHeight="1" x14ac:dyDescent="0.15">
      <c r="A3" s="13" t="s">
        <v>2329</v>
      </c>
      <c r="B3" s="2" t="s">
        <v>1995</v>
      </c>
      <c r="C3" s="2">
        <v>1</v>
      </c>
      <c r="D3" s="2" t="s">
        <v>1085</v>
      </c>
      <c r="E3" s="31">
        <f t="shared" ref="E3:E66" si="0">F3+G3+H3</f>
        <v>2087</v>
      </c>
      <c r="F3" s="31">
        <f>일위대가_호표!H4</f>
        <v>644</v>
      </c>
      <c r="G3" s="31">
        <f>일위대가_호표!J4</f>
        <v>909</v>
      </c>
      <c r="H3" s="31">
        <f>일위대가_호표!L4</f>
        <v>534</v>
      </c>
      <c r="I3" s="22" t="s">
        <v>2859</v>
      </c>
      <c r="J3" t="s">
        <v>2859</v>
      </c>
      <c r="K3" t="s">
        <v>2693</v>
      </c>
      <c r="L3" t="s">
        <v>1314</v>
      </c>
      <c r="T3" s="31">
        <v>644</v>
      </c>
      <c r="U3" s="31">
        <v>909</v>
      </c>
      <c r="V3" s="31">
        <v>534</v>
      </c>
      <c r="W3" s="31">
        <v>2087</v>
      </c>
      <c r="Y3" s="9" t="b">
        <f t="shared" ref="Y3:Y66" si="1">EXACT($E3,$W3)</f>
        <v>1</v>
      </c>
      <c r="AA3" s="34" t="str">
        <f>HYPERLINK("#일위대가_호표!A4","H00100200 →")</f>
        <v>H00100200 →</v>
      </c>
    </row>
    <row r="4" spans="1:27" ht="18.399999999999999" customHeight="1" x14ac:dyDescent="0.15">
      <c r="A4" s="13" t="s">
        <v>2742</v>
      </c>
      <c r="B4" s="2" t="s">
        <v>692</v>
      </c>
      <c r="C4" s="2">
        <v>1</v>
      </c>
      <c r="D4" s="2" t="s">
        <v>1085</v>
      </c>
      <c r="E4" s="31">
        <f t="shared" si="0"/>
        <v>1740</v>
      </c>
      <c r="F4" s="31">
        <f>일위대가_호표!H7</f>
        <v>434</v>
      </c>
      <c r="G4" s="31">
        <f>일위대가_호표!J7</f>
        <v>940</v>
      </c>
      <c r="H4" s="31">
        <f>일위대가_호표!L7</f>
        <v>366</v>
      </c>
      <c r="I4" s="22" t="s">
        <v>2859</v>
      </c>
      <c r="J4" t="s">
        <v>2859</v>
      </c>
      <c r="K4" t="s">
        <v>948</v>
      </c>
      <c r="L4" t="s">
        <v>1314</v>
      </c>
      <c r="T4" s="31">
        <v>434</v>
      </c>
      <c r="U4" s="31">
        <v>940</v>
      </c>
      <c r="V4" s="31">
        <v>366</v>
      </c>
      <c r="W4" s="31">
        <v>1740</v>
      </c>
      <c r="Y4" s="9" t="b">
        <f t="shared" si="1"/>
        <v>1</v>
      </c>
      <c r="AA4" s="34" t="str">
        <f>HYPERLINK("#일위대가_호표!A7","K1010240 →")</f>
        <v>K1010240 →</v>
      </c>
    </row>
    <row r="5" spans="1:27" ht="18.399999999999999" customHeight="1" x14ac:dyDescent="0.15">
      <c r="A5" s="13" t="s">
        <v>2157</v>
      </c>
      <c r="B5" s="2" t="s">
        <v>878</v>
      </c>
      <c r="C5" s="2">
        <v>1</v>
      </c>
      <c r="D5" s="2" t="s">
        <v>1085</v>
      </c>
      <c r="E5" s="31">
        <f t="shared" si="0"/>
        <v>521</v>
      </c>
      <c r="F5" s="31">
        <f>일위대가_호표!H12</f>
        <v>161</v>
      </c>
      <c r="G5" s="31">
        <f>일위대가_호표!J12</f>
        <v>227</v>
      </c>
      <c r="H5" s="31">
        <f>일위대가_호표!L12</f>
        <v>133</v>
      </c>
      <c r="I5" s="22" t="s">
        <v>2859</v>
      </c>
      <c r="J5" t="s">
        <v>2859</v>
      </c>
      <c r="K5" t="s">
        <v>2148</v>
      </c>
      <c r="L5" t="s">
        <v>1314</v>
      </c>
      <c r="T5" s="31">
        <v>161</v>
      </c>
      <c r="U5" s="31">
        <v>227</v>
      </c>
      <c r="V5" s="31">
        <v>133</v>
      </c>
      <c r="W5" s="31">
        <v>521</v>
      </c>
      <c r="Y5" s="9" t="b">
        <f t="shared" si="1"/>
        <v>1</v>
      </c>
      <c r="AA5" s="34" t="str">
        <f>HYPERLINK("#일위대가_호표!A12","K1010241 →")</f>
        <v>K1010241 →</v>
      </c>
    </row>
    <row r="6" spans="1:27" ht="18.399999999999999" customHeight="1" x14ac:dyDescent="0.15">
      <c r="A6" s="13" t="s">
        <v>444</v>
      </c>
      <c r="B6" s="2" t="s">
        <v>490</v>
      </c>
      <c r="C6" s="2">
        <v>1</v>
      </c>
      <c r="D6" s="2" t="s">
        <v>1085</v>
      </c>
      <c r="E6" s="31">
        <f t="shared" si="0"/>
        <v>1487</v>
      </c>
      <c r="F6" s="31">
        <f>일위대가_호표!H15</f>
        <v>459</v>
      </c>
      <c r="G6" s="31">
        <f>일위대가_호표!J15</f>
        <v>648</v>
      </c>
      <c r="H6" s="31">
        <f>일위대가_호표!L15</f>
        <v>380</v>
      </c>
      <c r="I6" s="22" t="s">
        <v>2859</v>
      </c>
      <c r="J6" t="s">
        <v>2859</v>
      </c>
      <c r="K6" t="s">
        <v>218</v>
      </c>
      <c r="L6" t="s">
        <v>1314</v>
      </c>
      <c r="T6" s="31">
        <v>459</v>
      </c>
      <c r="U6" s="31">
        <v>648</v>
      </c>
      <c r="V6" s="31">
        <v>380</v>
      </c>
      <c r="W6" s="31">
        <v>1487</v>
      </c>
      <c r="Y6" s="9" t="b">
        <f t="shared" si="1"/>
        <v>1</v>
      </c>
      <c r="AA6" s="34" t="str">
        <f>HYPERLINK("#일위대가_호표!A15","K1010250 →")</f>
        <v>K1010250 →</v>
      </c>
    </row>
    <row r="7" spans="1:27" ht="18.399999999999999" customHeight="1" x14ac:dyDescent="0.15">
      <c r="A7" s="13" t="s">
        <v>1895</v>
      </c>
      <c r="B7" s="2" t="s">
        <v>2546</v>
      </c>
      <c r="C7" s="2">
        <v>1</v>
      </c>
      <c r="D7" s="2" t="s">
        <v>2110</v>
      </c>
      <c r="E7" s="31">
        <f t="shared" si="0"/>
        <v>252</v>
      </c>
      <c r="F7" s="31">
        <f>일위대가_호표!H18</f>
        <v>100</v>
      </c>
      <c r="G7" s="31">
        <f>일위대가_호표!J18</f>
        <v>85</v>
      </c>
      <c r="H7" s="31">
        <f>일위대가_호표!L18</f>
        <v>67</v>
      </c>
      <c r="I7" s="22" t="s">
        <v>2859</v>
      </c>
      <c r="J7" t="s">
        <v>2859</v>
      </c>
      <c r="K7" t="s">
        <v>1158</v>
      </c>
      <c r="L7" t="s">
        <v>1314</v>
      </c>
      <c r="T7" s="31">
        <v>100</v>
      </c>
      <c r="U7" s="31">
        <v>85</v>
      </c>
      <c r="V7" s="31">
        <v>67</v>
      </c>
      <c r="W7" s="31">
        <v>252</v>
      </c>
      <c r="Y7" s="9" t="b">
        <f t="shared" si="1"/>
        <v>1</v>
      </c>
      <c r="AA7" s="34" t="str">
        <f>HYPERLINK("#일위대가_호표!A18","SA00220 →")</f>
        <v>SA00220 →</v>
      </c>
    </row>
    <row r="8" spans="1:27" ht="18.399999999999999" customHeight="1" x14ac:dyDescent="0.15">
      <c r="A8" s="13" t="s">
        <v>406</v>
      </c>
      <c r="B8" s="2" t="s">
        <v>1906</v>
      </c>
      <c r="C8" s="2">
        <v>1</v>
      </c>
      <c r="D8" s="2" t="s">
        <v>1085</v>
      </c>
      <c r="E8" s="31">
        <f t="shared" si="0"/>
        <v>1600</v>
      </c>
      <c r="F8" s="31">
        <f>일위대가_호표!H26</f>
        <v>383</v>
      </c>
      <c r="G8" s="31">
        <f>일위대가_호표!J26</f>
        <v>841</v>
      </c>
      <c r="H8" s="31">
        <f>일위대가_호표!L26</f>
        <v>376</v>
      </c>
      <c r="I8" s="22" t="s">
        <v>2859</v>
      </c>
      <c r="J8" t="s">
        <v>2859</v>
      </c>
      <c r="K8" t="s">
        <v>1890</v>
      </c>
      <c r="L8" t="s">
        <v>1314</v>
      </c>
      <c r="T8" s="31">
        <v>383</v>
      </c>
      <c r="U8" s="31">
        <v>841</v>
      </c>
      <c r="V8" s="31">
        <v>376</v>
      </c>
      <c r="W8" s="31">
        <v>1600</v>
      </c>
      <c r="Y8" s="9" t="b">
        <f t="shared" si="1"/>
        <v>1</v>
      </c>
      <c r="AA8" s="34" t="str">
        <f>HYPERLINK("#일위대가_호표!A26","K1020118 →")</f>
        <v>K1020118 →</v>
      </c>
    </row>
    <row r="9" spans="1:27" ht="18.399999999999999" customHeight="1" x14ac:dyDescent="0.15">
      <c r="A9" s="13" t="s">
        <v>546</v>
      </c>
      <c r="B9" s="2" t="s">
        <v>1995</v>
      </c>
      <c r="C9" s="2">
        <v>1</v>
      </c>
      <c r="D9" s="2" t="s">
        <v>1085</v>
      </c>
      <c r="E9" s="31">
        <f t="shared" si="0"/>
        <v>13359</v>
      </c>
      <c r="F9" s="31">
        <f>일위대가_호표!H29</f>
        <v>1057</v>
      </c>
      <c r="G9" s="31">
        <f>일위대가_호표!J29</f>
        <v>10993</v>
      </c>
      <c r="H9" s="31">
        <f>일위대가_호표!L29</f>
        <v>1309</v>
      </c>
      <c r="I9" s="22" t="s">
        <v>2859</v>
      </c>
      <c r="J9" t="s">
        <v>2859</v>
      </c>
      <c r="K9" t="s">
        <v>2459</v>
      </c>
      <c r="L9" t="s">
        <v>1314</v>
      </c>
      <c r="T9" s="31">
        <v>1057</v>
      </c>
      <c r="U9" s="31">
        <v>10993</v>
      </c>
      <c r="V9" s="31">
        <v>1309</v>
      </c>
      <c r="W9" s="31">
        <v>13359</v>
      </c>
      <c r="Y9" s="9" t="b">
        <f t="shared" si="1"/>
        <v>1</v>
      </c>
      <c r="AA9" s="34" t="str">
        <f>HYPERLINK("#일위대가_호표!A29","K1040213 →")</f>
        <v>K1040213 →</v>
      </c>
    </row>
    <row r="10" spans="1:27" ht="18.399999999999999" customHeight="1" x14ac:dyDescent="0.15">
      <c r="A10" s="13" t="s">
        <v>465</v>
      </c>
      <c r="B10" s="2" t="s">
        <v>2152</v>
      </c>
      <c r="C10" s="2">
        <v>1</v>
      </c>
      <c r="D10" s="2" t="s">
        <v>1091</v>
      </c>
      <c r="E10" s="31">
        <f t="shared" si="0"/>
        <v>2101</v>
      </c>
      <c r="F10" s="31">
        <f>일위대가_호표!H33</f>
        <v>627</v>
      </c>
      <c r="G10" s="31">
        <f>일위대가_호표!J33</f>
        <v>1425</v>
      </c>
      <c r="H10" s="31">
        <f>일위대가_호표!L33</f>
        <v>49</v>
      </c>
      <c r="I10" s="22" t="s">
        <v>2859</v>
      </c>
      <c r="J10" t="s">
        <v>2859</v>
      </c>
      <c r="K10" t="s">
        <v>2383</v>
      </c>
      <c r="L10" t="s">
        <v>1314</v>
      </c>
      <c r="T10" s="31">
        <v>627</v>
      </c>
      <c r="U10" s="31">
        <v>1425</v>
      </c>
      <c r="V10" s="31">
        <v>49</v>
      </c>
      <c r="W10" s="31">
        <v>2101</v>
      </c>
      <c r="Y10" s="9" t="b">
        <f t="shared" si="1"/>
        <v>1</v>
      </c>
      <c r="AA10" s="34" t="str">
        <f>HYPERLINK("#일위대가_호표!A33","K2010110 →")</f>
        <v>K2010110 →</v>
      </c>
    </row>
    <row r="11" spans="1:27" ht="18.399999999999999" customHeight="1" x14ac:dyDescent="0.15">
      <c r="A11" s="13" t="s">
        <v>59</v>
      </c>
      <c r="B11" s="2" t="s">
        <v>2152</v>
      </c>
      <c r="C11" s="2">
        <v>1</v>
      </c>
      <c r="D11" s="2" t="s">
        <v>1085</v>
      </c>
      <c r="E11" s="31">
        <f t="shared" si="0"/>
        <v>8337</v>
      </c>
      <c r="F11" s="31">
        <f>일위대가_호표!H41</f>
        <v>1229</v>
      </c>
      <c r="G11" s="31">
        <f>일위대가_호표!J41</f>
        <v>4857</v>
      </c>
      <c r="H11" s="31">
        <f>일위대가_호표!L41</f>
        <v>2251</v>
      </c>
      <c r="I11" s="22" t="s">
        <v>2859</v>
      </c>
      <c r="J11" t="s">
        <v>2859</v>
      </c>
      <c r="K11" t="s">
        <v>1576</v>
      </c>
      <c r="L11" t="s">
        <v>1314</v>
      </c>
      <c r="T11" s="31">
        <v>1229</v>
      </c>
      <c r="U11" s="31">
        <v>4857</v>
      </c>
      <c r="V11" s="31">
        <v>2251</v>
      </c>
      <c r="W11" s="31">
        <v>8337</v>
      </c>
      <c r="Y11" s="9" t="b">
        <f t="shared" si="1"/>
        <v>1</v>
      </c>
      <c r="AA11" s="34" t="str">
        <f>HYPERLINK("#일위대가_호표!A41","K2010210 →")</f>
        <v>K2010210 →</v>
      </c>
    </row>
    <row r="12" spans="1:27" ht="18.399999999999999" customHeight="1" x14ac:dyDescent="0.15">
      <c r="A12" s="13" t="s">
        <v>2587</v>
      </c>
      <c r="B12" s="2" t="s">
        <v>2152</v>
      </c>
      <c r="C12" s="2">
        <v>1</v>
      </c>
      <c r="D12" s="2" t="s">
        <v>1091</v>
      </c>
      <c r="E12" s="31">
        <f t="shared" si="0"/>
        <v>2265</v>
      </c>
      <c r="F12" s="31">
        <f>일위대가_호표!H47</f>
        <v>647</v>
      </c>
      <c r="G12" s="31">
        <f>일위대가_호표!J47</f>
        <v>1565</v>
      </c>
      <c r="H12" s="31">
        <f>일위대가_호표!L47</f>
        <v>53</v>
      </c>
      <c r="I12" s="22" t="s">
        <v>2859</v>
      </c>
      <c r="J12" t="s">
        <v>2859</v>
      </c>
      <c r="K12" t="s">
        <v>233</v>
      </c>
      <c r="L12" t="s">
        <v>1314</v>
      </c>
      <c r="T12" s="31">
        <v>647</v>
      </c>
      <c r="U12" s="31">
        <v>1565</v>
      </c>
      <c r="V12" s="31">
        <v>53</v>
      </c>
      <c r="W12" s="31">
        <v>2265</v>
      </c>
      <c r="Y12" s="9" t="b">
        <f t="shared" si="1"/>
        <v>1</v>
      </c>
      <c r="AA12" s="34" t="str">
        <f>HYPERLINK("#일위대가_호표!A47","K2010120 →")</f>
        <v>K2010120 →</v>
      </c>
    </row>
    <row r="13" spans="1:27" ht="18.399999999999999" customHeight="1" x14ac:dyDescent="0.15">
      <c r="A13" s="13" t="s">
        <v>1888</v>
      </c>
      <c r="B13" s="2" t="s">
        <v>2859</v>
      </c>
      <c r="C13" s="2">
        <v>1</v>
      </c>
      <c r="D13" s="2" t="s">
        <v>1085</v>
      </c>
      <c r="E13" s="31">
        <f t="shared" si="0"/>
        <v>54514</v>
      </c>
      <c r="F13" s="31">
        <f>일위대가_호표!H55</f>
        <v>8029</v>
      </c>
      <c r="G13" s="31">
        <f>일위대가_호표!J55</f>
        <v>31736</v>
      </c>
      <c r="H13" s="31">
        <f>일위대가_호표!L55</f>
        <v>14749</v>
      </c>
      <c r="I13" s="22" t="s">
        <v>2859</v>
      </c>
      <c r="J13" t="s">
        <v>2859</v>
      </c>
      <c r="K13" t="s">
        <v>608</v>
      </c>
      <c r="L13" t="s">
        <v>1314</v>
      </c>
      <c r="T13" s="31">
        <v>8029</v>
      </c>
      <c r="U13" s="31">
        <v>31736</v>
      </c>
      <c r="V13" s="31">
        <v>14749</v>
      </c>
      <c r="W13" s="31">
        <v>54514</v>
      </c>
      <c r="Y13" s="9" t="b">
        <f t="shared" si="1"/>
        <v>1</v>
      </c>
      <c r="AA13" s="34" t="str">
        <f>HYPERLINK("#일위대가_호표!A55","K2010330 →")</f>
        <v>K2010330 →</v>
      </c>
    </row>
    <row r="14" spans="1:27" ht="18.399999999999999" customHeight="1" x14ac:dyDescent="0.15">
      <c r="A14" s="13" t="s">
        <v>769</v>
      </c>
      <c r="B14" s="2" t="s">
        <v>938</v>
      </c>
      <c r="C14" s="2">
        <v>1</v>
      </c>
      <c r="D14" s="2" t="s">
        <v>1085</v>
      </c>
      <c r="E14" s="31">
        <f t="shared" si="0"/>
        <v>33020</v>
      </c>
      <c r="F14" s="31">
        <f>일위대가_호표!H61</f>
        <v>4276</v>
      </c>
      <c r="G14" s="31">
        <f>일위대가_호표!J61</f>
        <v>20885</v>
      </c>
      <c r="H14" s="31">
        <f>일위대가_호표!L61</f>
        <v>7859</v>
      </c>
      <c r="I14" s="22" t="s">
        <v>2859</v>
      </c>
      <c r="J14" t="s">
        <v>2859</v>
      </c>
      <c r="K14" t="s">
        <v>2077</v>
      </c>
      <c r="L14" t="s">
        <v>1314</v>
      </c>
      <c r="T14" s="31">
        <v>4276</v>
      </c>
      <c r="U14" s="31">
        <v>20885</v>
      </c>
      <c r="V14" s="31">
        <v>7859</v>
      </c>
      <c r="W14" s="31">
        <v>33020</v>
      </c>
      <c r="Y14" s="9" t="b">
        <f t="shared" si="1"/>
        <v>1</v>
      </c>
      <c r="AA14" s="34" t="str">
        <f>HYPERLINK("#일위대가_호표!A61","K2010310 →")</f>
        <v>K2010310 →</v>
      </c>
    </row>
    <row r="15" spans="1:27" ht="18.399999999999999" customHeight="1" x14ac:dyDescent="0.15">
      <c r="A15" s="13" t="s">
        <v>2273</v>
      </c>
      <c r="B15" s="2" t="s">
        <v>2152</v>
      </c>
      <c r="C15" s="2">
        <v>1</v>
      </c>
      <c r="D15" s="2" t="s">
        <v>1085</v>
      </c>
      <c r="E15" s="31">
        <f t="shared" si="0"/>
        <v>7639</v>
      </c>
      <c r="F15" s="31">
        <f>일위대가_호표!H67</f>
        <v>1489</v>
      </c>
      <c r="G15" s="31">
        <f>일위대가_호표!J67</f>
        <v>4237</v>
      </c>
      <c r="H15" s="31">
        <f>일위대가_호표!L67</f>
        <v>1913</v>
      </c>
      <c r="I15" s="22" t="s">
        <v>2859</v>
      </c>
      <c r="J15" t="s">
        <v>2859</v>
      </c>
      <c r="K15" t="s">
        <v>791</v>
      </c>
      <c r="L15" t="s">
        <v>1314</v>
      </c>
      <c r="T15" s="31">
        <v>1489</v>
      </c>
      <c r="U15" s="31">
        <v>4237</v>
      </c>
      <c r="V15" s="31">
        <v>1913</v>
      </c>
      <c r="W15" s="31">
        <v>7639</v>
      </c>
      <c r="Y15" s="9" t="b">
        <f t="shared" si="1"/>
        <v>1</v>
      </c>
      <c r="AA15" s="34" t="str">
        <f>HYPERLINK("#일위대가_호표!A67","K2010500 →")</f>
        <v>K2010500 →</v>
      </c>
    </row>
    <row r="16" spans="1:27" ht="18.399999999999999" customHeight="1" x14ac:dyDescent="0.15">
      <c r="A16" s="13" t="s">
        <v>2524</v>
      </c>
      <c r="B16" s="2" t="s">
        <v>1995</v>
      </c>
      <c r="C16" s="2">
        <v>1</v>
      </c>
      <c r="D16" s="2" t="s">
        <v>1085</v>
      </c>
      <c r="E16" s="31">
        <f t="shared" si="0"/>
        <v>26375</v>
      </c>
      <c r="F16" s="31">
        <f>일위대가_호표!H74</f>
        <v>645</v>
      </c>
      <c r="G16" s="31">
        <f>일위대가_호표!J74</f>
        <v>24860</v>
      </c>
      <c r="H16" s="31">
        <f>일위대가_호표!L74</f>
        <v>870</v>
      </c>
      <c r="I16" s="22" t="s">
        <v>2859</v>
      </c>
      <c r="J16" t="s">
        <v>2859</v>
      </c>
      <c r="K16" t="s">
        <v>1367</v>
      </c>
      <c r="L16" t="s">
        <v>1314</v>
      </c>
      <c r="T16" s="31">
        <v>645</v>
      </c>
      <c r="U16" s="31">
        <v>24860</v>
      </c>
      <c r="V16" s="31">
        <v>870</v>
      </c>
      <c r="W16" s="31">
        <v>26375</v>
      </c>
      <c r="Y16" s="9" t="b">
        <f t="shared" si="1"/>
        <v>1</v>
      </c>
      <c r="AA16" s="34" t="str">
        <f>HYPERLINK("#일위대가_호표!A74","K1040214 →")</f>
        <v>K1040214 →</v>
      </c>
    </row>
    <row r="17" spans="1:27" ht="18.399999999999999" customHeight="1" x14ac:dyDescent="0.15">
      <c r="A17" s="13" t="s">
        <v>1298</v>
      </c>
      <c r="B17" s="2" t="s">
        <v>2859</v>
      </c>
      <c r="C17" s="2">
        <v>1</v>
      </c>
      <c r="D17" s="2" t="s">
        <v>1085</v>
      </c>
      <c r="E17" s="31">
        <f t="shared" si="0"/>
        <v>54894</v>
      </c>
      <c r="F17" s="31">
        <f>일위대가_호표!H86</f>
        <v>49714</v>
      </c>
      <c r="G17" s="31">
        <f>일위대가_호표!J86</f>
        <v>4714</v>
      </c>
      <c r="H17" s="31">
        <f>일위대가_호표!L86</f>
        <v>466</v>
      </c>
      <c r="I17" s="22" t="s">
        <v>2859</v>
      </c>
      <c r="J17" t="s">
        <v>2859</v>
      </c>
      <c r="K17" t="s">
        <v>2316</v>
      </c>
      <c r="L17" t="s">
        <v>1314</v>
      </c>
      <c r="T17" s="31">
        <v>49714</v>
      </c>
      <c r="U17" s="31">
        <v>4714</v>
      </c>
      <c r="V17" s="31">
        <v>466</v>
      </c>
      <c r="W17" s="31">
        <v>54894</v>
      </c>
      <c r="Y17" s="9" t="b">
        <f t="shared" si="1"/>
        <v>1</v>
      </c>
      <c r="AA17" s="34" t="str">
        <f>HYPERLINK("#일위대가_호표!A86","K1050214-1 →")</f>
        <v>K1050214-1 →</v>
      </c>
    </row>
    <row r="18" spans="1:27" ht="18.399999999999999" customHeight="1" x14ac:dyDescent="0.15">
      <c r="A18" s="13" t="s">
        <v>2220</v>
      </c>
      <c r="B18" s="2" t="s">
        <v>3</v>
      </c>
      <c r="C18" s="2">
        <v>1</v>
      </c>
      <c r="D18" s="2" t="s">
        <v>1085</v>
      </c>
      <c r="E18" s="31">
        <f t="shared" si="0"/>
        <v>28187</v>
      </c>
      <c r="F18" s="31">
        <f>일위대가_호표!H92</f>
        <v>2498</v>
      </c>
      <c r="G18" s="31">
        <f>일위대가_호표!J92</f>
        <v>22448</v>
      </c>
      <c r="H18" s="31">
        <f>일위대가_호표!L92</f>
        <v>3241</v>
      </c>
      <c r="I18" s="22" t="s">
        <v>2859</v>
      </c>
      <c r="J18" t="s">
        <v>2859</v>
      </c>
      <c r="K18" t="s">
        <v>1363</v>
      </c>
      <c r="L18" t="s">
        <v>1314</v>
      </c>
      <c r="T18" s="31">
        <v>2498</v>
      </c>
      <c r="U18" s="31">
        <v>22448</v>
      </c>
      <c r="V18" s="31">
        <v>3241</v>
      </c>
      <c r="W18" s="31">
        <v>28187</v>
      </c>
      <c r="Y18" s="9" t="b">
        <f t="shared" si="1"/>
        <v>1</v>
      </c>
      <c r="AA18" s="34" t="str">
        <f>HYPERLINK("#일위대가_호표!A92","K3021812 →")</f>
        <v>K3021812 →</v>
      </c>
    </row>
    <row r="19" spans="1:27" ht="18.399999999999999" customHeight="1" x14ac:dyDescent="0.15">
      <c r="A19" s="13" t="s">
        <v>1084</v>
      </c>
      <c r="B19" s="2" t="s">
        <v>413</v>
      </c>
      <c r="C19" s="2">
        <v>1</v>
      </c>
      <c r="D19" s="2" t="s">
        <v>1085</v>
      </c>
      <c r="E19" s="31">
        <f t="shared" si="0"/>
        <v>34252</v>
      </c>
      <c r="F19" s="31">
        <f>일위대가_호표!H99</f>
        <v>2832</v>
      </c>
      <c r="G19" s="31">
        <f>일위대가_호표!J99</f>
        <v>25476</v>
      </c>
      <c r="H19" s="31">
        <f>일위대가_호표!L99</f>
        <v>5944</v>
      </c>
      <c r="I19" s="22" t="s">
        <v>2859</v>
      </c>
      <c r="J19" t="s">
        <v>2859</v>
      </c>
      <c r="K19" t="s">
        <v>859</v>
      </c>
      <c r="L19" t="s">
        <v>1314</v>
      </c>
      <c r="T19" s="31">
        <v>2832</v>
      </c>
      <c r="U19" s="31">
        <v>25476</v>
      </c>
      <c r="V19" s="31">
        <v>5944</v>
      </c>
      <c r="W19" s="31">
        <v>34252</v>
      </c>
      <c r="Y19" s="9" t="b">
        <f t="shared" si="1"/>
        <v>1</v>
      </c>
      <c r="AA19" s="34" t="str">
        <f>HYPERLINK("#일위대가_호표!A99","K3032412 →")</f>
        <v>K3032412 →</v>
      </c>
    </row>
    <row r="20" spans="1:27" ht="18.399999999999999" customHeight="1" x14ac:dyDescent="0.15">
      <c r="A20" s="13" t="s">
        <v>555</v>
      </c>
      <c r="B20" s="2" t="s">
        <v>2420</v>
      </c>
      <c r="C20" s="2">
        <v>1</v>
      </c>
      <c r="D20" s="2" t="s">
        <v>2212</v>
      </c>
      <c r="E20" s="31">
        <f t="shared" si="0"/>
        <v>41468</v>
      </c>
      <c r="F20" s="31">
        <f>일위대가_호표!H109</f>
        <v>4160</v>
      </c>
      <c r="G20" s="31">
        <f>일위대가_호표!J109</f>
        <v>36222</v>
      </c>
      <c r="H20" s="31">
        <f>일위대가_호표!L109</f>
        <v>1086</v>
      </c>
      <c r="I20" s="22" t="s">
        <v>2859</v>
      </c>
      <c r="J20" t="s">
        <v>2859</v>
      </c>
      <c r="K20" t="s">
        <v>1328</v>
      </c>
      <c r="L20" t="s">
        <v>1314</v>
      </c>
      <c r="T20" s="31">
        <v>4160</v>
      </c>
      <c r="U20" s="31">
        <v>36222</v>
      </c>
      <c r="V20" s="31">
        <v>1086</v>
      </c>
      <c r="W20" s="31">
        <v>41468</v>
      </c>
      <c r="Y20" s="9" t="b">
        <f t="shared" si="1"/>
        <v>1</v>
      </c>
      <c r="AA20" s="34" t="str">
        <f>HYPERLINK("#일위대가_호표!A109","K3060150 →")</f>
        <v>K3060150 →</v>
      </c>
    </row>
    <row r="21" spans="1:27" ht="18.399999999999999" customHeight="1" x14ac:dyDescent="0.15">
      <c r="A21" s="13" t="s">
        <v>2746</v>
      </c>
      <c r="B21" s="2" t="s">
        <v>2152</v>
      </c>
      <c r="C21" s="2">
        <v>1</v>
      </c>
      <c r="D21" s="2" t="s">
        <v>1085</v>
      </c>
      <c r="E21" s="31">
        <f t="shared" si="0"/>
        <v>47150</v>
      </c>
      <c r="F21" s="31">
        <f>일위대가_호표!H284</f>
        <v>30756</v>
      </c>
      <c r="G21" s="31">
        <f>일위대가_호표!J284</f>
        <v>13761</v>
      </c>
      <c r="H21" s="31">
        <f>일위대가_호표!L284</f>
        <v>2633</v>
      </c>
      <c r="I21" s="22" t="s">
        <v>2859</v>
      </c>
      <c r="J21" t="s">
        <v>2859</v>
      </c>
      <c r="K21" t="s">
        <v>2018</v>
      </c>
      <c r="L21" t="s">
        <v>1314</v>
      </c>
      <c r="T21" s="31">
        <v>30756</v>
      </c>
      <c r="U21" s="31">
        <v>13761</v>
      </c>
      <c r="V21" s="31">
        <v>2633</v>
      </c>
      <c r="W21" s="31">
        <v>47150</v>
      </c>
      <c r="Y21" s="9" t="b">
        <f t="shared" si="1"/>
        <v>1</v>
      </c>
      <c r="AA21" s="34" t="str">
        <f>HYPERLINK("#일위대가_호표!A284","K2030110 →")</f>
        <v>K2030110 →</v>
      </c>
    </row>
    <row r="22" spans="1:27" ht="18.399999999999999" customHeight="1" x14ac:dyDescent="0.15">
      <c r="A22" s="13" t="s">
        <v>428</v>
      </c>
      <c r="B22" s="2" t="s">
        <v>1978</v>
      </c>
      <c r="C22" s="2">
        <v>1</v>
      </c>
      <c r="D22" s="2" t="s">
        <v>2212</v>
      </c>
      <c r="E22" s="31">
        <f t="shared" si="0"/>
        <v>957</v>
      </c>
      <c r="F22" s="31">
        <f>일위대가_호표!H294</f>
        <v>111</v>
      </c>
      <c r="G22" s="31">
        <f>일위대가_호표!J294</f>
        <v>668</v>
      </c>
      <c r="H22" s="31">
        <f>일위대가_호표!L294</f>
        <v>178</v>
      </c>
      <c r="I22" s="22" t="s">
        <v>2859</v>
      </c>
      <c r="J22" t="s">
        <v>2859</v>
      </c>
      <c r="K22" t="s">
        <v>1639</v>
      </c>
      <c r="L22" t="s">
        <v>1314</v>
      </c>
      <c r="T22" s="31">
        <v>111</v>
      </c>
      <c r="U22" s="31">
        <v>668</v>
      </c>
      <c r="V22" s="31">
        <v>178</v>
      </c>
      <c r="W22" s="31">
        <v>957</v>
      </c>
      <c r="Y22" s="9" t="b">
        <f t="shared" si="1"/>
        <v>1</v>
      </c>
      <c r="AA22" s="34" t="str">
        <f>HYPERLINK("#일위대가_호표!A294","K2020205 →")</f>
        <v>K2020205 →</v>
      </c>
    </row>
    <row r="23" spans="1:27" ht="18.399999999999999" customHeight="1" x14ac:dyDescent="0.15">
      <c r="A23" s="13" t="s">
        <v>737</v>
      </c>
      <c r="B23" s="2" t="s">
        <v>1998</v>
      </c>
      <c r="C23" s="2">
        <v>1</v>
      </c>
      <c r="D23" s="2" t="s">
        <v>2212</v>
      </c>
      <c r="E23" s="31">
        <f t="shared" si="0"/>
        <v>1032</v>
      </c>
      <c r="F23" s="31">
        <f>일위대가_호표!H304</f>
        <v>119</v>
      </c>
      <c r="G23" s="31">
        <f>일위대가_호표!J304</f>
        <v>724</v>
      </c>
      <c r="H23" s="31">
        <f>일위대가_호표!L304</f>
        <v>189</v>
      </c>
      <c r="I23" s="22" t="s">
        <v>2859</v>
      </c>
      <c r="J23" t="s">
        <v>2859</v>
      </c>
      <c r="K23" t="s">
        <v>2033</v>
      </c>
      <c r="L23" t="s">
        <v>1314</v>
      </c>
      <c r="T23" s="31">
        <v>119</v>
      </c>
      <c r="U23" s="31">
        <v>724</v>
      </c>
      <c r="V23" s="31">
        <v>189</v>
      </c>
      <c r="W23" s="31">
        <v>1032</v>
      </c>
      <c r="Y23" s="9" t="b">
        <f t="shared" si="1"/>
        <v>1</v>
      </c>
      <c r="AA23" s="34" t="str">
        <f>HYPERLINK("#일위대가_호표!A304","K2020710 →")</f>
        <v>K2020710 →</v>
      </c>
    </row>
    <row r="24" spans="1:27" ht="18.399999999999999" customHeight="1" x14ac:dyDescent="0.15">
      <c r="A24" s="13" t="s">
        <v>652</v>
      </c>
      <c r="B24" s="2" t="s">
        <v>2500</v>
      </c>
      <c r="C24" s="2">
        <v>1</v>
      </c>
      <c r="D24" s="2" t="s">
        <v>2212</v>
      </c>
      <c r="E24" s="31">
        <f t="shared" si="0"/>
        <v>475</v>
      </c>
      <c r="F24" s="31">
        <f>일위대가_호표!H314</f>
        <v>391</v>
      </c>
      <c r="G24" s="31">
        <f>일위대가_호표!J314</f>
        <v>84</v>
      </c>
      <c r="H24" s="31">
        <f>일위대가_호표!L314</f>
        <v>0</v>
      </c>
      <c r="I24" s="22" t="s">
        <v>2859</v>
      </c>
      <c r="J24" t="s">
        <v>2859</v>
      </c>
      <c r="K24" t="s">
        <v>2107</v>
      </c>
      <c r="L24" t="s">
        <v>1314</v>
      </c>
      <c r="T24" s="31">
        <v>391</v>
      </c>
      <c r="U24" s="31">
        <v>84</v>
      </c>
      <c r="V24" s="31">
        <v>0</v>
      </c>
      <c r="W24" s="31">
        <v>475</v>
      </c>
      <c r="Y24" s="9" t="b">
        <f t="shared" si="1"/>
        <v>1</v>
      </c>
      <c r="AA24" s="34" t="str">
        <f>HYPERLINK("#일위대가_호표!A314","K2020910 →")</f>
        <v>K2020910 →</v>
      </c>
    </row>
    <row r="25" spans="1:27" ht="18.399999999999999" customHeight="1" x14ac:dyDescent="0.15">
      <c r="A25" s="13" t="s">
        <v>1418</v>
      </c>
      <c r="B25" s="2" t="s">
        <v>2500</v>
      </c>
      <c r="C25" s="2">
        <v>1</v>
      </c>
      <c r="D25" s="2" t="s">
        <v>2212</v>
      </c>
      <c r="E25" s="31">
        <f t="shared" si="0"/>
        <v>1698</v>
      </c>
      <c r="F25" s="31">
        <f>일위대가_호표!H320</f>
        <v>1614</v>
      </c>
      <c r="G25" s="31">
        <f>일위대가_호표!J320</f>
        <v>84</v>
      </c>
      <c r="H25" s="31">
        <f>일위대가_호표!L320</f>
        <v>0</v>
      </c>
      <c r="I25" s="22" t="s">
        <v>2859</v>
      </c>
      <c r="J25" t="s">
        <v>2859</v>
      </c>
      <c r="K25" t="s">
        <v>1425</v>
      </c>
      <c r="L25" t="s">
        <v>1314</v>
      </c>
      <c r="T25" s="31">
        <v>1614</v>
      </c>
      <c r="U25" s="31">
        <v>84</v>
      </c>
      <c r="V25" s="31">
        <v>0</v>
      </c>
      <c r="W25" s="31">
        <v>1698</v>
      </c>
      <c r="Y25" s="9" t="b">
        <f t="shared" si="1"/>
        <v>1</v>
      </c>
      <c r="AA25" s="34" t="str">
        <f>HYPERLINK("#일위대가_호표!A320","K2020920 →")</f>
        <v>K2020920 →</v>
      </c>
    </row>
    <row r="26" spans="1:27" ht="18.399999999999999" customHeight="1" x14ac:dyDescent="0.15">
      <c r="A26" s="13" t="s">
        <v>480</v>
      </c>
      <c r="B26" s="2" t="s">
        <v>1961</v>
      </c>
      <c r="C26" s="2">
        <v>1</v>
      </c>
      <c r="D26" s="2" t="s">
        <v>1091</v>
      </c>
      <c r="E26" s="31">
        <f t="shared" si="0"/>
        <v>45313</v>
      </c>
      <c r="F26" s="31">
        <f>일위대가_호표!H347</f>
        <v>30935</v>
      </c>
      <c r="G26" s="31">
        <f>일위대가_호표!J347</f>
        <v>13490</v>
      </c>
      <c r="H26" s="31">
        <f>일위대가_호표!L347</f>
        <v>888</v>
      </c>
      <c r="I26" s="22" t="s">
        <v>2859</v>
      </c>
      <c r="J26" t="s">
        <v>2859</v>
      </c>
      <c r="K26" t="s">
        <v>2823</v>
      </c>
      <c r="L26" t="s">
        <v>1314</v>
      </c>
      <c r="T26" s="31">
        <v>30935</v>
      </c>
      <c r="U26" s="31">
        <v>13490</v>
      </c>
      <c r="V26" s="31">
        <v>888</v>
      </c>
      <c r="W26" s="31">
        <v>45313</v>
      </c>
      <c r="Y26" s="9" t="b">
        <f t="shared" si="1"/>
        <v>1</v>
      </c>
      <c r="AA26" s="34" t="str">
        <f>HYPERLINK("#일위대가_호표!A347","K2040210 →")</f>
        <v>K2040210 →</v>
      </c>
    </row>
    <row r="27" spans="1:27" ht="18.399999999999999" customHeight="1" x14ac:dyDescent="0.15">
      <c r="A27" s="13" t="s">
        <v>2632</v>
      </c>
      <c r="B27" s="2" t="s">
        <v>1961</v>
      </c>
      <c r="C27" s="2">
        <v>1</v>
      </c>
      <c r="D27" s="2" t="s">
        <v>1091</v>
      </c>
      <c r="E27" s="31">
        <f t="shared" si="0"/>
        <v>69812</v>
      </c>
      <c r="F27" s="31">
        <f>일위대가_호표!H353</f>
        <v>53627</v>
      </c>
      <c r="G27" s="31">
        <f>일위대가_호표!J353</f>
        <v>15186</v>
      </c>
      <c r="H27" s="31">
        <f>일위대가_호표!L353</f>
        <v>999</v>
      </c>
      <c r="I27" s="22" t="s">
        <v>2859</v>
      </c>
      <c r="J27" t="s">
        <v>2859</v>
      </c>
      <c r="K27" t="s">
        <v>687</v>
      </c>
      <c r="L27" t="s">
        <v>1314</v>
      </c>
      <c r="T27" s="31">
        <v>53627</v>
      </c>
      <c r="U27" s="31">
        <v>15186</v>
      </c>
      <c r="V27" s="31">
        <v>999</v>
      </c>
      <c r="W27" s="31">
        <v>69812</v>
      </c>
      <c r="Y27" s="9" t="b">
        <f t="shared" si="1"/>
        <v>1</v>
      </c>
      <c r="AA27" s="34" t="str">
        <f>HYPERLINK("#일위대가_호표!A353","K2040220 →")</f>
        <v>K2040220 →</v>
      </c>
    </row>
    <row r="28" spans="1:27" ht="18.399999999999999" customHeight="1" x14ac:dyDescent="0.15">
      <c r="A28" s="13" t="s">
        <v>892</v>
      </c>
      <c r="B28" s="2" t="s">
        <v>2534</v>
      </c>
      <c r="C28" s="2">
        <v>1</v>
      </c>
      <c r="D28" s="2" t="s">
        <v>1091</v>
      </c>
      <c r="E28" s="31">
        <f t="shared" si="0"/>
        <v>23336</v>
      </c>
      <c r="F28" s="31">
        <f>일위대가_호표!H359</f>
        <v>15726</v>
      </c>
      <c r="G28" s="31">
        <f>일위대가_호표!J359</f>
        <v>7140</v>
      </c>
      <c r="H28" s="31">
        <f>일위대가_호표!L359</f>
        <v>470</v>
      </c>
      <c r="I28" s="22" t="s">
        <v>2859</v>
      </c>
      <c r="J28" t="s">
        <v>2859</v>
      </c>
      <c r="K28" t="s">
        <v>2053</v>
      </c>
      <c r="L28" t="s">
        <v>1314</v>
      </c>
      <c r="T28" s="31">
        <v>15726</v>
      </c>
      <c r="U28" s="31">
        <v>7140</v>
      </c>
      <c r="V28" s="31">
        <v>470</v>
      </c>
      <c r="W28" s="31">
        <v>23336</v>
      </c>
      <c r="Y28" s="9" t="b">
        <f t="shared" si="1"/>
        <v>1</v>
      </c>
      <c r="AA28" s="34" t="str">
        <f>HYPERLINK("#일위대가_호표!A359","K2040240 →")</f>
        <v>K2040240 →</v>
      </c>
    </row>
    <row r="29" spans="1:27" ht="18.399999999999999" customHeight="1" x14ac:dyDescent="0.15">
      <c r="A29" s="13" t="s">
        <v>1240</v>
      </c>
      <c r="B29" s="2" t="s">
        <v>1806</v>
      </c>
      <c r="C29" s="2">
        <v>1</v>
      </c>
      <c r="D29" s="2" t="s">
        <v>2212</v>
      </c>
      <c r="E29" s="31">
        <f t="shared" si="0"/>
        <v>20610</v>
      </c>
      <c r="F29" s="31">
        <f>일위대가_호표!H365</f>
        <v>18116</v>
      </c>
      <c r="G29" s="31">
        <f>일위대가_호표!J365</f>
        <v>2230</v>
      </c>
      <c r="H29" s="31">
        <f>일위대가_호표!L365</f>
        <v>264</v>
      </c>
      <c r="I29" s="22" t="s">
        <v>2859</v>
      </c>
      <c r="J29" t="s">
        <v>2859</v>
      </c>
      <c r="K29" t="s">
        <v>2025</v>
      </c>
      <c r="L29" t="s">
        <v>1314</v>
      </c>
      <c r="T29" s="31">
        <v>18116</v>
      </c>
      <c r="U29" s="31">
        <v>2230</v>
      </c>
      <c r="V29" s="31">
        <v>264</v>
      </c>
      <c r="W29" s="31">
        <v>20610</v>
      </c>
      <c r="Y29" s="9" t="b">
        <f t="shared" si="1"/>
        <v>1</v>
      </c>
      <c r="AA29" s="34" t="str">
        <f>HYPERLINK("#일위대가_호표!A365","K7011011 →")</f>
        <v>K7011011 →</v>
      </c>
    </row>
    <row r="30" spans="1:27" ht="18.399999999999999" customHeight="1" x14ac:dyDescent="0.15">
      <c r="A30" s="13" t="s">
        <v>1598</v>
      </c>
      <c r="B30" s="2" t="s">
        <v>1806</v>
      </c>
      <c r="C30" s="2">
        <v>1</v>
      </c>
      <c r="D30" s="2" t="s">
        <v>2212</v>
      </c>
      <c r="E30" s="31">
        <f t="shared" si="0"/>
        <v>32701</v>
      </c>
      <c r="F30" s="31">
        <f>일위대가_호표!H377</f>
        <v>18906</v>
      </c>
      <c r="G30" s="31">
        <f>일위대가_호표!J377</f>
        <v>12333</v>
      </c>
      <c r="H30" s="31">
        <f>일위대가_호표!L377</f>
        <v>1462</v>
      </c>
      <c r="I30" s="22" t="s">
        <v>2859</v>
      </c>
      <c r="J30" t="s">
        <v>2859</v>
      </c>
      <c r="K30" t="s">
        <v>554</v>
      </c>
      <c r="L30" t="s">
        <v>1314</v>
      </c>
      <c r="T30" s="31">
        <v>18906</v>
      </c>
      <c r="U30" s="31">
        <v>12333</v>
      </c>
      <c r="V30" s="31">
        <v>1462</v>
      </c>
      <c r="W30" s="31">
        <v>32701</v>
      </c>
      <c r="Y30" s="9" t="b">
        <f t="shared" si="1"/>
        <v>1</v>
      </c>
      <c r="AA30" s="34" t="str">
        <f>HYPERLINK("#일위대가_호표!A377","K7011031 →")</f>
        <v>K7011031 →</v>
      </c>
    </row>
    <row r="31" spans="1:27" ht="18.399999999999999" customHeight="1" x14ac:dyDescent="0.15">
      <c r="A31" s="13" t="s">
        <v>245</v>
      </c>
      <c r="B31" s="2" t="s">
        <v>2859</v>
      </c>
      <c r="C31" s="2">
        <v>1</v>
      </c>
      <c r="D31" s="2" t="s">
        <v>2293</v>
      </c>
      <c r="E31" s="31">
        <f t="shared" si="0"/>
        <v>2011105</v>
      </c>
      <c r="F31" s="31">
        <f>일위대가_호표!H389</f>
        <v>0</v>
      </c>
      <c r="G31" s="31">
        <f>일위대가_호표!J389</f>
        <v>0</v>
      </c>
      <c r="H31" s="31">
        <f>일위대가_호표!L389</f>
        <v>2011105</v>
      </c>
      <c r="I31" s="22" t="s">
        <v>2859</v>
      </c>
      <c r="J31" t="s">
        <v>2859</v>
      </c>
      <c r="K31" t="s">
        <v>422</v>
      </c>
      <c r="L31" t="s">
        <v>1314</v>
      </c>
      <c r="T31" s="31">
        <v>0</v>
      </c>
      <c r="U31" s="31">
        <v>0</v>
      </c>
      <c r="V31" s="31">
        <v>2011105</v>
      </c>
      <c r="W31" s="31">
        <v>2011105</v>
      </c>
      <c r="Y31" s="9" t="b">
        <f t="shared" si="1"/>
        <v>1</v>
      </c>
      <c r="AA31" s="34" t="str">
        <f>HYPERLINK("#일위대가_호표!A389","K7011770-2 →")</f>
        <v>K7011770-2 →</v>
      </c>
    </row>
    <row r="32" spans="1:27" ht="18.399999999999999" customHeight="1" x14ac:dyDescent="0.15">
      <c r="A32" s="13" t="s">
        <v>1187</v>
      </c>
      <c r="B32" s="2" t="s">
        <v>2859</v>
      </c>
      <c r="C32" s="2">
        <v>1</v>
      </c>
      <c r="D32" s="2" t="s">
        <v>1091</v>
      </c>
      <c r="E32" s="31">
        <f t="shared" si="0"/>
        <v>20315</v>
      </c>
      <c r="F32" s="31">
        <f>일위대가_호표!H405</f>
        <v>604</v>
      </c>
      <c r="G32" s="31">
        <f>일위대가_호표!J405</f>
        <v>15001</v>
      </c>
      <c r="H32" s="31">
        <f>일위대가_호표!L405</f>
        <v>4710</v>
      </c>
      <c r="I32" s="22" t="s">
        <v>2859</v>
      </c>
      <c r="J32" t="s">
        <v>2859</v>
      </c>
      <c r="K32" t="s">
        <v>1171</v>
      </c>
      <c r="L32" t="s">
        <v>1314</v>
      </c>
      <c r="T32" s="31">
        <v>604</v>
      </c>
      <c r="U32" s="31">
        <v>15001</v>
      </c>
      <c r="V32" s="31">
        <v>4710</v>
      </c>
      <c r="W32" s="31">
        <v>20315</v>
      </c>
      <c r="Y32" s="9" t="b">
        <f t="shared" si="1"/>
        <v>1</v>
      </c>
      <c r="AA32" s="34" t="str">
        <f>HYPERLINK("#일위대가_호표!A405","K7011720 →")</f>
        <v>K7011720 →</v>
      </c>
    </row>
    <row r="33" spans="1:27" ht="18.399999999999999" customHeight="1" x14ac:dyDescent="0.15">
      <c r="A33" s="13" t="s">
        <v>1467</v>
      </c>
      <c r="B33" s="2" t="s">
        <v>2859</v>
      </c>
      <c r="C33" s="2">
        <v>1</v>
      </c>
      <c r="D33" s="2" t="s">
        <v>2831</v>
      </c>
      <c r="E33" s="31">
        <f t="shared" si="0"/>
        <v>16</v>
      </c>
      <c r="F33" s="31">
        <f>일위대가_호표!H412</f>
        <v>0</v>
      </c>
      <c r="G33" s="31">
        <f>일위대가_호표!J412</f>
        <v>0</v>
      </c>
      <c r="H33" s="31">
        <f>일위대가_호표!L412</f>
        <v>16</v>
      </c>
      <c r="I33" s="22" t="s">
        <v>2859</v>
      </c>
      <c r="J33" t="s">
        <v>2859</v>
      </c>
      <c r="K33" t="s">
        <v>1798</v>
      </c>
      <c r="L33" t="s">
        <v>1314</v>
      </c>
      <c r="T33" s="31">
        <v>0</v>
      </c>
      <c r="U33" s="31">
        <v>0</v>
      </c>
      <c r="V33" s="31">
        <v>16</v>
      </c>
      <c r="W33" s="31">
        <v>16</v>
      </c>
      <c r="Y33" s="9" t="b">
        <f t="shared" si="1"/>
        <v>1</v>
      </c>
      <c r="AA33" s="34" t="str">
        <f>HYPERLINK("#일위대가_호표!A412","K7011750 →")</f>
        <v>K7011750 →</v>
      </c>
    </row>
    <row r="34" spans="1:27" ht="18.399999999999999" customHeight="1" x14ac:dyDescent="0.15">
      <c r="A34" s="13" t="s">
        <v>1706</v>
      </c>
      <c r="B34" s="2" t="s">
        <v>553</v>
      </c>
      <c r="C34" s="2">
        <v>1</v>
      </c>
      <c r="D34" s="2" t="s">
        <v>2822</v>
      </c>
      <c r="E34" s="31">
        <f t="shared" si="0"/>
        <v>5002</v>
      </c>
      <c r="F34" s="31">
        <f>일위대가_호표!H416</f>
        <v>299</v>
      </c>
      <c r="G34" s="31">
        <f>일위대가_호표!J416</f>
        <v>4324</v>
      </c>
      <c r="H34" s="31">
        <f>일위대가_호표!L416</f>
        <v>379</v>
      </c>
      <c r="I34" s="22" t="s">
        <v>2859</v>
      </c>
      <c r="J34" t="s">
        <v>2859</v>
      </c>
      <c r="K34" t="s">
        <v>2262</v>
      </c>
      <c r="L34" t="s">
        <v>1314</v>
      </c>
      <c r="T34" s="31">
        <v>299</v>
      </c>
      <c r="U34" s="31">
        <v>4324</v>
      </c>
      <c r="V34" s="31">
        <v>379</v>
      </c>
      <c r="W34" s="31">
        <v>5002</v>
      </c>
      <c r="Y34" s="9" t="b">
        <f t="shared" si="1"/>
        <v>1</v>
      </c>
      <c r="AA34" s="34" t="str">
        <f>HYPERLINK("#일위대가_호표!A416","N1070-2 →")</f>
        <v>N1070-2 →</v>
      </c>
    </row>
    <row r="35" spans="1:27" ht="18.399999999999999" customHeight="1" x14ac:dyDescent="0.15">
      <c r="A35" s="13" t="s">
        <v>1280</v>
      </c>
      <c r="B35" s="2" t="s">
        <v>2436</v>
      </c>
      <c r="C35" s="2">
        <v>1</v>
      </c>
      <c r="D35" s="2" t="s">
        <v>2822</v>
      </c>
      <c r="E35" s="31">
        <f t="shared" si="0"/>
        <v>1585</v>
      </c>
      <c r="F35" s="31">
        <f>일위대가_호표!H420</f>
        <v>285</v>
      </c>
      <c r="G35" s="31">
        <f>일위대가_호표!J420</f>
        <v>938</v>
      </c>
      <c r="H35" s="31">
        <f>일위대가_호표!L420</f>
        <v>362</v>
      </c>
      <c r="I35" s="22" t="s">
        <v>2859</v>
      </c>
      <c r="J35" t="s">
        <v>2859</v>
      </c>
      <c r="K35" t="s">
        <v>2277</v>
      </c>
      <c r="L35" t="s">
        <v>1314</v>
      </c>
      <c r="T35" s="31">
        <v>285</v>
      </c>
      <c r="U35" s="31">
        <v>938</v>
      </c>
      <c r="V35" s="31">
        <v>362</v>
      </c>
      <c r="W35" s="31">
        <v>1585</v>
      </c>
      <c r="Y35" s="9" t="b">
        <f t="shared" si="1"/>
        <v>1</v>
      </c>
      <c r="AA35" s="34" t="str">
        <f>HYPERLINK("#일위대가_호표!A420","N0860-2 →")</f>
        <v>N0860-2 →</v>
      </c>
    </row>
    <row r="36" spans="1:27" ht="18.399999999999999" customHeight="1" x14ac:dyDescent="0.15">
      <c r="A36" s="13" t="s">
        <v>2606</v>
      </c>
      <c r="B36" s="2" t="s">
        <v>1190</v>
      </c>
      <c r="C36" s="2">
        <v>1</v>
      </c>
      <c r="D36" s="2" t="s">
        <v>1212</v>
      </c>
      <c r="E36" s="31">
        <f t="shared" si="0"/>
        <v>414</v>
      </c>
      <c r="F36" s="31">
        <f>일위대가_호표!H423</f>
        <v>20</v>
      </c>
      <c r="G36" s="31">
        <f>일위대가_호표!J423</f>
        <v>386</v>
      </c>
      <c r="H36" s="31">
        <f>일위대가_호표!L423</f>
        <v>8</v>
      </c>
      <c r="I36" s="22" t="s">
        <v>2859</v>
      </c>
      <c r="J36" t="s">
        <v>2859</v>
      </c>
      <c r="K36" t="s">
        <v>180</v>
      </c>
      <c r="L36" t="s">
        <v>1314</v>
      </c>
      <c r="T36" s="31">
        <v>20</v>
      </c>
      <c r="U36" s="31">
        <v>386</v>
      </c>
      <c r="V36" s="31">
        <v>8</v>
      </c>
      <c r="W36" s="31">
        <v>414</v>
      </c>
      <c r="Y36" s="9" t="b">
        <f t="shared" si="1"/>
        <v>1</v>
      </c>
      <c r="AA36" s="34" t="str">
        <f>HYPERLINK("#일위대가_호표!A423","N0800-2 →")</f>
        <v>N0800-2 →</v>
      </c>
    </row>
    <row r="37" spans="1:27" ht="18.399999999999999" customHeight="1" x14ac:dyDescent="0.15">
      <c r="A37" s="13" t="s">
        <v>1307</v>
      </c>
      <c r="B37" s="2" t="s">
        <v>1146</v>
      </c>
      <c r="C37" s="2">
        <v>1</v>
      </c>
      <c r="D37" s="2" t="s">
        <v>2293</v>
      </c>
      <c r="E37" s="31">
        <f t="shared" si="0"/>
        <v>1250635</v>
      </c>
      <c r="F37" s="31">
        <f>일위대가_산근!C4</f>
        <v>0</v>
      </c>
      <c r="G37" s="31">
        <f>일위대가_산근!D4</f>
        <v>0</v>
      </c>
      <c r="H37" s="31">
        <f>일위대가_산근!E4</f>
        <v>1250635</v>
      </c>
      <c r="I37" s="22" t="s">
        <v>2859</v>
      </c>
      <c r="J37" t="s">
        <v>2859</v>
      </c>
      <c r="K37" t="s">
        <v>1223</v>
      </c>
      <c r="L37" t="s">
        <v>2417</v>
      </c>
      <c r="T37" s="31">
        <v>0</v>
      </c>
      <c r="U37" s="31">
        <v>0</v>
      </c>
      <c r="V37" s="31">
        <v>1250635</v>
      </c>
      <c r="W37" s="31">
        <v>1250635</v>
      </c>
      <c r="Y37" s="9" t="b">
        <f t="shared" si="1"/>
        <v>1</v>
      </c>
      <c r="AA37" s="34" t="str">
        <f>HYPERLINK("#일위대가_산근!A4","SF00300 →")</f>
        <v>SF00300 →</v>
      </c>
    </row>
    <row r="38" spans="1:27" ht="18.399999999999999" customHeight="1" x14ac:dyDescent="0.15">
      <c r="A38" s="13" t="s">
        <v>1396</v>
      </c>
      <c r="B38" s="2" t="s">
        <v>1146</v>
      </c>
      <c r="C38" s="2">
        <v>1</v>
      </c>
      <c r="D38" s="2" t="s">
        <v>2293</v>
      </c>
      <c r="E38" s="31">
        <f t="shared" si="0"/>
        <v>1155708</v>
      </c>
      <c r="F38" s="31">
        <f>일위대가_산근!C42</f>
        <v>0</v>
      </c>
      <c r="G38" s="31">
        <f>일위대가_산근!D42</f>
        <v>0</v>
      </c>
      <c r="H38" s="31">
        <f>일위대가_산근!E42</f>
        <v>1155708</v>
      </c>
      <c r="I38" s="22" t="s">
        <v>2859</v>
      </c>
      <c r="J38" t="s">
        <v>2859</v>
      </c>
      <c r="K38" t="s">
        <v>2673</v>
      </c>
      <c r="L38" t="s">
        <v>2417</v>
      </c>
      <c r="T38" s="31">
        <v>0</v>
      </c>
      <c r="U38" s="31">
        <v>0</v>
      </c>
      <c r="V38" s="31">
        <v>1155708</v>
      </c>
      <c r="W38" s="31">
        <v>1155708</v>
      </c>
      <c r="Y38" s="9" t="b">
        <f t="shared" si="1"/>
        <v>1</v>
      </c>
      <c r="AA38" s="34" t="str">
        <f>HYPERLINK("#일위대가_산근!A42","SF00400 →")</f>
        <v>SF00400 →</v>
      </c>
    </row>
    <row r="39" spans="1:27" ht="18.399999999999999" customHeight="1" x14ac:dyDescent="0.15">
      <c r="A39" s="13" t="s">
        <v>933</v>
      </c>
      <c r="B39" s="2" t="s">
        <v>2021</v>
      </c>
      <c r="C39" s="2">
        <v>1</v>
      </c>
      <c r="D39" s="2" t="s">
        <v>1678</v>
      </c>
      <c r="E39" s="31">
        <f t="shared" si="0"/>
        <v>72375</v>
      </c>
      <c r="F39" s="31">
        <f>일위대가_산근!C80</f>
        <v>0</v>
      </c>
      <c r="G39" s="31">
        <f>일위대가_산근!D80</f>
        <v>0</v>
      </c>
      <c r="H39" s="31">
        <f>일위대가_산근!E80</f>
        <v>72375</v>
      </c>
      <c r="I39" s="22" t="s">
        <v>2859</v>
      </c>
      <c r="J39" t="s">
        <v>2859</v>
      </c>
      <c r="K39" t="s">
        <v>764</v>
      </c>
      <c r="L39" t="s">
        <v>2417</v>
      </c>
      <c r="T39" s="31">
        <v>0</v>
      </c>
      <c r="U39" s="31">
        <v>0</v>
      </c>
      <c r="V39" s="31">
        <v>72375</v>
      </c>
      <c r="W39" s="31">
        <v>72375</v>
      </c>
      <c r="Y39" s="9" t="b">
        <f t="shared" si="1"/>
        <v>1</v>
      </c>
      <c r="AA39" s="34" t="str">
        <f>HYPERLINK("#일위대가_산근!A80","SF031050 →")</f>
        <v>SF031050 →</v>
      </c>
    </row>
    <row r="40" spans="1:27" ht="18.399999999999999" customHeight="1" x14ac:dyDescent="0.15">
      <c r="A40" s="13" t="s">
        <v>1498</v>
      </c>
      <c r="B40" s="2" t="s">
        <v>916</v>
      </c>
      <c r="C40" s="2">
        <v>1</v>
      </c>
      <c r="D40" s="2" t="s">
        <v>2293</v>
      </c>
      <c r="E40" s="31">
        <f t="shared" si="0"/>
        <v>5727281</v>
      </c>
      <c r="F40" s="31">
        <f>일위대가_산근!C165</f>
        <v>0</v>
      </c>
      <c r="G40" s="31">
        <f>일위대가_산근!D165</f>
        <v>0</v>
      </c>
      <c r="H40" s="31">
        <f>일위대가_산근!E165</f>
        <v>5727281</v>
      </c>
      <c r="I40" s="22" t="s">
        <v>2859</v>
      </c>
      <c r="J40" t="s">
        <v>2859</v>
      </c>
      <c r="K40" t="s">
        <v>62</v>
      </c>
      <c r="L40" t="s">
        <v>2417</v>
      </c>
      <c r="T40" s="31">
        <v>0</v>
      </c>
      <c r="U40" s="31">
        <v>0</v>
      </c>
      <c r="V40" s="31">
        <v>5727281</v>
      </c>
      <c r="W40" s="31">
        <v>5727281</v>
      </c>
      <c r="Y40" s="9" t="b">
        <f t="shared" si="1"/>
        <v>1</v>
      </c>
      <c r="AA40" s="34" t="str">
        <f>HYPERLINK("#일위대가_산근!A165","WD26D000 →")</f>
        <v>WD26D000 →</v>
      </c>
    </row>
    <row r="41" spans="1:27" ht="18.399999999999999" customHeight="1" x14ac:dyDescent="0.15">
      <c r="A41" s="13" t="s">
        <v>1510</v>
      </c>
      <c r="B41" s="2" t="s">
        <v>2859</v>
      </c>
      <c r="C41" s="2">
        <v>1</v>
      </c>
      <c r="D41" s="2" t="s">
        <v>2110</v>
      </c>
      <c r="E41" s="31">
        <f t="shared" si="0"/>
        <v>483</v>
      </c>
      <c r="F41" s="31">
        <f>일위대가_호표!H21</f>
        <v>31</v>
      </c>
      <c r="G41" s="31">
        <f>일위대가_호표!J21</f>
        <v>390</v>
      </c>
      <c r="H41" s="31">
        <f>일위대가_호표!L21</f>
        <v>62</v>
      </c>
      <c r="I41" s="22" t="s">
        <v>2859</v>
      </c>
      <c r="J41" t="s">
        <v>2859</v>
      </c>
      <c r="K41" t="s">
        <v>418</v>
      </c>
      <c r="L41" t="s">
        <v>1773</v>
      </c>
      <c r="T41" s="31">
        <v>31</v>
      </c>
      <c r="U41" s="31">
        <v>390</v>
      </c>
      <c r="V41" s="31">
        <v>62</v>
      </c>
      <c r="W41" s="31">
        <v>483</v>
      </c>
      <c r="Y41" s="9" t="b">
        <f t="shared" si="1"/>
        <v>1</v>
      </c>
      <c r="AA41" s="34" t="str">
        <f>HYPERLINK("#일위대가_호표!A21","SA00230 →")</f>
        <v>SA00230 →</v>
      </c>
    </row>
    <row r="42" spans="1:27" ht="18.399999999999999" customHeight="1" x14ac:dyDescent="0.15">
      <c r="A42" s="13" t="s">
        <v>330</v>
      </c>
      <c r="B42" s="2" t="s">
        <v>1995</v>
      </c>
      <c r="C42" s="2">
        <v>1</v>
      </c>
      <c r="D42" s="2" t="s">
        <v>1085</v>
      </c>
      <c r="E42" s="31">
        <f t="shared" si="0"/>
        <v>43441</v>
      </c>
      <c r="F42" s="31">
        <f>일위대가_호표!H70</f>
        <v>0</v>
      </c>
      <c r="G42" s="31">
        <f>일위대가_호표!J70</f>
        <v>43441</v>
      </c>
      <c r="H42" s="31">
        <f>일위대가_호표!L70</f>
        <v>0</v>
      </c>
      <c r="I42" s="22" t="s">
        <v>2859</v>
      </c>
      <c r="J42" t="s">
        <v>2859</v>
      </c>
      <c r="K42" t="s">
        <v>2175</v>
      </c>
      <c r="L42" t="s">
        <v>1773</v>
      </c>
      <c r="T42" s="31">
        <v>0</v>
      </c>
      <c r="U42" s="31">
        <v>43441</v>
      </c>
      <c r="V42" s="31">
        <v>0</v>
      </c>
      <c r="W42" s="31">
        <v>43441</v>
      </c>
      <c r="Y42" s="9" t="b">
        <f t="shared" si="1"/>
        <v>1</v>
      </c>
      <c r="AA42" s="34" t="str">
        <f>HYPERLINK("#일위대가_호표!A70","H1021200000 →")</f>
        <v>H1021200000 →</v>
      </c>
    </row>
    <row r="43" spans="1:27" ht="18.399999999999999" customHeight="1" x14ac:dyDescent="0.15">
      <c r="A43" s="13" t="s">
        <v>2479</v>
      </c>
      <c r="B43" s="2" t="s">
        <v>2859</v>
      </c>
      <c r="C43" s="2">
        <v>1</v>
      </c>
      <c r="D43" s="2" t="s">
        <v>1085</v>
      </c>
      <c r="E43" s="31">
        <f t="shared" si="0"/>
        <v>39788</v>
      </c>
      <c r="F43" s="31">
        <f>일위대가_호표!H78</f>
        <v>27789</v>
      </c>
      <c r="G43" s="31">
        <f>일위대가_호표!J78</f>
        <v>10816</v>
      </c>
      <c r="H43" s="31">
        <f>일위대가_호표!L78</f>
        <v>1183</v>
      </c>
      <c r="I43" s="22" t="s">
        <v>2859</v>
      </c>
      <c r="J43" t="s">
        <v>2859</v>
      </c>
      <c r="K43" t="s">
        <v>2655</v>
      </c>
      <c r="L43" t="s">
        <v>1773</v>
      </c>
      <c r="T43" s="31">
        <v>27789</v>
      </c>
      <c r="U43" s="31">
        <v>10816</v>
      </c>
      <c r="V43" s="31">
        <v>1183</v>
      </c>
      <c r="W43" s="31">
        <v>39788</v>
      </c>
      <c r="Y43" s="9" t="b">
        <f t="shared" si="1"/>
        <v>1</v>
      </c>
      <c r="AA43" s="34" t="str">
        <f>HYPERLINK("#일위대가_호표!A78","K2030210 →")</f>
        <v>K2030210 →</v>
      </c>
    </row>
    <row r="44" spans="1:27" ht="18.399999999999999" customHeight="1" x14ac:dyDescent="0.15">
      <c r="A44" s="13" t="s">
        <v>14</v>
      </c>
      <c r="B44" s="2" t="s">
        <v>989</v>
      </c>
      <c r="C44" s="2">
        <v>1</v>
      </c>
      <c r="D44" s="2" t="s">
        <v>2212</v>
      </c>
      <c r="E44" s="31">
        <f t="shared" si="0"/>
        <v>51719</v>
      </c>
      <c r="F44" s="31">
        <f>일위대가_호표!H118</f>
        <v>13358</v>
      </c>
      <c r="G44" s="31">
        <f>일위대가_호표!J118</f>
        <v>37982</v>
      </c>
      <c r="H44" s="31">
        <f>일위대가_호표!L118</f>
        <v>379</v>
      </c>
      <c r="I44" s="22" t="s">
        <v>2859</v>
      </c>
      <c r="J44" t="s">
        <v>2859</v>
      </c>
      <c r="K44" t="s">
        <v>1192</v>
      </c>
      <c r="L44" t="s">
        <v>1773</v>
      </c>
      <c r="T44" s="31">
        <v>13358</v>
      </c>
      <c r="U44" s="31">
        <v>37982</v>
      </c>
      <c r="V44" s="31">
        <v>379</v>
      </c>
      <c r="W44" s="31">
        <v>51719</v>
      </c>
      <c r="Y44" s="9" t="b">
        <f t="shared" si="1"/>
        <v>1</v>
      </c>
      <c r="AA44" s="34" t="str">
        <f>HYPERLINK("#일위대가_호표!A118","K3060114 →")</f>
        <v>K3060114 →</v>
      </c>
    </row>
    <row r="45" spans="1:27" ht="18.399999999999999" customHeight="1" x14ac:dyDescent="0.15">
      <c r="A45" s="13" t="s">
        <v>1332</v>
      </c>
      <c r="B45" s="2" t="s">
        <v>590</v>
      </c>
      <c r="C45" s="2">
        <v>1</v>
      </c>
      <c r="D45" s="2" t="s">
        <v>2212</v>
      </c>
      <c r="E45" s="31">
        <f t="shared" si="0"/>
        <v>46353</v>
      </c>
      <c r="F45" s="31">
        <f>일위대가_호표!H127</f>
        <v>11819</v>
      </c>
      <c r="G45" s="31">
        <f>일위대가_호표!J127</f>
        <v>34193</v>
      </c>
      <c r="H45" s="31">
        <f>일위대가_호표!L127</f>
        <v>341</v>
      </c>
      <c r="I45" s="22" t="s">
        <v>2859</v>
      </c>
      <c r="J45" t="s">
        <v>2859</v>
      </c>
      <c r="K45" t="s">
        <v>754</v>
      </c>
      <c r="L45" t="s">
        <v>1773</v>
      </c>
      <c r="T45" s="31">
        <v>11819</v>
      </c>
      <c r="U45" s="31">
        <v>34193</v>
      </c>
      <c r="V45" s="31">
        <v>341</v>
      </c>
      <c r="W45" s="31">
        <v>46353</v>
      </c>
      <c r="Y45" s="9" t="b">
        <f t="shared" si="1"/>
        <v>1</v>
      </c>
      <c r="AA45" s="34" t="str">
        <f>HYPERLINK("#일위대가_호표!A127","K3060116 →")</f>
        <v>K3060116 →</v>
      </c>
    </row>
    <row r="46" spans="1:27" ht="18.399999999999999" customHeight="1" x14ac:dyDescent="0.15">
      <c r="A46" s="13" t="s">
        <v>2117</v>
      </c>
      <c r="B46" s="2" t="s">
        <v>2343</v>
      </c>
      <c r="C46" s="2">
        <v>1</v>
      </c>
      <c r="D46" s="2" t="s">
        <v>2471</v>
      </c>
      <c r="E46" s="31">
        <f t="shared" si="0"/>
        <v>961592</v>
      </c>
      <c r="F46" s="31">
        <f>일위대가_호표!H136</f>
        <v>13840</v>
      </c>
      <c r="G46" s="31">
        <f>일위대가_호표!J136</f>
        <v>929169</v>
      </c>
      <c r="H46" s="31">
        <f>일위대가_호표!L136</f>
        <v>18583</v>
      </c>
      <c r="I46" s="22" t="s">
        <v>2859</v>
      </c>
      <c r="J46" t="s">
        <v>2859</v>
      </c>
      <c r="K46" t="s">
        <v>204</v>
      </c>
      <c r="L46" t="s">
        <v>1773</v>
      </c>
      <c r="T46" s="31">
        <v>13840</v>
      </c>
      <c r="U46" s="31">
        <v>929169</v>
      </c>
      <c r="V46" s="31">
        <v>18583</v>
      </c>
      <c r="W46" s="31">
        <v>961592</v>
      </c>
      <c r="Y46" s="9" t="b">
        <f t="shared" si="1"/>
        <v>1</v>
      </c>
      <c r="AA46" s="34" t="str">
        <f>HYPERLINK("#일위대가_호표!A136","K3061110 →")</f>
        <v>K3061110 →</v>
      </c>
    </row>
    <row r="47" spans="1:27" ht="18.399999999999999" customHeight="1" x14ac:dyDescent="0.15">
      <c r="A47" s="13" t="s">
        <v>443</v>
      </c>
      <c r="B47" s="2" t="s">
        <v>1720</v>
      </c>
      <c r="C47" s="2">
        <v>1</v>
      </c>
      <c r="D47" s="2" t="s">
        <v>1091</v>
      </c>
      <c r="E47" s="31">
        <f t="shared" si="0"/>
        <v>55744</v>
      </c>
      <c r="F47" s="31">
        <f>일위대가_호표!H143</f>
        <v>3398</v>
      </c>
      <c r="G47" s="31">
        <f>일위대가_호표!J143</f>
        <v>45375</v>
      </c>
      <c r="H47" s="31">
        <f>일위대가_호표!L143</f>
        <v>6971</v>
      </c>
      <c r="I47" s="22" t="s">
        <v>2859</v>
      </c>
      <c r="J47" t="s">
        <v>2859</v>
      </c>
      <c r="K47" t="s">
        <v>1569</v>
      </c>
      <c r="L47" t="s">
        <v>1773</v>
      </c>
      <c r="T47" s="31">
        <v>3398</v>
      </c>
      <c r="U47" s="31">
        <v>45375</v>
      </c>
      <c r="V47" s="31">
        <v>6971</v>
      </c>
      <c r="W47" s="31">
        <v>55744</v>
      </c>
      <c r="Y47" s="9" t="b">
        <f t="shared" si="1"/>
        <v>1</v>
      </c>
      <c r="AA47" s="34" t="str">
        <f>HYPERLINK("#일위대가_호표!A143","K5011030 →")</f>
        <v>K5011030 →</v>
      </c>
    </row>
    <row r="48" spans="1:27" ht="18.399999999999999" customHeight="1" x14ac:dyDescent="0.15">
      <c r="A48" s="13" t="s">
        <v>2564</v>
      </c>
      <c r="B48" s="2" t="s">
        <v>2043</v>
      </c>
      <c r="C48" s="2">
        <v>1</v>
      </c>
      <c r="D48" s="2" t="s">
        <v>1091</v>
      </c>
      <c r="E48" s="31">
        <f t="shared" si="0"/>
        <v>79045</v>
      </c>
      <c r="F48" s="31">
        <f>일위대가_호표!H151</f>
        <v>4681</v>
      </c>
      <c r="G48" s="31">
        <f>일위대가_호표!J151</f>
        <v>66089</v>
      </c>
      <c r="H48" s="31">
        <f>일위대가_호표!L151</f>
        <v>8275</v>
      </c>
      <c r="I48" s="22" t="s">
        <v>2859</v>
      </c>
      <c r="J48" t="s">
        <v>2859</v>
      </c>
      <c r="K48" t="s">
        <v>2161</v>
      </c>
      <c r="L48" t="s">
        <v>1773</v>
      </c>
      <c r="T48" s="31">
        <v>4681</v>
      </c>
      <c r="U48" s="31">
        <v>66089</v>
      </c>
      <c r="V48" s="31">
        <v>8275</v>
      </c>
      <c r="W48" s="31">
        <v>79045</v>
      </c>
      <c r="Y48" s="9" t="b">
        <f t="shared" si="1"/>
        <v>1</v>
      </c>
      <c r="AA48" s="34" t="str">
        <f>HYPERLINK("#일위대가_호표!A151","K5011045 →")</f>
        <v>K5011045 →</v>
      </c>
    </row>
    <row r="49" spans="1:27" ht="18.399999999999999" customHeight="1" x14ac:dyDescent="0.15">
      <c r="A49" s="13" t="s">
        <v>1844</v>
      </c>
      <c r="B49" s="2" t="s">
        <v>622</v>
      </c>
      <c r="C49" s="2">
        <v>1</v>
      </c>
      <c r="D49" s="2" t="s">
        <v>1091</v>
      </c>
      <c r="E49" s="31">
        <f t="shared" si="0"/>
        <v>86941</v>
      </c>
      <c r="F49" s="31">
        <f>일위대가_호표!H159</f>
        <v>5237</v>
      </c>
      <c r="G49" s="31">
        <f>일위대가_호표!J159</f>
        <v>72994</v>
      </c>
      <c r="H49" s="31">
        <f>일위대가_호표!L159</f>
        <v>8710</v>
      </c>
      <c r="I49" s="22" t="s">
        <v>2859</v>
      </c>
      <c r="J49" t="s">
        <v>2859</v>
      </c>
      <c r="K49" t="s">
        <v>134</v>
      </c>
      <c r="L49" t="s">
        <v>1773</v>
      </c>
      <c r="T49" s="31">
        <v>5237</v>
      </c>
      <c r="U49" s="31">
        <v>72994</v>
      </c>
      <c r="V49" s="31">
        <v>8710</v>
      </c>
      <c r="W49" s="31">
        <v>86941</v>
      </c>
      <c r="Y49" s="9" t="b">
        <f t="shared" si="1"/>
        <v>1</v>
      </c>
      <c r="AA49" s="34" t="str">
        <f>HYPERLINK("#일위대가_호표!A159","K5011050 →")</f>
        <v>K5011050 →</v>
      </c>
    </row>
    <row r="50" spans="1:27" ht="18.399999999999999" customHeight="1" x14ac:dyDescent="0.15">
      <c r="A50" s="13" t="s">
        <v>1480</v>
      </c>
      <c r="B50" s="2" t="s">
        <v>2222</v>
      </c>
      <c r="C50" s="2">
        <v>1</v>
      </c>
      <c r="D50" s="2" t="s">
        <v>1091</v>
      </c>
      <c r="E50" s="31">
        <f t="shared" si="0"/>
        <v>168392</v>
      </c>
      <c r="F50" s="31">
        <f>일위대가_호표!H167</f>
        <v>10841</v>
      </c>
      <c r="G50" s="31">
        <f>일위대가_호표!J167</f>
        <v>142041</v>
      </c>
      <c r="H50" s="31">
        <f>일위대가_호표!L167</f>
        <v>15510</v>
      </c>
      <c r="I50" s="22" t="s">
        <v>2859</v>
      </c>
      <c r="J50" t="s">
        <v>2859</v>
      </c>
      <c r="K50" t="s">
        <v>1442</v>
      </c>
      <c r="L50" t="s">
        <v>1773</v>
      </c>
      <c r="T50" s="31">
        <v>10841</v>
      </c>
      <c r="U50" s="31">
        <v>142041</v>
      </c>
      <c r="V50" s="31">
        <v>15510</v>
      </c>
      <c r="W50" s="31">
        <v>168392</v>
      </c>
      <c r="Y50" s="9" t="b">
        <f t="shared" si="1"/>
        <v>1</v>
      </c>
      <c r="AA50" s="34" t="str">
        <f>HYPERLINK("#일위대가_호표!A167","K5011100 →")</f>
        <v>K5011100 →</v>
      </c>
    </row>
    <row r="51" spans="1:27" ht="18.399999999999999" customHeight="1" x14ac:dyDescent="0.15">
      <c r="A51" s="13" t="s">
        <v>1181</v>
      </c>
      <c r="B51" s="2" t="s">
        <v>2462</v>
      </c>
      <c r="C51" s="2">
        <v>1</v>
      </c>
      <c r="D51" s="2" t="s">
        <v>1091</v>
      </c>
      <c r="E51" s="31">
        <f t="shared" si="0"/>
        <v>102211</v>
      </c>
      <c r="F51" s="31">
        <f>일위대가_호표!H175</f>
        <v>82162</v>
      </c>
      <c r="G51" s="31">
        <f>일위대가_호표!J175</f>
        <v>19466</v>
      </c>
      <c r="H51" s="31">
        <f>일위대가_호표!L175</f>
        <v>583</v>
      </c>
      <c r="I51" s="22" t="s">
        <v>2859</v>
      </c>
      <c r="J51" t="s">
        <v>2859</v>
      </c>
      <c r="K51" t="s">
        <v>247</v>
      </c>
      <c r="L51" t="s">
        <v>1773</v>
      </c>
      <c r="T51" s="31">
        <v>82162</v>
      </c>
      <c r="U51" s="31">
        <v>19466</v>
      </c>
      <c r="V51" s="31">
        <v>583</v>
      </c>
      <c r="W51" s="31">
        <v>102211</v>
      </c>
      <c r="Y51" s="9" t="b">
        <f t="shared" si="1"/>
        <v>1</v>
      </c>
      <c r="AA51" s="34" t="str">
        <f>HYPERLINK("#일위대가_호표!A175","K50200450 →")</f>
        <v>K50200450 →</v>
      </c>
    </row>
    <row r="52" spans="1:27" ht="18.399999999999999" customHeight="1" x14ac:dyDescent="0.15">
      <c r="A52" s="13" t="s">
        <v>1001</v>
      </c>
      <c r="B52" s="2" t="s">
        <v>914</v>
      </c>
      <c r="C52" s="2">
        <v>1</v>
      </c>
      <c r="D52" s="2" t="s">
        <v>1091</v>
      </c>
      <c r="E52" s="31">
        <f t="shared" si="0"/>
        <v>52763</v>
      </c>
      <c r="F52" s="31">
        <f>일위대가_호표!H183</f>
        <v>38787</v>
      </c>
      <c r="G52" s="31">
        <f>일위대가_호표!J183</f>
        <v>13569</v>
      </c>
      <c r="H52" s="31">
        <f>일위대가_호표!L183</f>
        <v>407</v>
      </c>
      <c r="I52" s="22" t="s">
        <v>2859</v>
      </c>
      <c r="J52" t="s">
        <v>2859</v>
      </c>
      <c r="K52" t="s">
        <v>2410</v>
      </c>
      <c r="L52" t="s">
        <v>1773</v>
      </c>
      <c r="T52" s="31">
        <v>38787</v>
      </c>
      <c r="U52" s="31">
        <v>13569</v>
      </c>
      <c r="V52" s="31">
        <v>407</v>
      </c>
      <c r="W52" s="31">
        <v>52763</v>
      </c>
      <c r="Y52" s="9" t="b">
        <f t="shared" si="1"/>
        <v>1</v>
      </c>
      <c r="AA52" s="34" t="str">
        <f>HYPERLINK("#일위대가_호표!A183","K50200300 →")</f>
        <v>K50200300 →</v>
      </c>
    </row>
    <row r="53" spans="1:27" ht="18.399999999999999" customHeight="1" x14ac:dyDescent="0.15">
      <c r="A53" s="13" t="s">
        <v>2223</v>
      </c>
      <c r="B53" s="2" t="s">
        <v>2563</v>
      </c>
      <c r="C53" s="2">
        <v>1</v>
      </c>
      <c r="D53" s="2" t="s">
        <v>1091</v>
      </c>
      <c r="E53" s="31">
        <f t="shared" si="0"/>
        <v>5045</v>
      </c>
      <c r="F53" s="31">
        <f>일위대가_호표!H191</f>
        <v>1050</v>
      </c>
      <c r="G53" s="31">
        <f>일위대가_호표!J191</f>
        <v>3995</v>
      </c>
      <c r="H53" s="31">
        <f>일위대가_호표!L191</f>
        <v>0</v>
      </c>
      <c r="I53" s="22" t="s">
        <v>2859</v>
      </c>
      <c r="J53" t="s">
        <v>2859</v>
      </c>
      <c r="K53" t="s">
        <v>1470</v>
      </c>
      <c r="L53" t="s">
        <v>1773</v>
      </c>
      <c r="T53" s="31">
        <v>1050</v>
      </c>
      <c r="U53" s="31">
        <v>3995</v>
      </c>
      <c r="V53" s="31">
        <v>0</v>
      </c>
      <c r="W53" s="31">
        <v>5045</v>
      </c>
      <c r="Y53" s="9" t="b">
        <f t="shared" si="1"/>
        <v>1</v>
      </c>
      <c r="AA53" s="34" t="str">
        <f>HYPERLINK("#일위대가_호표!A191","K50200025 →")</f>
        <v>K50200025 →</v>
      </c>
    </row>
    <row r="54" spans="1:27" ht="18.399999999999999" customHeight="1" x14ac:dyDescent="0.15">
      <c r="A54" s="13" t="s">
        <v>1581</v>
      </c>
      <c r="B54" s="2" t="s">
        <v>1090</v>
      </c>
      <c r="C54" s="2">
        <v>1</v>
      </c>
      <c r="D54" s="2" t="s">
        <v>2471</v>
      </c>
      <c r="E54" s="31">
        <f t="shared" si="0"/>
        <v>3245348</v>
      </c>
      <c r="F54" s="31">
        <f>일위대가_호표!H198</f>
        <v>90148</v>
      </c>
      <c r="G54" s="31">
        <f>일위대가_호표!J198</f>
        <v>3004953</v>
      </c>
      <c r="H54" s="31">
        <f>일위대가_호표!L198</f>
        <v>150247</v>
      </c>
      <c r="I54" s="22" t="s">
        <v>2859</v>
      </c>
      <c r="J54" t="s">
        <v>2859</v>
      </c>
      <c r="K54" t="s">
        <v>1393</v>
      </c>
      <c r="L54" t="s">
        <v>1773</v>
      </c>
      <c r="T54" s="31">
        <v>90148</v>
      </c>
      <c r="U54" s="31">
        <v>3004953</v>
      </c>
      <c r="V54" s="31">
        <v>150247</v>
      </c>
      <c r="W54" s="31">
        <v>3245348</v>
      </c>
      <c r="Y54" s="9" t="b">
        <f t="shared" si="1"/>
        <v>1</v>
      </c>
      <c r="AA54" s="34" t="str">
        <f>HYPERLINK("#일위대가_호표!A198","K3061310 →")</f>
        <v>K3061310 →</v>
      </c>
    </row>
    <row r="55" spans="1:27" ht="18.399999999999999" customHeight="1" x14ac:dyDescent="0.15">
      <c r="A55" s="13" t="s">
        <v>1823</v>
      </c>
      <c r="B55" s="2" t="s">
        <v>513</v>
      </c>
      <c r="C55" s="2">
        <v>1</v>
      </c>
      <c r="D55" s="2" t="s">
        <v>2212</v>
      </c>
      <c r="E55" s="31">
        <f t="shared" si="0"/>
        <v>5055</v>
      </c>
      <c r="F55" s="31">
        <f>일위대가_호표!H207</f>
        <v>615</v>
      </c>
      <c r="G55" s="31">
        <f>일위대가_호표!J207</f>
        <v>4353</v>
      </c>
      <c r="H55" s="31">
        <f>일위대가_호표!L207</f>
        <v>87</v>
      </c>
      <c r="I55" s="22" t="s">
        <v>2859</v>
      </c>
      <c r="J55" t="s">
        <v>2859</v>
      </c>
      <c r="K55" t="s">
        <v>1941</v>
      </c>
      <c r="L55" t="s">
        <v>1773</v>
      </c>
      <c r="T55" s="31">
        <v>615</v>
      </c>
      <c r="U55" s="31">
        <v>4353</v>
      </c>
      <c r="V55" s="31">
        <v>87</v>
      </c>
      <c r="W55" s="31">
        <v>5055</v>
      </c>
      <c r="Y55" s="9" t="b">
        <f t="shared" si="1"/>
        <v>1</v>
      </c>
      <c r="AA55" s="34" t="str">
        <f>HYPERLINK("#일위대가_호표!A207","XC0081 →")</f>
        <v>XC0081 →</v>
      </c>
    </row>
    <row r="56" spans="1:27" ht="18.399999999999999" customHeight="1" x14ac:dyDescent="0.15">
      <c r="A56" s="13" t="s">
        <v>1724</v>
      </c>
      <c r="B56" s="2" t="s">
        <v>2525</v>
      </c>
      <c r="C56" s="2">
        <v>1</v>
      </c>
      <c r="D56" s="2" t="s">
        <v>2212</v>
      </c>
      <c r="E56" s="31">
        <f t="shared" si="0"/>
        <v>13279</v>
      </c>
      <c r="F56" s="31">
        <f>일위대가_호표!H217</f>
        <v>1437</v>
      </c>
      <c r="G56" s="31">
        <f>일위대가_호표!J217</f>
        <v>11610</v>
      </c>
      <c r="H56" s="31">
        <f>일위대가_호표!L217</f>
        <v>232</v>
      </c>
      <c r="I56" s="22" t="s">
        <v>2859</v>
      </c>
      <c r="J56" t="s">
        <v>2859</v>
      </c>
      <c r="K56" t="s">
        <v>1472</v>
      </c>
      <c r="L56" t="s">
        <v>1773</v>
      </c>
      <c r="T56" s="31">
        <v>1437</v>
      </c>
      <c r="U56" s="31">
        <v>11610</v>
      </c>
      <c r="V56" s="31">
        <v>232</v>
      </c>
      <c r="W56" s="31">
        <v>13279</v>
      </c>
      <c r="Y56" s="9" t="b">
        <f t="shared" si="1"/>
        <v>1</v>
      </c>
      <c r="AA56" s="34" t="str">
        <f>HYPERLINK("#일위대가_호표!A217","XC0083 →")</f>
        <v>XC0083 →</v>
      </c>
    </row>
    <row r="57" spans="1:27" ht="18.399999999999999" customHeight="1" x14ac:dyDescent="0.15">
      <c r="A57" s="13" t="s">
        <v>124</v>
      </c>
      <c r="B57" s="2" t="s">
        <v>2825</v>
      </c>
      <c r="C57" s="2">
        <v>1</v>
      </c>
      <c r="D57" s="2" t="s">
        <v>2212</v>
      </c>
      <c r="E57" s="31">
        <f t="shared" si="0"/>
        <v>4550</v>
      </c>
      <c r="F57" s="31">
        <f>일위대가_호표!H228</f>
        <v>0</v>
      </c>
      <c r="G57" s="31">
        <f>일위대가_호표!J228</f>
        <v>4550</v>
      </c>
      <c r="H57" s="31">
        <f>일위대가_호표!L228</f>
        <v>0</v>
      </c>
      <c r="I57" s="22" t="s">
        <v>2859</v>
      </c>
      <c r="J57" t="s">
        <v>2859</v>
      </c>
      <c r="K57" t="s">
        <v>88</v>
      </c>
      <c r="L57" t="s">
        <v>1773</v>
      </c>
      <c r="T57" s="31">
        <v>0</v>
      </c>
      <c r="U57" s="31">
        <v>4550</v>
      </c>
      <c r="V57" s="31">
        <v>0</v>
      </c>
      <c r="W57" s="31">
        <v>4550</v>
      </c>
      <c r="Y57" s="9" t="b">
        <f t="shared" si="1"/>
        <v>1</v>
      </c>
      <c r="AA57" s="34" t="str">
        <f>HYPERLINK("#일위대가_호표!A228","K60000200 →")</f>
        <v>K60000200 →</v>
      </c>
    </row>
    <row r="58" spans="1:27" ht="18.399999999999999" customHeight="1" x14ac:dyDescent="0.15">
      <c r="A58" s="13" t="s">
        <v>2707</v>
      </c>
      <c r="B58" s="2" t="s">
        <v>2709</v>
      </c>
      <c r="C58" s="2">
        <v>1</v>
      </c>
      <c r="D58" s="2" t="s">
        <v>1091</v>
      </c>
      <c r="E58" s="31">
        <f t="shared" si="0"/>
        <v>60729</v>
      </c>
      <c r="F58" s="31">
        <f>일위대가_호표!H232</f>
        <v>6657</v>
      </c>
      <c r="G58" s="31">
        <f>일위대가_호표!J232</f>
        <v>52498</v>
      </c>
      <c r="H58" s="31">
        <f>일위대가_호표!L232</f>
        <v>1574</v>
      </c>
      <c r="I58" s="22" t="s">
        <v>2859</v>
      </c>
      <c r="J58" t="s">
        <v>2859</v>
      </c>
      <c r="K58" t="s">
        <v>2163</v>
      </c>
      <c r="L58" t="s">
        <v>1773</v>
      </c>
      <c r="T58" s="31">
        <v>6657</v>
      </c>
      <c r="U58" s="31">
        <v>52498</v>
      </c>
      <c r="V58" s="31">
        <v>1574</v>
      </c>
      <c r="W58" s="31">
        <v>60729</v>
      </c>
      <c r="Y58" s="9" t="b">
        <f t="shared" si="1"/>
        <v>1</v>
      </c>
      <c r="AA58" s="34" t="str">
        <f>HYPERLINK("#일위대가_호표!A232","PJ1001000 →")</f>
        <v>PJ1001000 →</v>
      </c>
    </row>
    <row r="59" spans="1:27" ht="18.399999999999999" customHeight="1" x14ac:dyDescent="0.15">
      <c r="A59" s="13" t="s">
        <v>2506</v>
      </c>
      <c r="B59" s="2" t="s">
        <v>470</v>
      </c>
      <c r="C59" s="2">
        <v>1</v>
      </c>
      <c r="D59" s="2" t="s">
        <v>773</v>
      </c>
      <c r="E59" s="31">
        <f t="shared" si="0"/>
        <v>178500</v>
      </c>
      <c r="F59" s="31">
        <f>일위대가_호표!H241</f>
        <v>170000</v>
      </c>
      <c r="G59" s="31">
        <f>일위대가_호표!J241</f>
        <v>8500</v>
      </c>
      <c r="H59" s="31">
        <f>일위대가_호표!L241</f>
        <v>0</v>
      </c>
      <c r="I59" s="22" t="s">
        <v>2859</v>
      </c>
      <c r="J59" t="s">
        <v>2859</v>
      </c>
      <c r="K59" t="s">
        <v>1475</v>
      </c>
      <c r="L59" t="s">
        <v>1773</v>
      </c>
      <c r="T59" s="31">
        <v>170000</v>
      </c>
      <c r="U59" s="31">
        <v>8500</v>
      </c>
      <c r="V59" s="31">
        <v>0</v>
      </c>
      <c r="W59" s="31">
        <v>178500</v>
      </c>
      <c r="Y59" s="9" t="b">
        <f t="shared" si="1"/>
        <v>1</v>
      </c>
      <c r="AA59" s="34" t="str">
        <f>HYPERLINK("#일위대가_호표!A241","K7000100 →")</f>
        <v>K7000100 →</v>
      </c>
    </row>
    <row r="60" spans="1:27" ht="18.399999999999999" customHeight="1" x14ac:dyDescent="0.15">
      <c r="A60" s="13" t="s">
        <v>38</v>
      </c>
      <c r="B60" s="2" t="s">
        <v>1982</v>
      </c>
      <c r="C60" s="2">
        <v>1</v>
      </c>
      <c r="D60" s="2" t="s">
        <v>1085</v>
      </c>
      <c r="E60" s="31">
        <f t="shared" si="0"/>
        <v>82724</v>
      </c>
      <c r="F60" s="31">
        <f>일위대가_호표!H245</f>
        <v>0</v>
      </c>
      <c r="G60" s="31">
        <f>일위대가_호표!J245</f>
        <v>71844</v>
      </c>
      <c r="H60" s="31">
        <f>일위대가_호표!L245</f>
        <v>10880</v>
      </c>
      <c r="I60" s="22" t="s">
        <v>2859</v>
      </c>
      <c r="J60" t="s">
        <v>2859</v>
      </c>
      <c r="K60" t="s">
        <v>867</v>
      </c>
      <c r="L60" t="s">
        <v>1773</v>
      </c>
      <c r="T60" s="31">
        <v>0</v>
      </c>
      <c r="U60" s="31">
        <v>71844</v>
      </c>
      <c r="V60" s="31">
        <v>10880</v>
      </c>
      <c r="W60" s="31">
        <v>82724</v>
      </c>
      <c r="Y60" s="9" t="b">
        <f t="shared" si="1"/>
        <v>1</v>
      </c>
      <c r="AA60" s="34" t="str">
        <f>HYPERLINK("#일위대가_호표!A245","K3010112 →")</f>
        <v>K3010112 →</v>
      </c>
    </row>
    <row r="61" spans="1:27" ht="18.399999999999999" customHeight="1" x14ac:dyDescent="0.15">
      <c r="A61" s="13" t="s">
        <v>1915</v>
      </c>
      <c r="B61" s="2" t="s">
        <v>629</v>
      </c>
      <c r="C61" s="2">
        <v>1</v>
      </c>
      <c r="D61" s="2" t="s">
        <v>1790</v>
      </c>
      <c r="E61" s="31">
        <f t="shared" si="0"/>
        <v>367500</v>
      </c>
      <c r="F61" s="31">
        <f>일위대가_호표!H252</f>
        <v>350000</v>
      </c>
      <c r="G61" s="31">
        <f>일위대가_호표!J252</f>
        <v>17500</v>
      </c>
      <c r="H61" s="31">
        <f>일위대가_호표!L252</f>
        <v>0</v>
      </c>
      <c r="I61" s="22" t="s">
        <v>2859</v>
      </c>
      <c r="J61" t="s">
        <v>2859</v>
      </c>
      <c r="K61" t="s">
        <v>431</v>
      </c>
      <c r="L61" t="s">
        <v>1773</v>
      </c>
      <c r="T61" s="31">
        <v>350000</v>
      </c>
      <c r="U61" s="31">
        <v>17500</v>
      </c>
      <c r="V61" s="31">
        <v>0</v>
      </c>
      <c r="W61" s="31">
        <v>367500</v>
      </c>
      <c r="Y61" s="9" t="b">
        <f t="shared" si="1"/>
        <v>1</v>
      </c>
      <c r="AA61" s="34" t="str">
        <f>HYPERLINK("#일위대가_호표!A252","K5015100 →")</f>
        <v>K5015100 →</v>
      </c>
    </row>
    <row r="62" spans="1:27" ht="18.399999999999999" customHeight="1" x14ac:dyDescent="0.15">
      <c r="A62" s="13" t="s">
        <v>1854</v>
      </c>
      <c r="B62" s="2" t="s">
        <v>2859</v>
      </c>
      <c r="C62" s="2">
        <v>1</v>
      </c>
      <c r="D62" s="2" t="s">
        <v>773</v>
      </c>
      <c r="E62" s="31">
        <f t="shared" si="0"/>
        <v>330</v>
      </c>
      <c r="F62" s="31">
        <f>일위대가_호표!H256</f>
        <v>315</v>
      </c>
      <c r="G62" s="31">
        <f>일위대가_호표!J256</f>
        <v>15</v>
      </c>
      <c r="H62" s="31">
        <f>일위대가_호표!L256</f>
        <v>0</v>
      </c>
      <c r="I62" s="22" t="s">
        <v>2859</v>
      </c>
      <c r="J62" t="s">
        <v>2859</v>
      </c>
      <c r="K62" t="s">
        <v>2594</v>
      </c>
      <c r="L62" t="s">
        <v>1773</v>
      </c>
      <c r="T62" s="31">
        <v>315</v>
      </c>
      <c r="U62" s="31">
        <v>15</v>
      </c>
      <c r="V62" s="31">
        <v>0</v>
      </c>
      <c r="W62" s="31">
        <v>330</v>
      </c>
      <c r="Y62" s="9" t="b">
        <f t="shared" si="1"/>
        <v>1</v>
      </c>
      <c r="AA62" s="34" t="str">
        <f>HYPERLINK("#일위대가_호표!A256","K6900210 →")</f>
        <v>K6900210 →</v>
      </c>
    </row>
    <row r="63" spans="1:27" ht="18.399999999999999" customHeight="1" x14ac:dyDescent="0.15">
      <c r="A63" s="13" t="s">
        <v>163</v>
      </c>
      <c r="B63" s="2" t="s">
        <v>494</v>
      </c>
      <c r="C63" s="2">
        <v>1</v>
      </c>
      <c r="D63" s="2" t="s">
        <v>773</v>
      </c>
      <c r="E63" s="31">
        <f t="shared" si="0"/>
        <v>220</v>
      </c>
      <c r="F63" s="31">
        <f>일위대가_호표!H260</f>
        <v>220</v>
      </c>
      <c r="G63" s="31">
        <f>일위대가_호표!J260</f>
        <v>0</v>
      </c>
      <c r="H63" s="31">
        <f>일위대가_호표!L260</f>
        <v>0</v>
      </c>
      <c r="I63" s="22" t="s">
        <v>2859</v>
      </c>
      <c r="J63" t="s">
        <v>2859</v>
      </c>
      <c r="K63" t="s">
        <v>2857</v>
      </c>
      <c r="L63" t="s">
        <v>1773</v>
      </c>
      <c r="T63" s="31">
        <v>220</v>
      </c>
      <c r="U63" s="31">
        <v>0</v>
      </c>
      <c r="V63" s="31">
        <v>0</v>
      </c>
      <c r="W63" s="31">
        <v>220</v>
      </c>
      <c r="Y63" s="9" t="b">
        <f t="shared" si="1"/>
        <v>1</v>
      </c>
      <c r="AA63" s="34" t="str">
        <f>HYPERLINK("#일위대가_호표!A260","K6900100 →")</f>
        <v>K6900100 →</v>
      </c>
    </row>
    <row r="64" spans="1:27" ht="18.399999999999999" customHeight="1" x14ac:dyDescent="0.15">
      <c r="A64" s="13" t="s">
        <v>1600</v>
      </c>
      <c r="B64" s="2" t="s">
        <v>2859</v>
      </c>
      <c r="C64" s="2">
        <v>1</v>
      </c>
      <c r="D64" s="2" t="s">
        <v>2212</v>
      </c>
      <c r="E64" s="31">
        <f t="shared" si="0"/>
        <v>30548</v>
      </c>
      <c r="F64" s="31">
        <f>일위대가_호표!H263</f>
        <v>0</v>
      </c>
      <c r="G64" s="31">
        <f>일위대가_호표!J263</f>
        <v>29659</v>
      </c>
      <c r="H64" s="31">
        <f>일위대가_호표!L263</f>
        <v>889</v>
      </c>
      <c r="I64" s="22" t="s">
        <v>2859</v>
      </c>
      <c r="J64" t="s">
        <v>2859</v>
      </c>
      <c r="K64" t="s">
        <v>1360</v>
      </c>
      <c r="L64" t="s">
        <v>1773</v>
      </c>
      <c r="T64" s="31">
        <v>0</v>
      </c>
      <c r="U64" s="31">
        <v>29659</v>
      </c>
      <c r="V64" s="31">
        <v>889</v>
      </c>
      <c r="W64" s="31">
        <v>30548</v>
      </c>
      <c r="Y64" s="9" t="b">
        <f t="shared" si="1"/>
        <v>1</v>
      </c>
      <c r="AA64" s="34" t="str">
        <f>HYPERLINK("#일위대가_호표!A263","K3050215 →")</f>
        <v>K3050215 →</v>
      </c>
    </row>
    <row r="65" spans="1:27" ht="18.399999999999999" customHeight="1" x14ac:dyDescent="0.15">
      <c r="A65" s="13" t="s">
        <v>2291</v>
      </c>
      <c r="B65" s="2" t="s">
        <v>2859</v>
      </c>
      <c r="C65" s="2">
        <v>1</v>
      </c>
      <c r="D65" s="2" t="s">
        <v>2212</v>
      </c>
      <c r="E65" s="31">
        <f t="shared" si="0"/>
        <v>2835</v>
      </c>
      <c r="F65" s="31">
        <f>일위대가_호표!H269</f>
        <v>2700</v>
      </c>
      <c r="G65" s="31">
        <f>일위대가_호표!J269</f>
        <v>135</v>
      </c>
      <c r="H65" s="31">
        <f>일위대가_호표!L269</f>
        <v>0</v>
      </c>
      <c r="I65" s="22" t="s">
        <v>2859</v>
      </c>
      <c r="J65" t="s">
        <v>2859</v>
      </c>
      <c r="K65" t="s">
        <v>2562</v>
      </c>
      <c r="L65" t="s">
        <v>1773</v>
      </c>
      <c r="T65" s="31">
        <v>2700</v>
      </c>
      <c r="U65" s="31">
        <v>135</v>
      </c>
      <c r="V65" s="31">
        <v>0</v>
      </c>
      <c r="W65" s="31">
        <v>2835</v>
      </c>
      <c r="Y65" s="9" t="b">
        <f t="shared" si="1"/>
        <v>1</v>
      </c>
      <c r="AA65" s="34" t="str">
        <f>HYPERLINK("#일위대가_호표!A269","K7002400 →")</f>
        <v>K7002400 →</v>
      </c>
    </row>
    <row r="66" spans="1:27" ht="18.399999999999999" customHeight="1" x14ac:dyDescent="0.15">
      <c r="A66" s="13" t="s">
        <v>1728</v>
      </c>
      <c r="B66" s="2" t="s">
        <v>2859</v>
      </c>
      <c r="C66" s="2">
        <v>1</v>
      </c>
      <c r="D66" s="2" t="s">
        <v>1085</v>
      </c>
      <c r="E66" s="31">
        <f t="shared" si="0"/>
        <v>4375350</v>
      </c>
      <c r="F66" s="31">
        <f>일위대가_호표!H273</f>
        <v>4167000</v>
      </c>
      <c r="G66" s="31">
        <f>일위대가_호표!J273</f>
        <v>208350</v>
      </c>
      <c r="H66" s="31">
        <f>일위대가_호표!L273</f>
        <v>0</v>
      </c>
      <c r="I66" s="22" t="s">
        <v>2859</v>
      </c>
      <c r="J66" t="s">
        <v>2859</v>
      </c>
      <c r="K66" t="s">
        <v>920</v>
      </c>
      <c r="L66" t="s">
        <v>1773</v>
      </c>
      <c r="T66" s="31">
        <v>4167000</v>
      </c>
      <c r="U66" s="31">
        <v>208350</v>
      </c>
      <c r="V66" s="31">
        <v>0</v>
      </c>
      <c r="W66" s="31">
        <v>4375350</v>
      </c>
      <c r="Y66" s="9" t="b">
        <f t="shared" si="1"/>
        <v>1</v>
      </c>
      <c r="AA66" s="34" t="str">
        <f>HYPERLINK("#일위대가_호표!A273","K7002200 →")</f>
        <v>K7002200 →</v>
      </c>
    </row>
    <row r="67" spans="1:27" ht="18.399999999999999" customHeight="1" x14ac:dyDescent="0.15">
      <c r="A67" s="13" t="s">
        <v>5</v>
      </c>
      <c r="B67" s="2" t="s">
        <v>2859</v>
      </c>
      <c r="C67" s="2">
        <v>1</v>
      </c>
      <c r="D67" s="2" t="s">
        <v>1091</v>
      </c>
      <c r="E67" s="31">
        <f t="shared" ref="E67:E75" si="2">F67+G67+H67</f>
        <v>150</v>
      </c>
      <c r="F67" s="31">
        <f>일위대가_호표!H277</f>
        <v>150</v>
      </c>
      <c r="G67" s="31">
        <f>일위대가_호표!J277</f>
        <v>0</v>
      </c>
      <c r="H67" s="31">
        <f>일위대가_호표!L277</f>
        <v>0</v>
      </c>
      <c r="I67" s="22" t="s">
        <v>2859</v>
      </c>
      <c r="J67" t="s">
        <v>2859</v>
      </c>
      <c r="K67" t="s">
        <v>2545</v>
      </c>
      <c r="L67" t="s">
        <v>1773</v>
      </c>
      <c r="T67" s="31">
        <v>150</v>
      </c>
      <c r="U67" s="31">
        <v>0</v>
      </c>
      <c r="V67" s="31">
        <v>0</v>
      </c>
      <c r="W67" s="31">
        <v>150</v>
      </c>
      <c r="Y67" s="9" t="b">
        <f t="shared" ref="Y67:Y75" si="3">EXACT($E67,$W67)</f>
        <v>1</v>
      </c>
      <c r="AA67" s="34" t="str">
        <f>HYPERLINK("#일위대가_호표!A277","K7012200 →")</f>
        <v>K7012200 →</v>
      </c>
    </row>
    <row r="68" spans="1:27" ht="18.399999999999999" customHeight="1" x14ac:dyDescent="0.15">
      <c r="A68" s="13" t="s">
        <v>2684</v>
      </c>
      <c r="B68" s="2" t="s">
        <v>2859</v>
      </c>
      <c r="C68" s="2">
        <v>1</v>
      </c>
      <c r="D68" s="2" t="s">
        <v>773</v>
      </c>
      <c r="E68" s="31">
        <f t="shared" si="2"/>
        <v>190909</v>
      </c>
      <c r="F68" s="31">
        <f>일위대가_호표!H280</f>
        <v>0</v>
      </c>
      <c r="G68" s="31">
        <f>일위대가_호표!J280</f>
        <v>190909</v>
      </c>
      <c r="H68" s="31">
        <f>일위대가_호표!L280</f>
        <v>0</v>
      </c>
      <c r="I68" s="22" t="s">
        <v>2859</v>
      </c>
      <c r="J68" t="s">
        <v>2859</v>
      </c>
      <c r="K68" t="s">
        <v>92</v>
      </c>
      <c r="L68" t="s">
        <v>1773</v>
      </c>
      <c r="T68" s="31">
        <v>0</v>
      </c>
      <c r="U68" s="31">
        <v>190909</v>
      </c>
      <c r="V68" s="31">
        <v>0</v>
      </c>
      <c r="W68" s="31">
        <v>190909</v>
      </c>
      <c r="Y68" s="9" t="b">
        <f t="shared" si="3"/>
        <v>1</v>
      </c>
      <c r="AA68" s="34" t="str">
        <f>HYPERLINK("#일위대가_호표!A280","KO010010 →")</f>
        <v>KO010010 →</v>
      </c>
    </row>
    <row r="69" spans="1:27" ht="18.399999999999999" customHeight="1" x14ac:dyDescent="0.15">
      <c r="A69" s="13" t="s">
        <v>906</v>
      </c>
      <c r="B69" s="2" t="s">
        <v>1338</v>
      </c>
      <c r="C69" s="2">
        <v>1</v>
      </c>
      <c r="D69" s="2" t="s">
        <v>2212</v>
      </c>
      <c r="E69" s="31">
        <f t="shared" si="2"/>
        <v>3103</v>
      </c>
      <c r="F69" s="31">
        <f>일위대가_호표!H326</f>
        <v>2101</v>
      </c>
      <c r="G69" s="31">
        <f>일위대가_호표!J326</f>
        <v>1002</v>
      </c>
      <c r="H69" s="31">
        <f>일위대가_호표!L326</f>
        <v>0</v>
      </c>
      <c r="I69" s="22" t="s">
        <v>2859</v>
      </c>
      <c r="J69" t="s">
        <v>2859</v>
      </c>
      <c r="K69" t="s">
        <v>889</v>
      </c>
      <c r="L69" t="s">
        <v>1773</v>
      </c>
      <c r="T69" s="31">
        <v>2101</v>
      </c>
      <c r="U69" s="31">
        <v>1002</v>
      </c>
      <c r="V69" s="31">
        <v>0</v>
      </c>
      <c r="W69" s="31">
        <v>3103</v>
      </c>
      <c r="Y69" s="9" t="b">
        <f t="shared" si="3"/>
        <v>1</v>
      </c>
      <c r="AA69" s="34" t="str">
        <f>HYPERLINK("#일위대가_호표!A326","K2010220 →")</f>
        <v>K2010220 →</v>
      </c>
    </row>
    <row r="70" spans="1:27" ht="18.399999999999999" customHeight="1" x14ac:dyDescent="0.15">
      <c r="A70" s="13" t="s">
        <v>781</v>
      </c>
      <c r="B70" s="2" t="s">
        <v>2390</v>
      </c>
      <c r="C70" s="2">
        <v>1</v>
      </c>
      <c r="D70" s="2" t="s">
        <v>1212</v>
      </c>
      <c r="E70" s="31">
        <f t="shared" si="2"/>
        <v>16383</v>
      </c>
      <c r="F70" s="31">
        <f>일위대가_호표!H330</f>
        <v>4980</v>
      </c>
      <c r="G70" s="31">
        <f>일위대가_호표!J330</f>
        <v>10370</v>
      </c>
      <c r="H70" s="31">
        <f>일위대가_호표!L330</f>
        <v>1033</v>
      </c>
      <c r="I70" s="22" t="s">
        <v>2859</v>
      </c>
      <c r="J70" t="s">
        <v>2859</v>
      </c>
      <c r="K70" t="s">
        <v>121</v>
      </c>
      <c r="L70" t="s">
        <v>1773</v>
      </c>
      <c r="T70" s="31">
        <v>4980</v>
      </c>
      <c r="U70" s="31">
        <v>10370</v>
      </c>
      <c r="V70" s="31">
        <v>1033</v>
      </c>
      <c r="W70" s="31">
        <v>16383</v>
      </c>
      <c r="Y70" s="9" t="b">
        <f t="shared" si="3"/>
        <v>1</v>
      </c>
      <c r="AA70" s="34" t="str">
        <f>HYPERLINK("#일위대가_호표!A330","NP0410-24 →")</f>
        <v>NP0410-24 →</v>
      </c>
    </row>
    <row r="71" spans="1:27" ht="18.399999999999999" customHeight="1" x14ac:dyDescent="0.15">
      <c r="A71" s="13" t="s">
        <v>2821</v>
      </c>
      <c r="B71" s="2" t="s">
        <v>582</v>
      </c>
      <c r="C71" s="2">
        <v>1</v>
      </c>
      <c r="D71" s="2" t="s">
        <v>773</v>
      </c>
      <c r="E71" s="31">
        <f t="shared" si="2"/>
        <v>57058</v>
      </c>
      <c r="F71" s="31">
        <f>일위대가_호표!H340</f>
        <v>50000</v>
      </c>
      <c r="G71" s="31">
        <f>일위대가_호표!J340</f>
        <v>6722</v>
      </c>
      <c r="H71" s="31">
        <f>일위대가_호표!L340</f>
        <v>336</v>
      </c>
      <c r="I71" s="22" t="s">
        <v>2859</v>
      </c>
      <c r="J71" t="s">
        <v>2859</v>
      </c>
      <c r="K71" t="s">
        <v>531</v>
      </c>
      <c r="L71" t="s">
        <v>1773</v>
      </c>
      <c r="T71" s="31">
        <v>50000</v>
      </c>
      <c r="U71" s="31">
        <v>6722</v>
      </c>
      <c r="V71" s="31">
        <v>336</v>
      </c>
      <c r="W71" s="31">
        <v>57058</v>
      </c>
      <c r="Y71" s="9" t="b">
        <f t="shared" si="3"/>
        <v>1</v>
      </c>
      <c r="AA71" s="34" t="str">
        <f>HYPERLINK("#일위대가_호표!A340","K2020010 →")</f>
        <v>K2020010 →</v>
      </c>
    </row>
    <row r="72" spans="1:27" ht="18.399999999999999" customHeight="1" x14ac:dyDescent="0.15">
      <c r="A72" s="13" t="s">
        <v>868</v>
      </c>
      <c r="B72" s="2" t="s">
        <v>916</v>
      </c>
      <c r="C72" s="2">
        <v>1</v>
      </c>
      <c r="D72" s="2" t="s">
        <v>2293</v>
      </c>
      <c r="E72" s="31">
        <f t="shared" si="2"/>
        <v>11947341</v>
      </c>
      <c r="F72" s="31">
        <f>일위대가_호표!H394</f>
        <v>0</v>
      </c>
      <c r="G72" s="31">
        <f>일위대가_호표!J394</f>
        <v>0</v>
      </c>
      <c r="H72" s="31">
        <f>일위대가_호표!L394</f>
        <v>11947341</v>
      </c>
      <c r="I72" s="22" t="s">
        <v>2859</v>
      </c>
      <c r="J72" t="s">
        <v>2182</v>
      </c>
      <c r="K72" t="s">
        <v>2391</v>
      </c>
      <c r="L72" t="s">
        <v>1773</v>
      </c>
      <c r="T72" s="31">
        <v>0</v>
      </c>
      <c r="U72" s="31">
        <v>0</v>
      </c>
      <c r="V72" s="31">
        <v>11947341</v>
      </c>
      <c r="W72" s="31">
        <v>11947341</v>
      </c>
      <c r="Y72" s="9" t="b">
        <f t="shared" si="3"/>
        <v>1</v>
      </c>
      <c r="AA72" s="34" t="str">
        <f>HYPERLINK("#일위대가_호표!A394","WD25D000 →")</f>
        <v>WD25D000 →</v>
      </c>
    </row>
    <row r="73" spans="1:27" ht="18.399999999999999" customHeight="1" x14ac:dyDescent="0.15">
      <c r="A73" s="13" t="s">
        <v>2446</v>
      </c>
      <c r="B73" s="2" t="s">
        <v>1990</v>
      </c>
      <c r="C73" s="2">
        <v>1</v>
      </c>
      <c r="D73" s="2" t="s">
        <v>2822</v>
      </c>
      <c r="E73" s="31">
        <f t="shared" si="2"/>
        <v>14311</v>
      </c>
      <c r="F73" s="31">
        <f>일위대가_호표!H426</f>
        <v>1554</v>
      </c>
      <c r="G73" s="31">
        <f>일위대가_호표!J426</f>
        <v>11235</v>
      </c>
      <c r="H73" s="31">
        <f>일위대가_호표!L426</f>
        <v>1522</v>
      </c>
      <c r="I73" s="22" t="s">
        <v>2859</v>
      </c>
      <c r="J73" t="s">
        <v>2859</v>
      </c>
      <c r="K73" t="s">
        <v>783</v>
      </c>
      <c r="L73" t="s">
        <v>1773</v>
      </c>
      <c r="T73" s="31">
        <v>1554</v>
      </c>
      <c r="U73" s="31">
        <v>11235</v>
      </c>
      <c r="V73" s="31">
        <v>1522</v>
      </c>
      <c r="W73" s="31">
        <v>14311</v>
      </c>
      <c r="Y73" s="9" t="b">
        <f t="shared" si="3"/>
        <v>1</v>
      </c>
      <c r="AA73" s="34" t="str">
        <f>HYPERLINK("#일위대가_호표!A426","N0303 →")</f>
        <v>N0303 →</v>
      </c>
    </row>
    <row r="74" spans="1:27" ht="18.399999999999999" customHeight="1" x14ac:dyDescent="0.15">
      <c r="A74" s="13" t="s">
        <v>2812</v>
      </c>
      <c r="B74" s="2" t="s">
        <v>458</v>
      </c>
      <c r="C74" s="2">
        <v>1</v>
      </c>
      <c r="D74" s="2" t="s">
        <v>1212</v>
      </c>
      <c r="E74" s="31">
        <f t="shared" si="2"/>
        <v>8925</v>
      </c>
      <c r="F74" s="31">
        <f>일위대가_호표!H429</f>
        <v>510</v>
      </c>
      <c r="G74" s="31">
        <f>일위대가_호표!J429</f>
        <v>7704</v>
      </c>
      <c r="H74" s="31">
        <f>일위대가_호표!L429</f>
        <v>711</v>
      </c>
      <c r="I74" s="22" t="s">
        <v>2859</v>
      </c>
      <c r="J74" t="s">
        <v>2859</v>
      </c>
      <c r="K74" t="s">
        <v>131</v>
      </c>
      <c r="L74" t="s">
        <v>1773</v>
      </c>
      <c r="T74" s="31">
        <v>510</v>
      </c>
      <c r="U74" s="31">
        <v>7704</v>
      </c>
      <c r="V74" s="31">
        <v>711</v>
      </c>
      <c r="W74" s="31">
        <v>8925</v>
      </c>
      <c r="Y74" s="9" t="b">
        <f t="shared" si="3"/>
        <v>1</v>
      </c>
      <c r="AA74" s="34" t="str">
        <f>HYPERLINK("#일위대가_호표!A429","N6030-24 →")</f>
        <v>N6030-24 →</v>
      </c>
    </row>
    <row r="75" spans="1:27" ht="18.399999999999999" customHeight="1" thickBot="1" x14ac:dyDescent="0.2">
      <c r="A75" s="15" t="s">
        <v>1402</v>
      </c>
      <c r="B75" s="16" t="s">
        <v>1990</v>
      </c>
      <c r="C75" s="16">
        <v>1</v>
      </c>
      <c r="D75" s="16" t="s">
        <v>2614</v>
      </c>
      <c r="E75" s="56">
        <f t="shared" si="2"/>
        <v>2146792</v>
      </c>
      <c r="F75" s="56">
        <f>일위대가_호표!H438</f>
        <v>233236</v>
      </c>
      <c r="G75" s="56">
        <f>일위대가_호표!J438</f>
        <v>1685252</v>
      </c>
      <c r="H75" s="56">
        <f>일위대가_호표!L438</f>
        <v>228304</v>
      </c>
      <c r="I75" s="23" t="s">
        <v>2859</v>
      </c>
      <c r="J75" t="s">
        <v>2859</v>
      </c>
      <c r="K75" t="s">
        <v>2320</v>
      </c>
      <c r="L75" t="s">
        <v>1773</v>
      </c>
      <c r="T75" s="31">
        <v>233236</v>
      </c>
      <c r="U75" s="31">
        <v>1685252</v>
      </c>
      <c r="V75" s="31">
        <v>228304</v>
      </c>
      <c r="W75" s="31">
        <v>2146792</v>
      </c>
      <c r="Y75" s="9" t="b">
        <f t="shared" si="3"/>
        <v>1</v>
      </c>
      <c r="AA75" s="34" t="str">
        <f>HYPERLINK("#일위대가_호표!A438","N0302 →")</f>
        <v>N0302 →</v>
      </c>
    </row>
  </sheetData>
  <phoneticPr fontId="5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445"/>
  <sheetViews>
    <sheetView topLeftCell="A28" workbookViewId="0">
      <selection activeCell="F8" sqref="F8"/>
    </sheetView>
  </sheetViews>
  <sheetFormatPr defaultRowHeight="18.399999999999999" customHeight="1" x14ac:dyDescent="0.15"/>
  <cols>
    <col min="1" max="1" width="25" customWidth="1"/>
    <col min="2" max="2" width="20" customWidth="1"/>
    <col min="3" max="3" width="8" customWidth="1"/>
    <col min="4" max="4" width="5" customWidth="1"/>
    <col min="5" max="12" width="13" customWidth="1"/>
    <col min="13" max="13" width="10" customWidth="1"/>
    <col min="14" max="59" width="0" hidden="1" customWidth="1"/>
  </cols>
  <sheetData>
    <row r="1" spans="1:61" ht="18.399999999999999" customHeight="1" thickBot="1" x14ac:dyDescent="0.2">
      <c r="A1" t="s">
        <v>23</v>
      </c>
    </row>
    <row r="2" spans="1:61" ht="18.399999999999999" customHeight="1" x14ac:dyDescent="0.15">
      <c r="A2" s="430" t="s">
        <v>445</v>
      </c>
      <c r="B2" s="427" t="s">
        <v>1293</v>
      </c>
      <c r="C2" s="427" t="s">
        <v>1664</v>
      </c>
      <c r="D2" s="427" t="s">
        <v>1063</v>
      </c>
      <c r="E2" s="427" t="s">
        <v>2786</v>
      </c>
      <c r="F2" s="427" t="s">
        <v>2859</v>
      </c>
      <c r="G2" s="427" t="s">
        <v>1942</v>
      </c>
      <c r="H2" s="427" t="s">
        <v>2859</v>
      </c>
      <c r="I2" s="427" t="s">
        <v>1175</v>
      </c>
      <c r="J2" s="427" t="s">
        <v>2859</v>
      </c>
      <c r="K2" s="427" t="s">
        <v>171</v>
      </c>
      <c r="L2" s="427" t="s">
        <v>2859</v>
      </c>
      <c r="M2" s="428" t="s">
        <v>716</v>
      </c>
    </row>
    <row r="3" spans="1:61" ht="18.399999999999999" customHeight="1" thickBot="1" x14ac:dyDescent="0.2">
      <c r="A3" s="431" t="s">
        <v>2859</v>
      </c>
      <c r="B3" s="432" t="s">
        <v>2859</v>
      </c>
      <c r="C3" s="432" t="s">
        <v>2859</v>
      </c>
      <c r="D3" s="432" t="s">
        <v>2859</v>
      </c>
      <c r="E3" s="52" t="s">
        <v>623</v>
      </c>
      <c r="F3" s="52" t="s">
        <v>352</v>
      </c>
      <c r="G3" s="52" t="s">
        <v>623</v>
      </c>
      <c r="H3" s="52" t="s">
        <v>352</v>
      </c>
      <c r="I3" s="52" t="s">
        <v>623</v>
      </c>
      <c r="J3" s="52" t="s">
        <v>352</v>
      </c>
      <c r="K3" s="52" t="s">
        <v>623</v>
      </c>
      <c r="L3" s="52" t="s">
        <v>352</v>
      </c>
      <c r="M3" s="429" t="s">
        <v>2859</v>
      </c>
      <c r="S3" s="1" t="s">
        <v>923</v>
      </c>
      <c r="T3" s="1" t="s">
        <v>2089</v>
      </c>
      <c r="U3" s="1" t="s">
        <v>980</v>
      </c>
      <c r="V3" s="1" t="s">
        <v>364</v>
      </c>
      <c r="W3" s="1" t="s">
        <v>153</v>
      </c>
      <c r="X3" s="1" t="s">
        <v>874</v>
      </c>
      <c r="Y3" s="1" t="s">
        <v>1934</v>
      </c>
    </row>
    <row r="4" spans="1:61" ht="18.399999999999999" customHeight="1" x14ac:dyDescent="0.15">
      <c r="A4" s="13" t="s">
        <v>962</v>
      </c>
      <c r="B4" s="2" t="s">
        <v>1995</v>
      </c>
      <c r="C4" s="2">
        <v>1</v>
      </c>
      <c r="D4" s="2" t="s">
        <v>1085</v>
      </c>
      <c r="F4" s="31">
        <f>H4+J4+L4</f>
        <v>2087</v>
      </c>
      <c r="H4" s="31">
        <f>TRUNC(H5,0)</f>
        <v>644</v>
      </c>
      <c r="J4" s="31">
        <f>TRUNC(J5,0)</f>
        <v>909</v>
      </c>
      <c r="L4" s="31">
        <f>TRUNC(L5,0)</f>
        <v>534</v>
      </c>
      <c r="M4" s="22" t="s">
        <v>2859</v>
      </c>
      <c r="N4" t="s">
        <v>2859</v>
      </c>
      <c r="O4" t="s">
        <v>2693</v>
      </c>
    </row>
    <row r="5" spans="1:61" ht="18.399999999999999" customHeight="1" x14ac:dyDescent="0.15">
      <c r="A5" s="13" t="s">
        <v>840</v>
      </c>
      <c r="B5" s="2" t="s">
        <v>1334</v>
      </c>
      <c r="C5" s="2">
        <f>일위대가_별표!$AD31</f>
        <v>1.6E-2</v>
      </c>
      <c r="D5" s="2" t="s">
        <v>2380</v>
      </c>
      <c r="E5" s="31">
        <f>G5+I5+K5</f>
        <v>130596</v>
      </c>
      <c r="F5" s="31">
        <f>H5+J5+L5</f>
        <v>2087</v>
      </c>
      <c r="G5" s="31">
        <f>중기사용료목록!E3</f>
        <v>40310</v>
      </c>
      <c r="H5" s="31">
        <f>TRUNC(G5*C5,0)</f>
        <v>644</v>
      </c>
      <c r="I5" s="31">
        <f>중기사용료목록!F3</f>
        <v>56874</v>
      </c>
      <c r="J5" s="31">
        <f>TRUNC(I5*C5,0)</f>
        <v>909</v>
      </c>
      <c r="K5" s="31">
        <f>중기사용료목록!G3</f>
        <v>33412</v>
      </c>
      <c r="L5" s="31">
        <f>TRUNC(K5*C5,0)</f>
        <v>534</v>
      </c>
      <c r="M5" s="22" t="s">
        <v>2859</v>
      </c>
      <c r="N5" t="s">
        <v>2859</v>
      </c>
      <c r="P5" t="s">
        <v>322</v>
      </c>
      <c r="Q5" t="s">
        <v>2859</v>
      </c>
      <c r="R5" t="s">
        <v>2516</v>
      </c>
      <c r="BI5" s="34" t="str">
        <f>HYPERLINK("#중기사용료목록!A3","E0001010019 →")</f>
        <v>E0001010019 →</v>
      </c>
    </row>
    <row r="6" spans="1:61" ht="18.399999999999999" customHeight="1" x14ac:dyDescent="0.15">
      <c r="A6" s="57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58"/>
    </row>
    <row r="7" spans="1:61" ht="18.399999999999999" customHeight="1" x14ac:dyDescent="0.15">
      <c r="A7" s="13" t="s">
        <v>1516</v>
      </c>
      <c r="B7" s="2" t="s">
        <v>692</v>
      </c>
      <c r="C7" s="2">
        <v>1</v>
      </c>
      <c r="D7" s="2" t="s">
        <v>1085</v>
      </c>
      <c r="F7" s="31">
        <f>H7+J7+L7</f>
        <v>1740</v>
      </c>
      <c r="H7" s="31">
        <f>TRUNC(H8+H9+H10,0)</f>
        <v>434</v>
      </c>
      <c r="J7" s="31">
        <f>TRUNC(J8+J9+J10,0)</f>
        <v>940</v>
      </c>
      <c r="L7" s="31">
        <f>TRUNC(L8+L9+L10,0)</f>
        <v>366</v>
      </c>
      <c r="M7" s="22" t="s">
        <v>2859</v>
      </c>
      <c r="N7" t="s">
        <v>2859</v>
      </c>
      <c r="O7" t="s">
        <v>948</v>
      </c>
    </row>
    <row r="8" spans="1:61" ht="18.399999999999999" customHeight="1" x14ac:dyDescent="0.15">
      <c r="A8" s="13" t="s">
        <v>2806</v>
      </c>
      <c r="B8" s="2" t="s">
        <v>1334</v>
      </c>
      <c r="C8" s="2">
        <f>일위대가_별표!$AH60</f>
        <v>4.0000000000000001E-3</v>
      </c>
      <c r="D8" s="2" t="s">
        <v>2380</v>
      </c>
      <c r="E8" s="31">
        <f>G8+I8+K8</f>
        <v>130596</v>
      </c>
      <c r="F8" s="31">
        <f>H8+J8+L8</f>
        <v>521</v>
      </c>
      <c r="G8" s="31">
        <f>중기사용료목록!E3</f>
        <v>40310</v>
      </c>
      <c r="H8" s="31">
        <f>TRUNC(G8*C8,0)</f>
        <v>161</v>
      </c>
      <c r="I8" s="31">
        <f>중기사용료목록!F3</f>
        <v>56874</v>
      </c>
      <c r="J8" s="31">
        <f>TRUNC(I8*C8,0)</f>
        <v>227</v>
      </c>
      <c r="K8" s="31">
        <f>중기사용료목록!G3</f>
        <v>33412</v>
      </c>
      <c r="L8" s="31">
        <f>TRUNC(K8*C8,0)</f>
        <v>133</v>
      </c>
      <c r="M8" s="22" t="s">
        <v>2859</v>
      </c>
      <c r="N8" t="s">
        <v>2859</v>
      </c>
      <c r="P8" t="s">
        <v>322</v>
      </c>
      <c r="Q8" t="s">
        <v>2859</v>
      </c>
      <c r="R8" t="s">
        <v>2516</v>
      </c>
      <c r="BI8" s="34" t="str">
        <f>HYPERLINK("#중기사용료목록!A3","E0001010019 →")</f>
        <v>E0001010019 →</v>
      </c>
    </row>
    <row r="9" spans="1:61" ht="18.399999999999999" customHeight="1" x14ac:dyDescent="0.15">
      <c r="A9" s="13" t="s">
        <v>1348</v>
      </c>
      <c r="B9" s="2" t="s">
        <v>2441</v>
      </c>
      <c r="C9" s="2">
        <f>일위대가_별표!$AD75</f>
        <v>4.4000000000000003E-3</v>
      </c>
      <c r="D9" s="2" t="s">
        <v>2380</v>
      </c>
      <c r="E9" s="31">
        <f>G9+I9+K9</f>
        <v>115712</v>
      </c>
      <c r="F9" s="31">
        <f>H9+J9+L9</f>
        <v>508</v>
      </c>
      <c r="G9" s="31">
        <f>중기사용료목록!E22</f>
        <v>26020</v>
      </c>
      <c r="H9" s="31">
        <f>TRUNC(G9*C9,0)</f>
        <v>114</v>
      </c>
      <c r="I9" s="31">
        <f>중기사용료목록!F22</f>
        <v>56874</v>
      </c>
      <c r="J9" s="31">
        <f>TRUNC(I9*C9,0)</f>
        <v>250</v>
      </c>
      <c r="K9" s="31">
        <f>중기사용료목록!G22</f>
        <v>32818</v>
      </c>
      <c r="L9" s="31">
        <f>TRUNC(K9*C9,0)</f>
        <v>144</v>
      </c>
      <c r="M9" s="22" t="s">
        <v>2859</v>
      </c>
      <c r="N9" t="s">
        <v>2859</v>
      </c>
      <c r="P9" t="s">
        <v>2491</v>
      </c>
      <c r="Q9" t="s">
        <v>2859</v>
      </c>
      <c r="R9" t="s">
        <v>1889</v>
      </c>
      <c r="BI9" s="34" t="str">
        <f>HYPERLINK("#중기사용료목록!A22","E0013060100 →")</f>
        <v>E0013060100 →</v>
      </c>
    </row>
    <row r="10" spans="1:61" ht="18.399999999999999" customHeight="1" x14ac:dyDescent="0.15">
      <c r="A10" s="13" t="s">
        <v>1508</v>
      </c>
      <c r="B10" s="2" t="s">
        <v>140</v>
      </c>
      <c r="C10" s="2">
        <f>일위대가_별표!$AD107</f>
        <v>9.4999999999999998E-3</v>
      </c>
      <c r="D10" s="2" t="s">
        <v>2380</v>
      </c>
      <c r="E10" s="31">
        <f>G10+I10+K10</f>
        <v>75016</v>
      </c>
      <c r="F10" s="31">
        <f>H10+J10+L10</f>
        <v>711</v>
      </c>
      <c r="G10" s="31">
        <f>중기사용료목록!E38</f>
        <v>16805</v>
      </c>
      <c r="H10" s="31">
        <f>TRUNC(G10*C10,0)</f>
        <v>159</v>
      </c>
      <c r="I10" s="31">
        <f>중기사용료목록!F38</f>
        <v>48741</v>
      </c>
      <c r="J10" s="31">
        <f>TRUNC(I10*C10,0)</f>
        <v>463</v>
      </c>
      <c r="K10" s="31">
        <f>중기사용료목록!G38</f>
        <v>9470</v>
      </c>
      <c r="L10" s="31">
        <f>TRUNC(K10*C10,0)</f>
        <v>89</v>
      </c>
      <c r="M10" s="22" t="s">
        <v>2859</v>
      </c>
      <c r="N10" t="s">
        <v>2859</v>
      </c>
      <c r="P10" t="s">
        <v>1745</v>
      </c>
      <c r="Q10" t="s">
        <v>2859</v>
      </c>
      <c r="R10" t="s">
        <v>42</v>
      </c>
      <c r="BI10" s="34" t="str">
        <f>HYPERLINK("#중기사용료목록!A38","E0072040055 →")</f>
        <v>E0072040055 →</v>
      </c>
    </row>
    <row r="11" spans="1:61" ht="18.399999999999999" customHeight="1" x14ac:dyDescent="0.15">
      <c r="A11" s="57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58"/>
    </row>
    <row r="12" spans="1:61" ht="18.399999999999999" customHeight="1" x14ac:dyDescent="0.15">
      <c r="A12" s="13" t="s">
        <v>2395</v>
      </c>
      <c r="B12" s="2" t="s">
        <v>878</v>
      </c>
      <c r="C12" s="2">
        <v>1</v>
      </c>
      <c r="D12" s="2" t="s">
        <v>1085</v>
      </c>
      <c r="F12" s="31">
        <f>H12+J12+L12</f>
        <v>521</v>
      </c>
      <c r="H12" s="31">
        <f>TRUNC(H13,0)</f>
        <v>161</v>
      </c>
      <c r="J12" s="31">
        <f>TRUNC(J13,0)</f>
        <v>227</v>
      </c>
      <c r="L12" s="31">
        <f>TRUNC(L13,0)</f>
        <v>133</v>
      </c>
      <c r="M12" s="22" t="s">
        <v>2859</v>
      </c>
      <c r="N12" t="s">
        <v>2859</v>
      </c>
      <c r="O12" t="s">
        <v>2148</v>
      </c>
    </row>
    <row r="13" spans="1:61" ht="18.399999999999999" customHeight="1" x14ac:dyDescent="0.15">
      <c r="A13" s="13" t="s">
        <v>2806</v>
      </c>
      <c r="B13" s="2" t="s">
        <v>1334</v>
      </c>
      <c r="C13" s="2">
        <f>일위대가_별표!$AH136</f>
        <v>4.0000000000000001E-3</v>
      </c>
      <c r="D13" s="2" t="s">
        <v>2380</v>
      </c>
      <c r="E13" s="31">
        <f>G13+I13+K13</f>
        <v>130596</v>
      </c>
      <c r="F13" s="31">
        <f>H13+J13+L13</f>
        <v>521</v>
      </c>
      <c r="G13" s="31">
        <f>중기사용료목록!E3</f>
        <v>40310</v>
      </c>
      <c r="H13" s="31">
        <f>TRUNC(G13*C13,0)</f>
        <v>161</v>
      </c>
      <c r="I13" s="31">
        <f>중기사용료목록!F3</f>
        <v>56874</v>
      </c>
      <c r="J13" s="31">
        <f>TRUNC(I13*C13,0)</f>
        <v>227</v>
      </c>
      <c r="K13" s="31">
        <f>중기사용료목록!G3</f>
        <v>33412</v>
      </c>
      <c r="L13" s="31">
        <f>TRUNC(K13*C13,0)</f>
        <v>133</v>
      </c>
      <c r="M13" s="22" t="s">
        <v>2859</v>
      </c>
      <c r="N13" t="s">
        <v>2859</v>
      </c>
      <c r="P13" t="s">
        <v>322</v>
      </c>
      <c r="Q13" t="s">
        <v>2859</v>
      </c>
      <c r="R13" t="s">
        <v>2516</v>
      </c>
      <c r="BI13" s="34" t="str">
        <f>HYPERLINK("#중기사용료목록!A3","E0001010019 →")</f>
        <v>E0001010019 →</v>
      </c>
    </row>
    <row r="14" spans="1:61" ht="18.399999999999999" customHeight="1" x14ac:dyDescent="0.15">
      <c r="A14" s="57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58"/>
    </row>
    <row r="15" spans="1:61" ht="18.399999999999999" customHeight="1" x14ac:dyDescent="0.15">
      <c r="A15" s="13" t="s">
        <v>1019</v>
      </c>
      <c r="B15" s="2" t="s">
        <v>490</v>
      </c>
      <c r="C15" s="2">
        <v>1</v>
      </c>
      <c r="D15" s="2" t="s">
        <v>1085</v>
      </c>
      <c r="F15" s="31">
        <f>H15+J15+L15</f>
        <v>1487</v>
      </c>
      <c r="H15" s="31">
        <f>TRUNC(H16,0)</f>
        <v>459</v>
      </c>
      <c r="J15" s="31">
        <f>TRUNC(J16,0)</f>
        <v>648</v>
      </c>
      <c r="L15" s="31">
        <f>TRUNC(L16,0)</f>
        <v>380</v>
      </c>
      <c r="M15" s="22" t="s">
        <v>2859</v>
      </c>
      <c r="N15" t="s">
        <v>2859</v>
      </c>
      <c r="O15" t="s">
        <v>218</v>
      </c>
    </row>
    <row r="16" spans="1:61" ht="18.399999999999999" customHeight="1" x14ac:dyDescent="0.15">
      <c r="A16" s="13" t="s">
        <v>2792</v>
      </c>
      <c r="B16" s="2" t="s">
        <v>1334</v>
      </c>
      <c r="C16" s="2">
        <f>일위대가_별표!$AH165</f>
        <v>1.14E-2</v>
      </c>
      <c r="D16" s="2" t="s">
        <v>2380</v>
      </c>
      <c r="E16" s="31">
        <f>G16+I16+K16</f>
        <v>130596</v>
      </c>
      <c r="F16" s="31">
        <f>H16+J16+L16</f>
        <v>1487</v>
      </c>
      <c r="G16" s="31">
        <f>중기사용료목록!E3</f>
        <v>40310</v>
      </c>
      <c r="H16" s="31">
        <f>TRUNC(G16*C16,0)</f>
        <v>459</v>
      </c>
      <c r="I16" s="31">
        <f>중기사용료목록!F3</f>
        <v>56874</v>
      </c>
      <c r="J16" s="31">
        <f>TRUNC(I16*C16,0)</f>
        <v>648</v>
      </c>
      <c r="K16" s="31">
        <f>중기사용료목록!G3</f>
        <v>33412</v>
      </c>
      <c r="L16" s="31">
        <f>TRUNC(K16*C16,0)</f>
        <v>380</v>
      </c>
      <c r="M16" s="22" t="s">
        <v>2859</v>
      </c>
      <c r="N16" t="s">
        <v>2859</v>
      </c>
      <c r="P16" t="s">
        <v>322</v>
      </c>
      <c r="Q16" t="s">
        <v>2859</v>
      </c>
      <c r="R16" t="s">
        <v>2516</v>
      </c>
      <c r="BI16" s="34" t="str">
        <f>HYPERLINK("#중기사용료목록!A3","E0001010019 →")</f>
        <v>E0001010019 →</v>
      </c>
    </row>
    <row r="17" spans="1:61" ht="18.399999999999999" customHeight="1" x14ac:dyDescent="0.15">
      <c r="A17" s="57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58"/>
    </row>
    <row r="18" spans="1:61" ht="18.399999999999999" customHeight="1" x14ac:dyDescent="0.15">
      <c r="A18" s="13" t="s">
        <v>1389</v>
      </c>
      <c r="B18" s="2" t="s">
        <v>2546</v>
      </c>
      <c r="C18" s="2">
        <v>1</v>
      </c>
      <c r="D18" s="2" t="s">
        <v>2110</v>
      </c>
      <c r="F18" s="31">
        <f>H18+J18+L18</f>
        <v>252</v>
      </c>
      <c r="H18" s="31">
        <f>TRUNC(H19,0)</f>
        <v>100</v>
      </c>
      <c r="J18" s="31">
        <f>TRUNC(J19,0)</f>
        <v>85</v>
      </c>
      <c r="L18" s="31">
        <f>TRUNC(L19,0)</f>
        <v>67</v>
      </c>
      <c r="M18" s="22" t="s">
        <v>2859</v>
      </c>
      <c r="N18" t="s">
        <v>2859</v>
      </c>
      <c r="O18" t="s">
        <v>1158</v>
      </c>
    </row>
    <row r="19" spans="1:61" ht="18.399999999999999" customHeight="1" x14ac:dyDescent="0.15">
      <c r="A19" s="13" t="s">
        <v>1667</v>
      </c>
      <c r="B19" s="2" t="s">
        <v>2028</v>
      </c>
      <c r="C19" s="2">
        <f>일위대가_별표!$AH194</f>
        <v>1.5E-3</v>
      </c>
      <c r="D19" s="2" t="s">
        <v>2380</v>
      </c>
      <c r="E19" s="31">
        <f>G19+I19+K19</f>
        <v>168932</v>
      </c>
      <c r="F19" s="31">
        <f>H19+J19+L19</f>
        <v>252</v>
      </c>
      <c r="G19" s="31">
        <f>중기사용료목록!E4</f>
        <v>67075</v>
      </c>
      <c r="H19" s="31">
        <f>TRUNC(G19*C19,0)</f>
        <v>100</v>
      </c>
      <c r="I19" s="31">
        <f>중기사용료목록!F4</f>
        <v>56874</v>
      </c>
      <c r="J19" s="31">
        <f>TRUNC(I19*C19,0)</f>
        <v>85</v>
      </c>
      <c r="K19" s="31">
        <f>중기사용료목록!G4</f>
        <v>44983</v>
      </c>
      <c r="L19" s="31">
        <f>TRUNC(K19*C19,0)</f>
        <v>67</v>
      </c>
      <c r="M19" s="22" t="s">
        <v>2859</v>
      </c>
      <c r="N19" t="s">
        <v>2859</v>
      </c>
      <c r="P19" t="s">
        <v>322</v>
      </c>
      <c r="Q19" t="s">
        <v>2859</v>
      </c>
      <c r="R19" t="s">
        <v>2386</v>
      </c>
      <c r="BI19" s="34" t="str">
        <f>HYPERLINK("#중기사용료목록!A4","E0001010032 →")</f>
        <v>E0001010032 →</v>
      </c>
    </row>
    <row r="20" spans="1:61" ht="18.399999999999999" customHeight="1" x14ac:dyDescent="0.15">
      <c r="A20" s="57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58"/>
    </row>
    <row r="21" spans="1:61" ht="18.399999999999999" customHeight="1" x14ac:dyDescent="0.15">
      <c r="A21" s="13" t="s">
        <v>2246</v>
      </c>
      <c r="B21" s="2" t="s">
        <v>2859</v>
      </c>
      <c r="C21" s="2">
        <v>1</v>
      </c>
      <c r="D21" s="2" t="s">
        <v>2110</v>
      </c>
      <c r="F21" s="31">
        <f>H21+J21+L21</f>
        <v>483</v>
      </c>
      <c r="H21" s="31">
        <f>TRUNC(H23+H24,0)</f>
        <v>31</v>
      </c>
      <c r="J21" s="31">
        <f>TRUNC(J23+J24,0)</f>
        <v>390</v>
      </c>
      <c r="L21" s="31">
        <f>TRUNC(L23+L24,0)</f>
        <v>62</v>
      </c>
      <c r="M21" s="22" t="s">
        <v>2859</v>
      </c>
      <c r="N21" t="s">
        <v>2859</v>
      </c>
      <c r="O21" t="s">
        <v>418</v>
      </c>
    </row>
    <row r="22" spans="1:61" ht="18.399999999999999" customHeight="1" x14ac:dyDescent="0.15">
      <c r="A22" s="13" t="s">
        <v>258</v>
      </c>
      <c r="B22" s="2" t="s">
        <v>2859</v>
      </c>
      <c r="C22" s="2"/>
      <c r="D22" s="2" t="s">
        <v>2859</v>
      </c>
      <c r="E22" s="31">
        <f>G22+I22+K22</f>
        <v>0</v>
      </c>
      <c r="F22" s="31">
        <f>H22+J22+L22</f>
        <v>0</v>
      </c>
      <c r="G22" s="1"/>
      <c r="H22" s="31">
        <v>0</v>
      </c>
      <c r="I22" s="1"/>
      <c r="J22" s="31">
        <v>0</v>
      </c>
      <c r="K22" s="1"/>
      <c r="L22" s="31">
        <v>0</v>
      </c>
      <c r="M22" s="22" t="s">
        <v>2859</v>
      </c>
      <c r="N22" t="s">
        <v>2859</v>
      </c>
      <c r="P22" t="s">
        <v>322</v>
      </c>
      <c r="Q22" t="s">
        <v>2859</v>
      </c>
      <c r="R22" t="s">
        <v>2859</v>
      </c>
    </row>
    <row r="23" spans="1:61" ht="18.399999999999999" customHeight="1" x14ac:dyDescent="0.15">
      <c r="A23" s="13" t="s">
        <v>891</v>
      </c>
      <c r="B23" s="2" t="s">
        <v>2859</v>
      </c>
      <c r="C23" s="2">
        <v>1.06E-3</v>
      </c>
      <c r="D23" s="2" t="s">
        <v>2663</v>
      </c>
      <c r="E23" s="31">
        <f>G23+I23+K23</f>
        <v>167081</v>
      </c>
      <c r="F23" s="31">
        <f>H23+J23+L23</f>
        <v>177</v>
      </c>
      <c r="G23" s="31">
        <v>0</v>
      </c>
      <c r="H23" s="31"/>
      <c r="I23" s="31">
        <f>노임!D13</f>
        <v>167081</v>
      </c>
      <c r="J23" s="31">
        <f>TRUNC(I23*C23,0)</f>
        <v>177</v>
      </c>
      <c r="K23" s="31">
        <v>0</v>
      </c>
      <c r="L23" s="31"/>
      <c r="M23" s="22" t="s">
        <v>2859</v>
      </c>
      <c r="N23" t="s">
        <v>822</v>
      </c>
      <c r="P23" t="s">
        <v>2491</v>
      </c>
      <c r="Q23" t="s">
        <v>2859</v>
      </c>
      <c r="R23" t="s">
        <v>485</v>
      </c>
      <c r="BI23" s="34" t="str">
        <f>HYPERLINK("#노임!A13","L085 →")</f>
        <v>L085 →</v>
      </c>
    </row>
    <row r="24" spans="1:61" ht="18.399999999999999" customHeight="1" x14ac:dyDescent="0.15">
      <c r="A24" s="13" t="s">
        <v>1638</v>
      </c>
      <c r="B24" s="2" t="s">
        <v>11</v>
      </c>
      <c r="C24" s="2">
        <v>3.7599999999999999E-3</v>
      </c>
      <c r="D24" s="2" t="s">
        <v>2380</v>
      </c>
      <c r="E24" s="31">
        <f>G24+I24+K24</f>
        <v>81808</v>
      </c>
      <c r="F24" s="31">
        <f>H24+J24+L24</f>
        <v>306</v>
      </c>
      <c r="G24" s="31">
        <f>중기사용료목록!E6</f>
        <v>8409</v>
      </c>
      <c r="H24" s="31">
        <f>TRUNC(G24*C24,0)</f>
        <v>31</v>
      </c>
      <c r="I24" s="31">
        <f>중기사용료목록!F6</f>
        <v>56874</v>
      </c>
      <c r="J24" s="31">
        <f>TRUNC(I24*C24,0)</f>
        <v>213</v>
      </c>
      <c r="K24" s="31">
        <f>중기사용료목록!G6</f>
        <v>16525</v>
      </c>
      <c r="L24" s="31">
        <f>TRUNC(K24*C24,0)</f>
        <v>62</v>
      </c>
      <c r="M24" s="22" t="s">
        <v>2859</v>
      </c>
      <c r="N24" t="s">
        <v>2859</v>
      </c>
      <c r="P24" t="s">
        <v>1745</v>
      </c>
      <c r="Q24" t="s">
        <v>2859</v>
      </c>
      <c r="R24" t="s">
        <v>1344</v>
      </c>
      <c r="BI24" s="34" t="str">
        <f>HYPERLINK("#중기사용료목록!A6","E00020100202 →")</f>
        <v>E00020100202 →</v>
      </c>
    </row>
    <row r="25" spans="1:61" ht="18.399999999999999" customHeight="1" x14ac:dyDescent="0.15">
      <c r="A25" s="57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58"/>
    </row>
    <row r="26" spans="1:61" ht="18.399999999999999" customHeight="1" x14ac:dyDescent="0.15">
      <c r="A26" s="13" t="s">
        <v>560</v>
      </c>
      <c r="B26" s="2" t="s">
        <v>1906</v>
      </c>
      <c r="C26" s="2">
        <v>1</v>
      </c>
      <c r="D26" s="2" t="s">
        <v>1085</v>
      </c>
      <c r="F26" s="31">
        <f>H26+J26+L26</f>
        <v>1600</v>
      </c>
      <c r="H26" s="31">
        <f>TRUNC(H27,0)</f>
        <v>383</v>
      </c>
      <c r="J26" s="31">
        <f>TRUNC(J27,0)</f>
        <v>841</v>
      </c>
      <c r="L26" s="31">
        <f>TRUNC(L27,0)</f>
        <v>376</v>
      </c>
      <c r="M26" s="22" t="s">
        <v>2859</v>
      </c>
      <c r="N26" t="s">
        <v>2859</v>
      </c>
      <c r="O26" t="s">
        <v>1890</v>
      </c>
    </row>
    <row r="27" spans="1:61" ht="18.399999999999999" customHeight="1" x14ac:dyDescent="0.15">
      <c r="A27" s="13" t="s">
        <v>539</v>
      </c>
      <c r="B27" s="2" t="s">
        <v>2847</v>
      </c>
      <c r="C27" s="2">
        <f>일위대가_별표!$AH217</f>
        <v>1.4800000000000001E-2</v>
      </c>
      <c r="D27" s="2" t="s">
        <v>2380</v>
      </c>
      <c r="E27" s="31">
        <f>G27+I27+K27</f>
        <v>108276</v>
      </c>
      <c r="F27" s="31">
        <f>H27+J27+L27</f>
        <v>1600</v>
      </c>
      <c r="G27" s="31">
        <f>중기사용료목록!E9</f>
        <v>25945</v>
      </c>
      <c r="H27" s="31">
        <f>TRUNC(G27*C27,0)</f>
        <v>383</v>
      </c>
      <c r="I27" s="31">
        <f>중기사용료목록!F9</f>
        <v>56874</v>
      </c>
      <c r="J27" s="31">
        <f>TRUNC(I27*C27,0)</f>
        <v>841</v>
      </c>
      <c r="K27" s="31">
        <f>중기사용료목록!G9</f>
        <v>25457</v>
      </c>
      <c r="L27" s="31">
        <f>TRUNC(K27*C27,0)</f>
        <v>376</v>
      </c>
      <c r="M27" s="22" t="s">
        <v>2859</v>
      </c>
      <c r="N27" t="s">
        <v>2859</v>
      </c>
      <c r="P27" t="s">
        <v>322</v>
      </c>
      <c r="Q27" t="s">
        <v>2859</v>
      </c>
      <c r="R27" t="s">
        <v>1943</v>
      </c>
      <c r="BI27" s="34" t="str">
        <f>HYPERLINK("#중기사용료목록!A9","E0002010080 →")</f>
        <v>E0002010080 →</v>
      </c>
    </row>
    <row r="28" spans="1:61" ht="18.399999999999999" customHeight="1" x14ac:dyDescent="0.15">
      <c r="A28" s="57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58"/>
    </row>
    <row r="29" spans="1:61" ht="18.399999999999999" customHeight="1" x14ac:dyDescent="0.15">
      <c r="A29" s="13" t="s">
        <v>397</v>
      </c>
      <c r="B29" s="2" t="s">
        <v>1995</v>
      </c>
      <c r="C29" s="2">
        <v>1</v>
      </c>
      <c r="D29" s="2" t="s">
        <v>1085</v>
      </c>
      <c r="F29" s="31">
        <f>H29+J29+L29</f>
        <v>13359</v>
      </c>
      <c r="H29" s="31">
        <f>TRUNC(H30+H31,0)</f>
        <v>1057</v>
      </c>
      <c r="J29" s="31">
        <f>TRUNC(J30+J31,0)</f>
        <v>10993</v>
      </c>
      <c r="L29" s="31">
        <f>TRUNC(L30+L31,0)</f>
        <v>1309</v>
      </c>
      <c r="M29" s="22" t="s">
        <v>2859</v>
      </c>
      <c r="N29" t="s">
        <v>2859</v>
      </c>
      <c r="O29" t="s">
        <v>2459</v>
      </c>
    </row>
    <row r="30" spans="1:61" ht="18.399999999999999" customHeight="1" x14ac:dyDescent="0.15">
      <c r="A30" s="13" t="s">
        <v>2180</v>
      </c>
      <c r="B30" s="2" t="s">
        <v>2356</v>
      </c>
      <c r="C30" s="2">
        <f>일위대가_별표!$AD240</f>
        <v>1.47E-2</v>
      </c>
      <c r="D30" s="2" t="s">
        <v>2380</v>
      </c>
      <c r="E30" s="31">
        <f>G30+I30+K30</f>
        <v>114861</v>
      </c>
      <c r="F30" s="31">
        <f>H30+J30+L30</f>
        <v>1687</v>
      </c>
      <c r="G30" s="31">
        <f>중기사용료목록!E11</f>
        <v>28094</v>
      </c>
      <c r="H30" s="31">
        <f>TRUNC(G30*C30,0)</f>
        <v>412</v>
      </c>
      <c r="I30" s="31">
        <f>중기사용료목록!F11</f>
        <v>56874</v>
      </c>
      <c r="J30" s="31">
        <f>TRUNC(I30*C30,0)</f>
        <v>836</v>
      </c>
      <c r="K30" s="31">
        <f>중기사용료목록!G11</f>
        <v>29893</v>
      </c>
      <c r="L30" s="31">
        <f>TRUNC(K30*C30,0)</f>
        <v>439</v>
      </c>
      <c r="M30" s="22" t="s">
        <v>2859</v>
      </c>
      <c r="N30" t="s">
        <v>2859</v>
      </c>
      <c r="P30" t="s">
        <v>1745</v>
      </c>
      <c r="Q30" t="s">
        <v>2859</v>
      </c>
      <c r="R30" t="s">
        <v>108</v>
      </c>
      <c r="BI30" s="34" t="str">
        <f>HYPERLINK("#중기사용료목록!A11","E0002110080 →")</f>
        <v>E0002110080 →</v>
      </c>
    </row>
    <row r="31" spans="1:61" ht="18.399999999999999" customHeight="1" x14ac:dyDescent="0.15">
      <c r="A31" s="13" t="s">
        <v>1348</v>
      </c>
      <c r="B31" s="2" t="s">
        <v>2640</v>
      </c>
      <c r="C31" s="2">
        <f>일위대가_별표!$AH252</f>
        <v>0.17860000000000001</v>
      </c>
      <c r="D31" s="2" t="s">
        <v>2380</v>
      </c>
      <c r="E31" s="31">
        <f>G31+I31+K31</f>
        <v>65359</v>
      </c>
      <c r="F31" s="31">
        <f>H31+J31+L31</f>
        <v>11672</v>
      </c>
      <c r="G31" s="31">
        <f>중기사용료목록!E21</f>
        <v>3612</v>
      </c>
      <c r="H31" s="31">
        <f>TRUNC(G31*C31,0)</f>
        <v>645</v>
      </c>
      <c r="I31" s="31">
        <f>중기사용료목록!F21</f>
        <v>56874</v>
      </c>
      <c r="J31" s="31">
        <f>TRUNC(I31*C31,0)</f>
        <v>10157</v>
      </c>
      <c r="K31" s="31">
        <f>중기사용료목록!G21</f>
        <v>4873</v>
      </c>
      <c r="L31" s="31">
        <f>TRUNC(K31*C31,0)</f>
        <v>870</v>
      </c>
      <c r="M31" s="22" t="s">
        <v>2859</v>
      </c>
      <c r="N31" t="s">
        <v>2859</v>
      </c>
      <c r="P31" t="s">
        <v>2435</v>
      </c>
      <c r="Q31" t="s">
        <v>2859</v>
      </c>
      <c r="R31" t="s">
        <v>1617</v>
      </c>
      <c r="BI31" s="34" t="str">
        <f>HYPERLINK("#중기사용료목록!A21","E0013060025 →")</f>
        <v>E0013060025 →</v>
      </c>
    </row>
    <row r="32" spans="1:61" ht="18.399999999999999" customHeight="1" x14ac:dyDescent="0.15">
      <c r="A32" s="57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58"/>
    </row>
    <row r="33" spans="1:61" ht="18.399999999999999" customHeight="1" x14ac:dyDescent="0.15">
      <c r="A33" s="13" t="s">
        <v>2533</v>
      </c>
      <c r="B33" s="2" t="s">
        <v>2152</v>
      </c>
      <c r="C33" s="2">
        <v>1</v>
      </c>
      <c r="D33" s="2" t="s">
        <v>1091</v>
      </c>
      <c r="F33" s="31">
        <f t="shared" ref="F33:F39" si="0">H33+J33+L33</f>
        <v>2101</v>
      </c>
      <c r="H33" s="31">
        <f>TRUNC(H34+H35+H36+H37+H38+H39,0)</f>
        <v>627</v>
      </c>
      <c r="J33" s="31">
        <f>TRUNC(J34+J35+J36+J37+J38+J39,0)</f>
        <v>1425</v>
      </c>
      <c r="L33" s="31">
        <f>TRUNC(L34+L35+L36+L37+L38+L39,0)</f>
        <v>49</v>
      </c>
      <c r="M33" s="22" t="s">
        <v>2859</v>
      </c>
      <c r="N33" t="s">
        <v>2859</v>
      </c>
      <c r="O33" t="s">
        <v>2383</v>
      </c>
    </row>
    <row r="34" spans="1:61" ht="18.399999999999999" customHeight="1" x14ac:dyDescent="0.15">
      <c r="A34" s="13" t="s">
        <v>2767</v>
      </c>
      <c r="B34" s="2" t="s">
        <v>2690</v>
      </c>
      <c r="C34" s="2">
        <f>일위대가_별표!$AD263</f>
        <v>1.6E-2</v>
      </c>
      <c r="D34" s="2" t="s">
        <v>2380</v>
      </c>
      <c r="E34" s="31">
        <f t="shared" ref="E34:E39" si="1">G34+I34+K34</f>
        <v>47014</v>
      </c>
      <c r="F34" s="31">
        <f t="shared" si="0"/>
        <v>751</v>
      </c>
      <c r="G34" s="31">
        <f>중기사용료목록!E35</f>
        <v>10335</v>
      </c>
      <c r="H34" s="31">
        <f>TRUNC(G34*C34,0)</f>
        <v>165</v>
      </c>
      <c r="I34" s="31">
        <f>중기사용료목록!F35</f>
        <v>34803</v>
      </c>
      <c r="J34" s="31">
        <f>TRUNC(I34*C34,0)</f>
        <v>556</v>
      </c>
      <c r="K34" s="31">
        <f>중기사용료목록!G35</f>
        <v>1876</v>
      </c>
      <c r="L34" s="31">
        <f>TRUNC(K34*C34,0)</f>
        <v>30</v>
      </c>
      <c r="M34" s="22" t="s">
        <v>2859</v>
      </c>
      <c r="N34" t="s">
        <v>2859</v>
      </c>
      <c r="P34" t="s">
        <v>322</v>
      </c>
      <c r="Q34" t="s">
        <v>2859</v>
      </c>
      <c r="R34" t="s">
        <v>1835</v>
      </c>
      <c r="BI34" s="34" t="str">
        <f>HYPERLINK("#중기사용료목록!A35","E0044300400 →")</f>
        <v>E0044300400 →</v>
      </c>
    </row>
    <row r="35" spans="1:61" ht="18.399999999999999" customHeight="1" x14ac:dyDescent="0.15">
      <c r="A35" s="13" t="s">
        <v>2374</v>
      </c>
      <c r="B35" s="2" t="s">
        <v>1207</v>
      </c>
      <c r="C35" s="2">
        <f>일위대가_별표!$AD271</f>
        <v>2.7000000000000001E-3</v>
      </c>
      <c r="D35" s="2" t="s">
        <v>773</v>
      </c>
      <c r="E35" s="31">
        <f t="shared" si="1"/>
        <v>152000</v>
      </c>
      <c r="F35" s="31">
        <f t="shared" si="0"/>
        <v>410</v>
      </c>
      <c r="G35" s="31">
        <f>자재조서!E62</f>
        <v>152000</v>
      </c>
      <c r="H35" s="31">
        <f>TRUNC(G35*C35,0)</f>
        <v>410</v>
      </c>
      <c r="I35" s="31">
        <v>0</v>
      </c>
      <c r="J35" s="31"/>
      <c r="K35" s="31">
        <v>0</v>
      </c>
      <c r="L35" s="31"/>
      <c r="M35" s="22" t="s">
        <v>2859</v>
      </c>
      <c r="N35" t="s">
        <v>2859</v>
      </c>
      <c r="P35" t="s">
        <v>2491</v>
      </c>
      <c r="Q35" t="s">
        <v>2859</v>
      </c>
      <c r="R35" t="s">
        <v>1205</v>
      </c>
      <c r="BI35" s="34" t="str">
        <f>HYPERLINK("#자재조서!A62","M8935122 →")</f>
        <v>M8935122 →</v>
      </c>
    </row>
    <row r="36" spans="1:61" ht="18.399999999999999" customHeight="1" x14ac:dyDescent="0.15">
      <c r="A36" s="13" t="s">
        <v>1405</v>
      </c>
      <c r="B36" s="2" t="s">
        <v>1741</v>
      </c>
      <c r="C36" s="2">
        <f>일위대가_별표!$AD295</f>
        <v>2E-3</v>
      </c>
      <c r="D36" s="2" t="s">
        <v>2380</v>
      </c>
      <c r="E36" s="31">
        <f t="shared" si="1"/>
        <v>75016</v>
      </c>
      <c r="F36" s="31">
        <f t="shared" si="0"/>
        <v>148</v>
      </c>
      <c r="G36" s="31">
        <f>중기사용료목록!E38</f>
        <v>16805</v>
      </c>
      <c r="H36" s="31">
        <f>TRUNC(G36*C36,0)</f>
        <v>33</v>
      </c>
      <c r="I36" s="31">
        <f>중기사용료목록!F38</f>
        <v>48741</v>
      </c>
      <c r="J36" s="31">
        <f>TRUNC(I36*C36,0)</f>
        <v>97</v>
      </c>
      <c r="K36" s="31">
        <f>중기사용료목록!G38</f>
        <v>9470</v>
      </c>
      <c r="L36" s="31">
        <f>TRUNC(K36*C36,0)</f>
        <v>18</v>
      </c>
      <c r="M36" s="22" t="s">
        <v>2859</v>
      </c>
      <c r="N36" t="s">
        <v>2859</v>
      </c>
      <c r="P36" t="s">
        <v>1745</v>
      </c>
      <c r="Q36" t="s">
        <v>2859</v>
      </c>
      <c r="R36" t="s">
        <v>42</v>
      </c>
      <c r="BI36" s="34" t="str">
        <f>HYPERLINK("#중기사용료목록!A38","E0072040055 →")</f>
        <v>E0072040055 →</v>
      </c>
    </row>
    <row r="37" spans="1:61" ht="18.399999999999999" customHeight="1" x14ac:dyDescent="0.15">
      <c r="A37" s="13" t="s">
        <v>932</v>
      </c>
      <c r="B37" s="2" t="s">
        <v>2859</v>
      </c>
      <c r="C37" s="2">
        <f>일위대가_별표!$AD303</f>
        <v>2E-3</v>
      </c>
      <c r="D37" s="2" t="s">
        <v>2663</v>
      </c>
      <c r="E37" s="31">
        <f t="shared" si="1"/>
        <v>219321</v>
      </c>
      <c r="F37" s="31">
        <f t="shared" si="0"/>
        <v>438</v>
      </c>
      <c r="G37" s="31">
        <v>0</v>
      </c>
      <c r="H37" s="31"/>
      <c r="I37" s="31">
        <f>노임!D12</f>
        <v>219321</v>
      </c>
      <c r="J37" s="31">
        <f>TRUNC(I37*C37,0)</f>
        <v>438</v>
      </c>
      <c r="K37" s="31">
        <v>0</v>
      </c>
      <c r="L37" s="31"/>
      <c r="M37" s="22" t="s">
        <v>2859</v>
      </c>
      <c r="N37" t="s">
        <v>2859</v>
      </c>
      <c r="P37" t="s">
        <v>194</v>
      </c>
      <c r="Q37" t="s">
        <v>2859</v>
      </c>
      <c r="R37" t="s">
        <v>2035</v>
      </c>
      <c r="BI37" s="34" t="str">
        <f>HYPERLINK("#노임!A12","L084 →")</f>
        <v>L084 →</v>
      </c>
    </row>
    <row r="38" spans="1:61" ht="18.399999999999999" customHeight="1" x14ac:dyDescent="0.15">
      <c r="A38" s="13" t="s">
        <v>891</v>
      </c>
      <c r="B38" s="2" t="s">
        <v>2859</v>
      </c>
      <c r="C38" s="2">
        <f>일위대가_별표!$AD309</f>
        <v>2E-3</v>
      </c>
      <c r="D38" s="2" t="s">
        <v>2663</v>
      </c>
      <c r="E38" s="31">
        <f t="shared" si="1"/>
        <v>167081</v>
      </c>
      <c r="F38" s="31">
        <f t="shared" si="0"/>
        <v>334</v>
      </c>
      <c r="G38" s="31">
        <v>0</v>
      </c>
      <c r="H38" s="31"/>
      <c r="I38" s="31">
        <f>노임!D13</f>
        <v>167081</v>
      </c>
      <c r="J38" s="31">
        <f>TRUNC(I38*C38,0)</f>
        <v>334</v>
      </c>
      <c r="K38" s="31">
        <v>0</v>
      </c>
      <c r="L38" s="31"/>
      <c r="M38" s="22" t="s">
        <v>2859</v>
      </c>
      <c r="N38" t="s">
        <v>2859</v>
      </c>
      <c r="P38" t="s">
        <v>1030</v>
      </c>
      <c r="Q38" t="s">
        <v>2859</v>
      </c>
      <c r="R38" t="s">
        <v>485</v>
      </c>
      <c r="BI38" s="34" t="str">
        <f>HYPERLINK("#노임!A13","L085 →")</f>
        <v>L085 →</v>
      </c>
    </row>
    <row r="39" spans="1:61" ht="18.399999999999999" customHeight="1" x14ac:dyDescent="0.15">
      <c r="A39" s="13" t="s">
        <v>1871</v>
      </c>
      <c r="B39" s="2" t="s">
        <v>2581</v>
      </c>
      <c r="C39" s="2">
        <f>일위대가_별표!$AD315</f>
        <v>8.0000000000000002E-3</v>
      </c>
      <c r="D39" s="2" t="s">
        <v>2380</v>
      </c>
      <c r="E39" s="31">
        <f t="shared" si="1"/>
        <v>2643</v>
      </c>
      <c r="F39" s="31">
        <f t="shared" si="0"/>
        <v>20</v>
      </c>
      <c r="G39" s="31">
        <f>중기사용료목록!E41</f>
        <v>2399</v>
      </c>
      <c r="H39" s="31">
        <f>TRUNC(G39*C39,0)</f>
        <v>19</v>
      </c>
      <c r="I39" s="31">
        <f>중기사용료목록!F41</f>
        <v>0</v>
      </c>
      <c r="J39" s="31">
        <f>TRUNC(I39*C39,0)</f>
        <v>0</v>
      </c>
      <c r="K39" s="31">
        <f>중기사용료목록!G41</f>
        <v>244</v>
      </c>
      <c r="L39" s="31">
        <f>TRUNC(K39*C39,0)</f>
        <v>1</v>
      </c>
      <c r="M39" s="22" t="s">
        <v>2859</v>
      </c>
      <c r="N39" t="s">
        <v>2859</v>
      </c>
      <c r="P39" t="s">
        <v>267</v>
      </c>
      <c r="Q39" t="s">
        <v>2859</v>
      </c>
      <c r="R39" t="s">
        <v>2713</v>
      </c>
      <c r="BI39" s="34" t="str">
        <f>HYPERLINK("#중기사용료목록!A41","E0072100485 →")</f>
        <v>E0072100485 →</v>
      </c>
    </row>
    <row r="40" spans="1:61" ht="18.399999999999999" customHeight="1" x14ac:dyDescent="0.15">
      <c r="A40" s="57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58"/>
    </row>
    <row r="41" spans="1:61" ht="18.399999999999999" customHeight="1" x14ac:dyDescent="0.15">
      <c r="A41" s="13" t="s">
        <v>1502</v>
      </c>
      <c r="B41" s="2" t="s">
        <v>2152</v>
      </c>
      <c r="C41" s="2">
        <v>1</v>
      </c>
      <c r="D41" s="2" t="s">
        <v>1085</v>
      </c>
      <c r="F41" s="31">
        <f>H41+J41+L41</f>
        <v>8337</v>
      </c>
      <c r="H41" s="31">
        <f>TRUNC(H42+H43+H44+H45,0)</f>
        <v>1229</v>
      </c>
      <c r="J41" s="31">
        <f>TRUNC(J42+J43+J44+J45,0)</f>
        <v>4857</v>
      </c>
      <c r="L41" s="31">
        <f>TRUNC(L42+L43+L44+L45,0)</f>
        <v>2251</v>
      </c>
      <c r="M41" s="22" t="s">
        <v>2859</v>
      </c>
      <c r="N41" t="s">
        <v>2859</v>
      </c>
      <c r="O41" t="s">
        <v>1576</v>
      </c>
    </row>
    <row r="42" spans="1:61" ht="18.399999999999999" customHeight="1" x14ac:dyDescent="0.15">
      <c r="A42" s="13" t="s">
        <v>137</v>
      </c>
      <c r="B42" s="2" t="s">
        <v>2671</v>
      </c>
      <c r="C42" s="2">
        <f>일위대가_별표!$AD330</f>
        <v>6.25E-2</v>
      </c>
      <c r="D42" s="2" t="s">
        <v>2380</v>
      </c>
      <c r="E42" s="31">
        <f>G42+I42+K42</f>
        <v>99673</v>
      </c>
      <c r="F42" s="31">
        <f>H42+J42+L42</f>
        <v>6228</v>
      </c>
      <c r="G42" s="31">
        <f>중기사용료목록!E8</f>
        <v>19671</v>
      </c>
      <c r="H42" s="31">
        <f>TRUNC(G42*C42,0)</f>
        <v>1229</v>
      </c>
      <c r="I42" s="31">
        <f>중기사용료목록!F8</f>
        <v>56874</v>
      </c>
      <c r="J42" s="31">
        <f>TRUNC(I42*C42,0)</f>
        <v>3554</v>
      </c>
      <c r="K42" s="31">
        <f>중기사용료목록!G8</f>
        <v>23128</v>
      </c>
      <c r="L42" s="31">
        <f>TRUNC(K42*C42,0)</f>
        <v>1445</v>
      </c>
      <c r="M42" s="22" t="s">
        <v>2859</v>
      </c>
      <c r="N42" t="s">
        <v>2859</v>
      </c>
      <c r="P42" t="s">
        <v>322</v>
      </c>
      <c r="Q42" t="s">
        <v>2859</v>
      </c>
      <c r="R42" t="s">
        <v>1104</v>
      </c>
      <c r="BI42" s="34" t="str">
        <f>HYPERLINK("#중기사용료목록!A8","E0002010070 →")</f>
        <v>E0002010070 →</v>
      </c>
    </row>
    <row r="43" spans="1:61" ht="18.399999999999999" customHeight="1" x14ac:dyDescent="0.15">
      <c r="A43" s="13" t="s">
        <v>137</v>
      </c>
      <c r="B43" s="2" t="s">
        <v>839</v>
      </c>
      <c r="C43" s="2">
        <f>일위대가_별표!$AD338</f>
        <v>6.25E-2</v>
      </c>
      <c r="D43" s="2" t="s">
        <v>2380</v>
      </c>
      <c r="E43" s="31">
        <f>G43+I43+K43</f>
        <v>10769</v>
      </c>
      <c r="F43" s="31">
        <f>H43+J43+L43</f>
        <v>673</v>
      </c>
      <c r="G43" s="31">
        <f>중기사용료목록!E12</f>
        <v>0</v>
      </c>
      <c r="H43" s="31">
        <f>TRUNC(G43*C43,0)</f>
        <v>0</v>
      </c>
      <c r="I43" s="31">
        <f>중기사용료목록!F12</f>
        <v>0</v>
      </c>
      <c r="J43" s="31">
        <f>TRUNC(I43*C43,0)</f>
        <v>0</v>
      </c>
      <c r="K43" s="31">
        <f>중기사용료목록!G12</f>
        <v>10769</v>
      </c>
      <c r="L43" s="31">
        <f>TRUNC(K43*C43,0)</f>
        <v>673</v>
      </c>
      <c r="M43" s="22" t="s">
        <v>2859</v>
      </c>
      <c r="N43" t="s">
        <v>2859</v>
      </c>
      <c r="P43" t="s">
        <v>2491</v>
      </c>
      <c r="Q43" t="s">
        <v>2859</v>
      </c>
      <c r="R43" t="s">
        <v>266</v>
      </c>
      <c r="BI43" s="34" t="str">
        <f>HYPERLINK("#중기사용료목록!A12","E0002300007 →")</f>
        <v>E0002300007 →</v>
      </c>
    </row>
    <row r="44" spans="1:61" ht="18.399999999999999" customHeight="1" x14ac:dyDescent="0.15">
      <c r="A44" s="13" t="s">
        <v>2159</v>
      </c>
      <c r="B44" s="2" t="s">
        <v>2859</v>
      </c>
      <c r="C44" s="2">
        <f>일위대가_별표!$AL348</f>
        <v>5.9999999999999995E-4</v>
      </c>
      <c r="D44" s="2" t="s">
        <v>190</v>
      </c>
      <c r="E44" s="31">
        <f>G44+I44+K44</f>
        <v>223000</v>
      </c>
      <c r="F44" s="31">
        <f>H44+J44+L44</f>
        <v>133</v>
      </c>
      <c r="G44" s="31">
        <f>중기사용료목록!E13</f>
        <v>0</v>
      </c>
      <c r="H44" s="31">
        <f>TRUNC(G44*C44,0)</f>
        <v>0</v>
      </c>
      <c r="I44" s="31">
        <f>중기사용료목록!F13</f>
        <v>0</v>
      </c>
      <c r="J44" s="31">
        <f>TRUNC(I44*C44,0)</f>
        <v>0</v>
      </c>
      <c r="K44" s="31">
        <f>중기사용료목록!G13</f>
        <v>223000</v>
      </c>
      <c r="L44" s="31">
        <f>TRUNC(K44*C44,0)</f>
        <v>133</v>
      </c>
      <c r="M44" s="22" t="s">
        <v>2859</v>
      </c>
      <c r="N44" t="s">
        <v>2859</v>
      </c>
      <c r="P44" t="s">
        <v>1745</v>
      </c>
      <c r="Q44" t="s">
        <v>2859</v>
      </c>
      <c r="R44" t="s">
        <v>1885</v>
      </c>
      <c r="BI44" s="34" t="str">
        <f>HYPERLINK("#중기사용료목록!A13","E0002310007 →")</f>
        <v>E0002310007 →</v>
      </c>
    </row>
    <row r="45" spans="1:61" ht="18.399999999999999" customHeight="1" x14ac:dyDescent="0.15">
      <c r="A45" s="13" t="s">
        <v>744</v>
      </c>
      <c r="B45" s="2" t="s">
        <v>2859</v>
      </c>
      <c r="C45" s="2">
        <f>일위대가_별표!$AD354</f>
        <v>7.7999999999999996E-3</v>
      </c>
      <c r="D45" s="2" t="s">
        <v>2663</v>
      </c>
      <c r="E45" s="31">
        <f>G45+I45+K45</f>
        <v>167081</v>
      </c>
      <c r="F45" s="31">
        <f>H45+J45+L45</f>
        <v>1303</v>
      </c>
      <c r="G45" s="31">
        <v>0</v>
      </c>
      <c r="H45" s="31"/>
      <c r="I45" s="31">
        <f>노임!D13</f>
        <v>167081</v>
      </c>
      <c r="J45" s="31">
        <f>TRUNC(I45*C45,0)</f>
        <v>1303</v>
      </c>
      <c r="K45" s="31">
        <v>0</v>
      </c>
      <c r="L45" s="31"/>
      <c r="M45" s="22" t="s">
        <v>2859</v>
      </c>
      <c r="N45" t="s">
        <v>2859</v>
      </c>
      <c r="P45" t="s">
        <v>1030</v>
      </c>
      <c r="Q45" t="s">
        <v>2859</v>
      </c>
      <c r="R45" t="s">
        <v>485</v>
      </c>
      <c r="BI45" s="34" t="str">
        <f>HYPERLINK("#노임!A13","L085 →")</f>
        <v>L085 →</v>
      </c>
    </row>
    <row r="46" spans="1:61" ht="18.399999999999999" customHeight="1" x14ac:dyDescent="0.15">
      <c r="A46" s="57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58"/>
    </row>
    <row r="47" spans="1:61" ht="18.399999999999999" customHeight="1" x14ac:dyDescent="0.15">
      <c r="A47" s="13" t="s">
        <v>890</v>
      </c>
      <c r="B47" s="2" t="s">
        <v>2152</v>
      </c>
      <c r="C47" s="2">
        <v>1</v>
      </c>
      <c r="D47" s="2" t="s">
        <v>1091</v>
      </c>
      <c r="F47" s="31">
        <f t="shared" ref="F47:F53" si="2">H47+J47+L47</f>
        <v>2265</v>
      </c>
      <c r="H47" s="31">
        <f>TRUNC(H48+H49+H50+H51+H52+H53,0)</f>
        <v>647</v>
      </c>
      <c r="J47" s="31">
        <f>TRUNC(J48+J49+J50+J51+J52+J53,0)</f>
        <v>1565</v>
      </c>
      <c r="L47" s="31">
        <f>TRUNC(L48+L49+L50+L51+L52+L53,0)</f>
        <v>53</v>
      </c>
      <c r="M47" s="22" t="s">
        <v>2859</v>
      </c>
      <c r="N47" t="s">
        <v>2859</v>
      </c>
      <c r="O47" t="s">
        <v>233</v>
      </c>
    </row>
    <row r="48" spans="1:61" ht="18.399999999999999" customHeight="1" x14ac:dyDescent="0.15">
      <c r="A48" s="13" t="s">
        <v>2767</v>
      </c>
      <c r="B48" s="2" t="s">
        <v>2690</v>
      </c>
      <c r="C48" s="2">
        <f>일위대가_별표!$AD365</f>
        <v>1.78E-2</v>
      </c>
      <c r="D48" s="2" t="s">
        <v>2380</v>
      </c>
      <c r="E48" s="31">
        <f t="shared" ref="E48:E53" si="3">G48+I48+K48</f>
        <v>47014</v>
      </c>
      <c r="F48" s="31">
        <f t="shared" si="2"/>
        <v>835</v>
      </c>
      <c r="G48" s="31">
        <f>중기사용료목록!E35</f>
        <v>10335</v>
      </c>
      <c r="H48" s="31">
        <f>TRUNC(G48*C48,0)</f>
        <v>183</v>
      </c>
      <c r="I48" s="31">
        <f>중기사용료목록!F35</f>
        <v>34803</v>
      </c>
      <c r="J48" s="31">
        <f>TRUNC(I48*C48,0)</f>
        <v>619</v>
      </c>
      <c r="K48" s="31">
        <f>중기사용료목록!G35</f>
        <v>1876</v>
      </c>
      <c r="L48" s="31">
        <f>TRUNC(K48*C48,0)</f>
        <v>33</v>
      </c>
      <c r="M48" s="22" t="s">
        <v>2859</v>
      </c>
      <c r="N48" t="s">
        <v>2859</v>
      </c>
      <c r="P48" t="s">
        <v>322</v>
      </c>
      <c r="Q48" t="s">
        <v>2859</v>
      </c>
      <c r="R48" t="s">
        <v>1835</v>
      </c>
      <c r="BI48" s="34" t="str">
        <f>HYPERLINK("#중기사용료목록!A35","E0044300400 →")</f>
        <v>E0044300400 →</v>
      </c>
    </row>
    <row r="49" spans="1:61" ht="18.399999999999999" customHeight="1" x14ac:dyDescent="0.15">
      <c r="A49" s="13" t="s">
        <v>2374</v>
      </c>
      <c r="B49" s="2" t="s">
        <v>1207</v>
      </c>
      <c r="C49" s="2">
        <f>일위대가_별표!$AD373</f>
        <v>2.7000000000000001E-3</v>
      </c>
      <c r="D49" s="2" t="s">
        <v>773</v>
      </c>
      <c r="E49" s="31">
        <f t="shared" si="3"/>
        <v>152000</v>
      </c>
      <c r="F49" s="31">
        <f t="shared" si="2"/>
        <v>410</v>
      </c>
      <c r="G49" s="31">
        <f>자재조서!E62</f>
        <v>152000</v>
      </c>
      <c r="H49" s="31">
        <f>TRUNC(G49*C49,0)</f>
        <v>410</v>
      </c>
      <c r="I49" s="31">
        <v>0</v>
      </c>
      <c r="J49" s="31"/>
      <c r="K49" s="31">
        <v>0</v>
      </c>
      <c r="L49" s="31"/>
      <c r="M49" s="22" t="s">
        <v>2859</v>
      </c>
      <c r="N49" t="s">
        <v>2859</v>
      </c>
      <c r="P49" t="s">
        <v>2491</v>
      </c>
      <c r="Q49" t="s">
        <v>2859</v>
      </c>
      <c r="R49" t="s">
        <v>1205</v>
      </c>
      <c r="BI49" s="34" t="str">
        <f>HYPERLINK("#자재조서!A62","M8935122 →")</f>
        <v>M8935122 →</v>
      </c>
    </row>
    <row r="50" spans="1:61" ht="18.399999999999999" customHeight="1" x14ac:dyDescent="0.15">
      <c r="A50" s="13" t="s">
        <v>1405</v>
      </c>
      <c r="B50" s="2" t="s">
        <v>1741</v>
      </c>
      <c r="C50" s="2">
        <f>일위대가_별표!$AD397</f>
        <v>2E-3</v>
      </c>
      <c r="D50" s="2" t="s">
        <v>2380</v>
      </c>
      <c r="E50" s="31">
        <f t="shared" si="3"/>
        <v>75016</v>
      </c>
      <c r="F50" s="31">
        <f t="shared" si="2"/>
        <v>148</v>
      </c>
      <c r="G50" s="31">
        <f>중기사용료목록!E38</f>
        <v>16805</v>
      </c>
      <c r="H50" s="31">
        <f>TRUNC(G50*C50,0)</f>
        <v>33</v>
      </c>
      <c r="I50" s="31">
        <f>중기사용료목록!F38</f>
        <v>48741</v>
      </c>
      <c r="J50" s="31">
        <f>TRUNC(I50*C50,0)</f>
        <v>97</v>
      </c>
      <c r="K50" s="31">
        <f>중기사용료목록!G38</f>
        <v>9470</v>
      </c>
      <c r="L50" s="31">
        <f>TRUNC(K50*C50,0)</f>
        <v>18</v>
      </c>
      <c r="M50" s="22" t="s">
        <v>2859</v>
      </c>
      <c r="N50" t="s">
        <v>2859</v>
      </c>
      <c r="P50" t="s">
        <v>1745</v>
      </c>
      <c r="Q50" t="s">
        <v>2859</v>
      </c>
      <c r="R50" t="s">
        <v>42</v>
      </c>
      <c r="BI50" s="34" t="str">
        <f>HYPERLINK("#중기사용료목록!A38","E0072040055 →")</f>
        <v>E0072040055 →</v>
      </c>
    </row>
    <row r="51" spans="1:61" ht="18.399999999999999" customHeight="1" x14ac:dyDescent="0.15">
      <c r="A51" s="13" t="s">
        <v>932</v>
      </c>
      <c r="B51" s="2" t="s">
        <v>2859</v>
      </c>
      <c r="C51" s="2">
        <f>일위대가_별표!$AD405</f>
        <v>2.2000000000000001E-3</v>
      </c>
      <c r="D51" s="2" t="s">
        <v>2663</v>
      </c>
      <c r="E51" s="31">
        <f t="shared" si="3"/>
        <v>219321</v>
      </c>
      <c r="F51" s="31">
        <f t="shared" si="2"/>
        <v>482</v>
      </c>
      <c r="G51" s="31">
        <v>0</v>
      </c>
      <c r="H51" s="31"/>
      <c r="I51" s="31">
        <f>노임!D12</f>
        <v>219321</v>
      </c>
      <c r="J51" s="31">
        <f>TRUNC(I51*C51,0)</f>
        <v>482</v>
      </c>
      <c r="K51" s="31">
        <v>0</v>
      </c>
      <c r="L51" s="31"/>
      <c r="M51" s="22" t="s">
        <v>2859</v>
      </c>
      <c r="N51" t="s">
        <v>2859</v>
      </c>
      <c r="P51" t="s">
        <v>194</v>
      </c>
      <c r="Q51" t="s">
        <v>2859</v>
      </c>
      <c r="R51" t="s">
        <v>2035</v>
      </c>
      <c r="BI51" s="34" t="str">
        <f>HYPERLINK("#노임!A12","L084 →")</f>
        <v>L084 →</v>
      </c>
    </row>
    <row r="52" spans="1:61" ht="18.399999999999999" customHeight="1" x14ac:dyDescent="0.15">
      <c r="A52" s="13" t="s">
        <v>891</v>
      </c>
      <c r="B52" s="2" t="s">
        <v>2859</v>
      </c>
      <c r="C52" s="2">
        <f>일위대가_별표!$AD411</f>
        <v>2.2000000000000001E-3</v>
      </c>
      <c r="D52" s="2" t="s">
        <v>2663</v>
      </c>
      <c r="E52" s="31">
        <f t="shared" si="3"/>
        <v>167081</v>
      </c>
      <c r="F52" s="31">
        <f t="shared" si="2"/>
        <v>367</v>
      </c>
      <c r="G52" s="31">
        <v>0</v>
      </c>
      <c r="H52" s="31"/>
      <c r="I52" s="31">
        <f>노임!D13</f>
        <v>167081</v>
      </c>
      <c r="J52" s="31">
        <f>TRUNC(I52*C52,0)</f>
        <v>367</v>
      </c>
      <c r="K52" s="31">
        <v>0</v>
      </c>
      <c r="L52" s="31"/>
      <c r="M52" s="22" t="s">
        <v>2859</v>
      </c>
      <c r="N52" t="s">
        <v>2859</v>
      </c>
      <c r="P52" t="s">
        <v>1030</v>
      </c>
      <c r="Q52" t="s">
        <v>2859</v>
      </c>
      <c r="R52" t="s">
        <v>485</v>
      </c>
      <c r="BI52" s="34" t="str">
        <f>HYPERLINK("#노임!A13","L085 →")</f>
        <v>L085 →</v>
      </c>
    </row>
    <row r="53" spans="1:61" ht="18.399999999999999" customHeight="1" x14ac:dyDescent="0.15">
      <c r="A53" s="13" t="s">
        <v>1871</v>
      </c>
      <c r="B53" s="2" t="s">
        <v>2581</v>
      </c>
      <c r="C53" s="2">
        <f>일위대가_별표!$AD417</f>
        <v>8.8999999999999999E-3</v>
      </c>
      <c r="D53" s="2" t="s">
        <v>2380</v>
      </c>
      <c r="E53" s="31">
        <f t="shared" si="3"/>
        <v>2643</v>
      </c>
      <c r="F53" s="31">
        <f t="shared" si="2"/>
        <v>23</v>
      </c>
      <c r="G53" s="31">
        <f>중기사용료목록!E41</f>
        <v>2399</v>
      </c>
      <c r="H53" s="31">
        <f>TRUNC(G53*C53,0)</f>
        <v>21</v>
      </c>
      <c r="I53" s="31">
        <f>중기사용료목록!F41</f>
        <v>0</v>
      </c>
      <c r="J53" s="31">
        <f>TRUNC(I53*C53,0)</f>
        <v>0</v>
      </c>
      <c r="K53" s="31">
        <f>중기사용료목록!G41</f>
        <v>244</v>
      </c>
      <c r="L53" s="31">
        <f>TRUNC(K53*C53,0)</f>
        <v>2</v>
      </c>
      <c r="M53" s="22" t="s">
        <v>2859</v>
      </c>
      <c r="N53" t="s">
        <v>2859</v>
      </c>
      <c r="P53" t="s">
        <v>267</v>
      </c>
      <c r="Q53" t="s">
        <v>2859</v>
      </c>
      <c r="R53" t="s">
        <v>2713</v>
      </c>
      <c r="BI53" s="34" t="str">
        <f>HYPERLINK("#중기사용료목록!A41","E0072100485 →")</f>
        <v>E0072100485 →</v>
      </c>
    </row>
    <row r="54" spans="1:61" ht="18.399999999999999" customHeight="1" x14ac:dyDescent="0.15">
      <c r="A54" s="57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58"/>
    </row>
    <row r="55" spans="1:61" ht="18.399999999999999" customHeight="1" x14ac:dyDescent="0.15">
      <c r="A55" s="13" t="s">
        <v>738</v>
      </c>
      <c r="B55" s="2" t="s">
        <v>2859</v>
      </c>
      <c r="C55" s="2">
        <v>1</v>
      </c>
      <c r="D55" s="2" t="s">
        <v>1085</v>
      </c>
      <c r="F55" s="31">
        <f>H55+J55+L55</f>
        <v>54514</v>
      </c>
      <c r="H55" s="31">
        <f>TRUNC(H56+H57+H58+H59,0)</f>
        <v>8029</v>
      </c>
      <c r="J55" s="31">
        <f>TRUNC(J56+J57+J58+J59,0)</f>
        <v>31736</v>
      </c>
      <c r="L55" s="31">
        <f>TRUNC(L56+L57+L58+L59,0)</f>
        <v>14749</v>
      </c>
      <c r="M55" s="22" t="s">
        <v>2859</v>
      </c>
      <c r="N55" t="s">
        <v>2859</v>
      </c>
      <c r="O55" t="s">
        <v>608</v>
      </c>
    </row>
    <row r="56" spans="1:61" ht="18.399999999999999" customHeight="1" x14ac:dyDescent="0.15">
      <c r="A56" s="13" t="s">
        <v>137</v>
      </c>
      <c r="B56" s="2" t="s">
        <v>2671</v>
      </c>
      <c r="C56" s="2">
        <f>일위대가_별표!$AD433</f>
        <v>0.40820000000000001</v>
      </c>
      <c r="D56" s="2" t="s">
        <v>2380</v>
      </c>
      <c r="E56" s="31">
        <f>G56+I56+K56</f>
        <v>99673</v>
      </c>
      <c r="F56" s="31">
        <f>H56+J56+L56</f>
        <v>40684</v>
      </c>
      <c r="G56" s="31">
        <f>중기사용료목록!E8</f>
        <v>19671</v>
      </c>
      <c r="H56" s="31">
        <f>TRUNC(G56*C56,0)</f>
        <v>8029</v>
      </c>
      <c r="I56" s="31">
        <f>중기사용료목록!F8</f>
        <v>56874</v>
      </c>
      <c r="J56" s="31">
        <f>TRUNC(I56*C56,0)</f>
        <v>23215</v>
      </c>
      <c r="K56" s="31">
        <f>중기사용료목록!G8</f>
        <v>23128</v>
      </c>
      <c r="L56" s="31">
        <f>TRUNC(K56*C56,0)</f>
        <v>9440</v>
      </c>
      <c r="M56" s="22" t="s">
        <v>2859</v>
      </c>
      <c r="N56" t="s">
        <v>2859</v>
      </c>
      <c r="P56" t="s">
        <v>322</v>
      </c>
      <c r="Q56" t="s">
        <v>2859</v>
      </c>
      <c r="R56" t="s">
        <v>1104</v>
      </c>
      <c r="BI56" s="34" t="str">
        <f>HYPERLINK("#중기사용료목록!A8","E0002010070 →")</f>
        <v>E0002010070 →</v>
      </c>
    </row>
    <row r="57" spans="1:61" ht="18.399999999999999" customHeight="1" x14ac:dyDescent="0.15">
      <c r="A57" s="13" t="s">
        <v>137</v>
      </c>
      <c r="B57" s="2" t="s">
        <v>839</v>
      </c>
      <c r="C57" s="2">
        <f>일위대가_별표!$AD441</f>
        <v>0.40820000000000001</v>
      </c>
      <c r="D57" s="2" t="s">
        <v>2380</v>
      </c>
      <c r="E57" s="31">
        <f>G57+I57+K57</f>
        <v>10769</v>
      </c>
      <c r="F57" s="31">
        <f>H57+J57+L57</f>
        <v>4395</v>
      </c>
      <c r="G57" s="31">
        <f>중기사용료목록!E12</f>
        <v>0</v>
      </c>
      <c r="H57" s="31">
        <f>TRUNC(G57*C57,0)</f>
        <v>0</v>
      </c>
      <c r="I57" s="31">
        <f>중기사용료목록!F12</f>
        <v>0</v>
      </c>
      <c r="J57" s="31">
        <f>TRUNC(I57*C57,0)</f>
        <v>0</v>
      </c>
      <c r="K57" s="31">
        <f>중기사용료목록!G12</f>
        <v>10769</v>
      </c>
      <c r="L57" s="31">
        <f>TRUNC(K57*C57,0)</f>
        <v>4395</v>
      </c>
      <c r="M57" s="22" t="s">
        <v>2859</v>
      </c>
      <c r="N57" t="s">
        <v>2859</v>
      </c>
      <c r="P57" t="s">
        <v>2491</v>
      </c>
      <c r="Q57" t="s">
        <v>2859</v>
      </c>
      <c r="R57" t="s">
        <v>266</v>
      </c>
      <c r="BI57" s="34" t="str">
        <f>HYPERLINK("#중기사용료목록!A12","E0002300007 →")</f>
        <v>E0002300007 →</v>
      </c>
    </row>
    <row r="58" spans="1:61" ht="18.399999999999999" customHeight="1" x14ac:dyDescent="0.15">
      <c r="A58" s="13" t="s">
        <v>379</v>
      </c>
      <c r="B58" s="2" t="s">
        <v>2859</v>
      </c>
      <c r="C58" s="2">
        <f>일위대가_별표!$AD451</f>
        <v>4.1000000000000003E-3</v>
      </c>
      <c r="D58" s="2" t="s">
        <v>190</v>
      </c>
      <c r="E58" s="31">
        <f>G58+I58+K58</f>
        <v>223000</v>
      </c>
      <c r="F58" s="31">
        <f>H58+J58+L58</f>
        <v>914</v>
      </c>
      <c r="G58" s="31">
        <f>중기사용료목록!E13</f>
        <v>0</v>
      </c>
      <c r="H58" s="31">
        <f>TRUNC(G58*C58,0)</f>
        <v>0</v>
      </c>
      <c r="I58" s="31">
        <f>중기사용료목록!F13</f>
        <v>0</v>
      </c>
      <c r="J58" s="31">
        <f>TRUNC(I58*C58,0)</f>
        <v>0</v>
      </c>
      <c r="K58" s="31">
        <f>중기사용료목록!G13</f>
        <v>223000</v>
      </c>
      <c r="L58" s="31">
        <f>TRUNC(K58*C58,0)</f>
        <v>914</v>
      </c>
      <c r="M58" s="22" t="s">
        <v>2859</v>
      </c>
      <c r="N58" t="s">
        <v>2859</v>
      </c>
      <c r="P58" t="s">
        <v>1745</v>
      </c>
      <c r="Q58" t="s">
        <v>2859</v>
      </c>
      <c r="R58" t="s">
        <v>1885</v>
      </c>
      <c r="BI58" s="34" t="str">
        <f>HYPERLINK("#중기사용료목록!A13","E0002310007 →")</f>
        <v>E0002310007 →</v>
      </c>
    </row>
    <row r="59" spans="1:61" ht="18.399999999999999" customHeight="1" x14ac:dyDescent="0.15">
      <c r="A59" s="13" t="s">
        <v>572</v>
      </c>
      <c r="B59" s="2" t="s">
        <v>174</v>
      </c>
      <c r="C59" s="2">
        <f>일위대가_별표!$AD454</f>
        <v>5.0999999999999997E-2</v>
      </c>
      <c r="D59" s="2" t="s">
        <v>2663</v>
      </c>
      <c r="E59" s="31">
        <f>G59+I59+K59</f>
        <v>167081</v>
      </c>
      <c r="F59" s="31">
        <f>H59+J59+L59</f>
        <v>8521</v>
      </c>
      <c r="G59" s="31">
        <v>0</v>
      </c>
      <c r="H59" s="31"/>
      <c r="I59" s="31">
        <f>노임!D13</f>
        <v>167081</v>
      </c>
      <c r="J59" s="31">
        <f>TRUNC(I59*C59,0)</f>
        <v>8521</v>
      </c>
      <c r="K59" s="31">
        <v>0</v>
      </c>
      <c r="L59" s="31"/>
      <c r="M59" s="22" t="s">
        <v>2859</v>
      </c>
      <c r="N59" t="s">
        <v>2859</v>
      </c>
      <c r="P59" t="s">
        <v>1030</v>
      </c>
      <c r="Q59" t="s">
        <v>2859</v>
      </c>
      <c r="R59" t="s">
        <v>485</v>
      </c>
      <c r="BI59" s="34" t="str">
        <f>HYPERLINK("#노임!A13","L085 →")</f>
        <v>L085 →</v>
      </c>
    </row>
    <row r="60" spans="1:61" ht="18.399999999999999" customHeight="1" x14ac:dyDescent="0.15">
      <c r="A60" s="57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58"/>
    </row>
    <row r="61" spans="1:61" ht="18.399999999999999" customHeight="1" x14ac:dyDescent="0.15">
      <c r="A61" s="13" t="s">
        <v>1159</v>
      </c>
      <c r="B61" s="2" t="s">
        <v>938</v>
      </c>
      <c r="C61" s="2">
        <v>1</v>
      </c>
      <c r="D61" s="2" t="s">
        <v>1085</v>
      </c>
      <c r="F61" s="31">
        <f>H61+J61+L61</f>
        <v>33020</v>
      </c>
      <c r="H61" s="31">
        <f>TRUNC(H62+H63+H64+H65,0)</f>
        <v>4276</v>
      </c>
      <c r="J61" s="31">
        <f>TRUNC(J62+J63+J64+J65,0)</f>
        <v>20885</v>
      </c>
      <c r="L61" s="31">
        <f>TRUNC(L62+L63+L64+L65,0)</f>
        <v>7859</v>
      </c>
      <c r="M61" s="22" t="s">
        <v>2859</v>
      </c>
      <c r="N61" t="s">
        <v>2859</v>
      </c>
      <c r="O61" t="s">
        <v>2077</v>
      </c>
    </row>
    <row r="62" spans="1:61" ht="18.399999999999999" customHeight="1" x14ac:dyDescent="0.15">
      <c r="A62" s="13" t="s">
        <v>137</v>
      </c>
      <c r="B62" s="2" t="s">
        <v>2671</v>
      </c>
      <c r="C62" s="2">
        <f>일위대가_별표!$AD469</f>
        <v>0.21740000000000001</v>
      </c>
      <c r="D62" s="2" t="s">
        <v>2380</v>
      </c>
      <c r="E62" s="31">
        <f>G62+I62+K62</f>
        <v>99673</v>
      </c>
      <c r="F62" s="31">
        <f>H62+J62+L62</f>
        <v>21668</v>
      </c>
      <c r="G62" s="31">
        <f>중기사용료목록!E8</f>
        <v>19671</v>
      </c>
      <c r="H62" s="31">
        <f>TRUNC(G62*C62,0)</f>
        <v>4276</v>
      </c>
      <c r="I62" s="31">
        <f>중기사용료목록!F8</f>
        <v>56874</v>
      </c>
      <c r="J62" s="31">
        <f>TRUNC(I62*C62,0)</f>
        <v>12364</v>
      </c>
      <c r="K62" s="31">
        <f>중기사용료목록!G8</f>
        <v>23128</v>
      </c>
      <c r="L62" s="31">
        <f>TRUNC(K62*C62,0)</f>
        <v>5028</v>
      </c>
      <c r="M62" s="22" t="s">
        <v>2859</v>
      </c>
      <c r="N62" t="s">
        <v>2859</v>
      </c>
      <c r="P62" t="s">
        <v>322</v>
      </c>
      <c r="Q62" t="s">
        <v>2859</v>
      </c>
      <c r="R62" t="s">
        <v>1104</v>
      </c>
      <c r="BI62" s="34" t="str">
        <f>HYPERLINK("#중기사용료목록!A8","E0002010070 →")</f>
        <v>E0002010070 →</v>
      </c>
    </row>
    <row r="63" spans="1:61" ht="18.399999999999999" customHeight="1" x14ac:dyDescent="0.15">
      <c r="A63" s="13" t="s">
        <v>137</v>
      </c>
      <c r="B63" s="2" t="s">
        <v>839</v>
      </c>
      <c r="C63" s="2">
        <f>일위대가_별표!$AD477</f>
        <v>0.21740000000000001</v>
      </c>
      <c r="D63" s="2" t="s">
        <v>2380</v>
      </c>
      <c r="E63" s="31">
        <f>G63+I63+K63</f>
        <v>10769</v>
      </c>
      <c r="F63" s="31">
        <f>H63+J63+L63</f>
        <v>2341</v>
      </c>
      <c r="G63" s="31">
        <f>중기사용료목록!E12</f>
        <v>0</v>
      </c>
      <c r="H63" s="31">
        <f>TRUNC(G63*C63,0)</f>
        <v>0</v>
      </c>
      <c r="I63" s="31">
        <f>중기사용료목록!F12</f>
        <v>0</v>
      </c>
      <c r="J63" s="31">
        <f>TRUNC(I63*C63,0)</f>
        <v>0</v>
      </c>
      <c r="K63" s="31">
        <f>중기사용료목록!G12</f>
        <v>10769</v>
      </c>
      <c r="L63" s="31">
        <f>TRUNC(K63*C63,0)</f>
        <v>2341</v>
      </c>
      <c r="M63" s="22" t="s">
        <v>2859</v>
      </c>
      <c r="N63" t="s">
        <v>2859</v>
      </c>
      <c r="P63" t="s">
        <v>2491</v>
      </c>
      <c r="Q63" t="s">
        <v>2859</v>
      </c>
      <c r="R63" t="s">
        <v>266</v>
      </c>
      <c r="BI63" s="34" t="str">
        <f>HYPERLINK("#중기사용료목록!A12","E0002300007 →")</f>
        <v>E0002300007 →</v>
      </c>
    </row>
    <row r="64" spans="1:61" ht="18.399999999999999" customHeight="1" x14ac:dyDescent="0.15">
      <c r="A64" s="13" t="s">
        <v>379</v>
      </c>
      <c r="B64" s="2" t="s">
        <v>2859</v>
      </c>
      <c r="C64" s="2">
        <f>일위대가_별표!$AD487</f>
        <v>2.2000000000000001E-3</v>
      </c>
      <c r="D64" s="2" t="s">
        <v>190</v>
      </c>
      <c r="E64" s="31">
        <f>G64+I64+K64</f>
        <v>223000</v>
      </c>
      <c r="F64" s="31">
        <f>H64+J64+L64</f>
        <v>490</v>
      </c>
      <c r="G64" s="31">
        <f>중기사용료목록!E13</f>
        <v>0</v>
      </c>
      <c r="H64" s="31">
        <f>TRUNC(G64*C64,0)</f>
        <v>0</v>
      </c>
      <c r="I64" s="31">
        <f>중기사용료목록!F13</f>
        <v>0</v>
      </c>
      <c r="J64" s="31">
        <f>TRUNC(I64*C64,0)</f>
        <v>0</v>
      </c>
      <c r="K64" s="31">
        <f>중기사용료목록!G13</f>
        <v>223000</v>
      </c>
      <c r="L64" s="31">
        <f>TRUNC(K64*C64,0)</f>
        <v>490</v>
      </c>
      <c r="M64" s="22" t="s">
        <v>2859</v>
      </c>
      <c r="N64" t="s">
        <v>2859</v>
      </c>
      <c r="P64" t="s">
        <v>1745</v>
      </c>
      <c r="Q64" t="s">
        <v>2859</v>
      </c>
      <c r="R64" t="s">
        <v>1885</v>
      </c>
      <c r="BI64" s="34" t="str">
        <f>HYPERLINK("#중기사용료목록!A13","E0002310007 →")</f>
        <v>E0002310007 →</v>
      </c>
    </row>
    <row r="65" spans="1:61" ht="18.399999999999999" customHeight="1" x14ac:dyDescent="0.15">
      <c r="A65" s="13" t="s">
        <v>572</v>
      </c>
      <c r="B65" s="2" t="s">
        <v>174</v>
      </c>
      <c r="C65" s="2">
        <f>일위대가_별표!$AD490</f>
        <v>5.0999999999999997E-2</v>
      </c>
      <c r="D65" s="2" t="s">
        <v>2663</v>
      </c>
      <c r="E65" s="31">
        <f>G65+I65+K65</f>
        <v>167081</v>
      </c>
      <c r="F65" s="31">
        <f>H65+J65+L65</f>
        <v>8521</v>
      </c>
      <c r="G65" s="31">
        <v>0</v>
      </c>
      <c r="H65" s="31"/>
      <c r="I65" s="31">
        <f>노임!D13</f>
        <v>167081</v>
      </c>
      <c r="J65" s="31">
        <f>TRUNC(I65*C65,0)</f>
        <v>8521</v>
      </c>
      <c r="K65" s="31">
        <v>0</v>
      </c>
      <c r="L65" s="31"/>
      <c r="M65" s="22" t="s">
        <v>2859</v>
      </c>
      <c r="N65" t="s">
        <v>2859</v>
      </c>
      <c r="P65" t="s">
        <v>1030</v>
      </c>
      <c r="Q65" t="s">
        <v>2859</v>
      </c>
      <c r="R65" t="s">
        <v>485</v>
      </c>
      <c r="BI65" s="34" t="str">
        <f>HYPERLINK("#노임!A13","L085 →")</f>
        <v>L085 →</v>
      </c>
    </row>
    <row r="66" spans="1:61" ht="18.399999999999999" customHeight="1" x14ac:dyDescent="0.15">
      <c r="A66" s="57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58"/>
    </row>
    <row r="67" spans="1:61" ht="18.399999999999999" customHeight="1" x14ac:dyDescent="0.15">
      <c r="A67" s="13" t="s">
        <v>1329</v>
      </c>
      <c r="B67" s="2" t="s">
        <v>2152</v>
      </c>
      <c r="C67" s="2">
        <v>1</v>
      </c>
      <c r="D67" s="2" t="s">
        <v>1085</v>
      </c>
      <c r="F67" s="31">
        <f>H67+J67+L67</f>
        <v>7639</v>
      </c>
      <c r="H67" s="31">
        <f>TRUNC(H68,0)</f>
        <v>1489</v>
      </c>
      <c r="J67" s="31">
        <f>TRUNC(J68,0)</f>
        <v>4237</v>
      </c>
      <c r="L67" s="31">
        <f>TRUNC(L68,0)</f>
        <v>1913</v>
      </c>
      <c r="M67" s="22" t="s">
        <v>2859</v>
      </c>
      <c r="N67" t="s">
        <v>2859</v>
      </c>
      <c r="O67" t="s">
        <v>791</v>
      </c>
    </row>
    <row r="68" spans="1:61" ht="18.399999999999999" customHeight="1" x14ac:dyDescent="0.15">
      <c r="A68" s="13" t="s">
        <v>55</v>
      </c>
      <c r="B68" s="2" t="s">
        <v>2436</v>
      </c>
      <c r="C68" s="2">
        <f>일위대가_별표!$AD512</f>
        <v>7.4499999999999997E-2</v>
      </c>
      <c r="D68" s="2" t="s">
        <v>2380</v>
      </c>
      <c r="E68" s="31">
        <f>G68+I68+K68</f>
        <v>102547</v>
      </c>
      <c r="F68" s="31">
        <f>H68+J68+L68</f>
        <v>7639</v>
      </c>
      <c r="G68" s="31">
        <f>중기사용료목록!E10</f>
        <v>19993</v>
      </c>
      <c r="H68" s="31">
        <f>TRUNC(G68*C68,0)</f>
        <v>1489</v>
      </c>
      <c r="I68" s="31">
        <f>중기사용료목록!F10</f>
        <v>56874</v>
      </c>
      <c r="J68" s="31">
        <f>TRUNC(I68*C68,0)</f>
        <v>4237</v>
      </c>
      <c r="K68" s="31">
        <f>중기사용료목록!G10</f>
        <v>25680</v>
      </c>
      <c r="L68" s="31">
        <f>TRUNC(K68*C68,0)</f>
        <v>1913</v>
      </c>
      <c r="M68" s="22" t="s">
        <v>2859</v>
      </c>
      <c r="N68" t="s">
        <v>2859</v>
      </c>
      <c r="P68" t="s">
        <v>322</v>
      </c>
      <c r="Q68" t="s">
        <v>2859</v>
      </c>
      <c r="R68" t="s">
        <v>1482</v>
      </c>
      <c r="BI68" s="34" t="str">
        <f>HYPERLINK("#중기사용료목록!A10","E0002110060 →")</f>
        <v>E0002110060 →</v>
      </c>
    </row>
    <row r="69" spans="1:61" ht="18.399999999999999" customHeight="1" x14ac:dyDescent="0.15">
      <c r="A69" s="57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58"/>
    </row>
    <row r="70" spans="1:61" ht="18.399999999999999" customHeight="1" x14ac:dyDescent="0.15">
      <c r="A70" s="13" t="s">
        <v>357</v>
      </c>
      <c r="B70" s="2" t="s">
        <v>1995</v>
      </c>
      <c r="C70" s="2">
        <v>1</v>
      </c>
      <c r="D70" s="2" t="s">
        <v>1085</v>
      </c>
      <c r="F70" s="31">
        <f>H70+J70+L70</f>
        <v>43441</v>
      </c>
      <c r="H70" s="31">
        <f>TRUNC(H72,0)</f>
        <v>0</v>
      </c>
      <c r="J70" s="31">
        <f>TRUNC(J72,0)</f>
        <v>43441</v>
      </c>
      <c r="L70" s="31">
        <f>TRUNC(L72,0)</f>
        <v>0</v>
      </c>
      <c r="M70" s="22" t="s">
        <v>2859</v>
      </c>
      <c r="N70" t="s">
        <v>2859</v>
      </c>
      <c r="O70" t="s">
        <v>2175</v>
      </c>
    </row>
    <row r="71" spans="1:61" ht="18.399999999999999" customHeight="1" x14ac:dyDescent="0.15">
      <c r="A71" s="13" t="s">
        <v>946</v>
      </c>
      <c r="B71" s="2" t="s">
        <v>2859</v>
      </c>
      <c r="C71" s="2"/>
      <c r="D71" s="2" t="s">
        <v>2859</v>
      </c>
      <c r="E71" s="31">
        <f>G71+I71+K71</f>
        <v>0</v>
      </c>
      <c r="F71" s="31">
        <f>H71+J71+L71</f>
        <v>0</v>
      </c>
      <c r="G71" s="1"/>
      <c r="H71" s="31">
        <v>0</v>
      </c>
      <c r="I71" s="1"/>
      <c r="J71" s="31">
        <v>0</v>
      </c>
      <c r="K71" s="1"/>
      <c r="L71" s="31">
        <v>0</v>
      </c>
      <c r="M71" s="22" t="s">
        <v>2859</v>
      </c>
      <c r="N71" t="s">
        <v>2859</v>
      </c>
      <c r="P71" t="s">
        <v>919</v>
      </c>
      <c r="Q71" t="s">
        <v>2859</v>
      </c>
      <c r="R71" t="s">
        <v>2859</v>
      </c>
    </row>
    <row r="72" spans="1:61" ht="18.399999999999999" customHeight="1" x14ac:dyDescent="0.15">
      <c r="A72" s="13" t="s">
        <v>891</v>
      </c>
      <c r="B72" s="2" t="s">
        <v>1539</v>
      </c>
      <c r="C72" s="2">
        <v>0.26</v>
      </c>
      <c r="D72" s="2" t="s">
        <v>2663</v>
      </c>
      <c r="E72" s="31">
        <f>G72+I72+K72</f>
        <v>167081</v>
      </c>
      <c r="F72" s="31">
        <f>H72+J72+L72</f>
        <v>43441</v>
      </c>
      <c r="G72" s="31">
        <v>0</v>
      </c>
      <c r="H72" s="31"/>
      <c r="I72" s="31">
        <f>노임!D13</f>
        <v>167081</v>
      </c>
      <c r="J72" s="31">
        <f>TRUNC(I72*C72,0)</f>
        <v>43441</v>
      </c>
      <c r="K72" s="31">
        <v>0</v>
      </c>
      <c r="L72" s="31"/>
      <c r="M72" s="22" t="s">
        <v>2859</v>
      </c>
      <c r="N72" t="s">
        <v>822</v>
      </c>
      <c r="P72" t="s">
        <v>322</v>
      </c>
      <c r="Q72" t="s">
        <v>2859</v>
      </c>
      <c r="R72" t="s">
        <v>485</v>
      </c>
      <c r="BI72" s="34" t="str">
        <f>HYPERLINK("#노임!A13","L085 →")</f>
        <v>L085 →</v>
      </c>
    </row>
    <row r="73" spans="1:61" ht="18.399999999999999" customHeight="1" x14ac:dyDescent="0.15">
      <c r="A73" s="57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58"/>
    </row>
    <row r="74" spans="1:61" ht="18.399999999999999" customHeight="1" x14ac:dyDescent="0.15">
      <c r="A74" s="13" t="s">
        <v>2695</v>
      </c>
      <c r="B74" s="2" t="s">
        <v>1995</v>
      </c>
      <c r="C74" s="2">
        <v>1</v>
      </c>
      <c r="D74" s="2" t="s">
        <v>1085</v>
      </c>
      <c r="F74" s="31">
        <f>H74+J74+L74</f>
        <v>26375</v>
      </c>
      <c r="H74" s="31">
        <f>TRUNC(H75+H76,0)</f>
        <v>645</v>
      </c>
      <c r="J74" s="31">
        <f>TRUNC(J75+J76,0)</f>
        <v>24860</v>
      </c>
      <c r="L74" s="31">
        <f>TRUNC(L75+L76,0)</f>
        <v>870</v>
      </c>
      <c r="M74" s="22" t="s">
        <v>2859</v>
      </c>
      <c r="N74" t="s">
        <v>2859</v>
      </c>
      <c r="O74" t="s">
        <v>1367</v>
      </c>
    </row>
    <row r="75" spans="1:61" ht="18.399999999999999" customHeight="1" x14ac:dyDescent="0.15">
      <c r="A75" s="13" t="s">
        <v>891</v>
      </c>
      <c r="B75" s="2" t="s">
        <v>2859</v>
      </c>
      <c r="C75" s="2">
        <f>일위대가_별표!$AD525</f>
        <v>8.7999999999999995E-2</v>
      </c>
      <c r="D75" s="2" t="s">
        <v>2663</v>
      </c>
      <c r="E75" s="31">
        <f>G75+I75+K75</f>
        <v>167081</v>
      </c>
      <c r="F75" s="31">
        <f>H75+J75+L75</f>
        <v>14703</v>
      </c>
      <c r="G75" s="31">
        <v>0</v>
      </c>
      <c r="H75" s="31"/>
      <c r="I75" s="31">
        <f>노임!D13</f>
        <v>167081</v>
      </c>
      <c r="J75" s="31">
        <f>TRUNC(I75*C75,0)</f>
        <v>14703</v>
      </c>
      <c r="K75" s="31">
        <v>0</v>
      </c>
      <c r="L75" s="31"/>
      <c r="M75" s="22" t="s">
        <v>2859</v>
      </c>
      <c r="N75" t="s">
        <v>822</v>
      </c>
      <c r="P75" t="s">
        <v>1745</v>
      </c>
      <c r="Q75" t="s">
        <v>2859</v>
      </c>
      <c r="R75" t="s">
        <v>485</v>
      </c>
      <c r="BI75" s="34" t="str">
        <f>HYPERLINK("#노임!A13","L085 →")</f>
        <v>L085 →</v>
      </c>
    </row>
    <row r="76" spans="1:61" ht="18.399999999999999" customHeight="1" x14ac:dyDescent="0.15">
      <c r="A76" s="13" t="s">
        <v>1348</v>
      </c>
      <c r="B76" s="2" t="s">
        <v>2640</v>
      </c>
      <c r="C76" s="2">
        <f>일위대가_별표!$AH537</f>
        <v>0.17860000000000001</v>
      </c>
      <c r="D76" s="2" t="s">
        <v>2380</v>
      </c>
      <c r="E76" s="31">
        <f>G76+I76+K76</f>
        <v>65359</v>
      </c>
      <c r="F76" s="31">
        <f>H76+J76+L76</f>
        <v>11672</v>
      </c>
      <c r="G76" s="31">
        <f>중기사용료목록!E21</f>
        <v>3612</v>
      </c>
      <c r="H76" s="31">
        <f>TRUNC(G76*C76,0)</f>
        <v>645</v>
      </c>
      <c r="I76" s="31">
        <f>중기사용료목록!F21</f>
        <v>56874</v>
      </c>
      <c r="J76" s="31">
        <f>TRUNC(I76*C76,0)</f>
        <v>10157</v>
      </c>
      <c r="K76" s="31">
        <f>중기사용료목록!G21</f>
        <v>4873</v>
      </c>
      <c r="L76" s="31">
        <f>TRUNC(K76*C76,0)</f>
        <v>870</v>
      </c>
      <c r="M76" s="22" t="s">
        <v>2859</v>
      </c>
      <c r="N76" t="s">
        <v>2859</v>
      </c>
      <c r="P76" t="s">
        <v>2435</v>
      </c>
      <c r="Q76" t="s">
        <v>2859</v>
      </c>
      <c r="R76" t="s">
        <v>1617</v>
      </c>
      <c r="BI76" s="34" t="str">
        <f>HYPERLINK("#중기사용료목록!A21","E0013060025 →")</f>
        <v>E0013060025 →</v>
      </c>
    </row>
    <row r="77" spans="1:61" ht="18.399999999999999" customHeight="1" x14ac:dyDescent="0.15">
      <c r="A77" s="57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58"/>
    </row>
    <row r="78" spans="1:61" ht="18.399999999999999" customHeight="1" x14ac:dyDescent="0.15">
      <c r="A78" s="13" t="s">
        <v>2602</v>
      </c>
      <c r="B78" s="2" t="s">
        <v>2859</v>
      </c>
      <c r="C78" s="2">
        <v>1</v>
      </c>
      <c r="D78" s="2" t="s">
        <v>1085</v>
      </c>
      <c r="F78" s="31">
        <f t="shared" ref="F78:F84" si="4">H78+J78+L78</f>
        <v>39788</v>
      </c>
      <c r="H78" s="31">
        <f>TRUNC(H80+H81+H82+H83+H84,0)</f>
        <v>27789</v>
      </c>
      <c r="J78" s="31">
        <f>TRUNC(J80+J81+J82+J83+J84,0)</f>
        <v>10816</v>
      </c>
      <c r="L78" s="31">
        <f>TRUNC(L80+L81+L82+L83+L84,0)</f>
        <v>1183</v>
      </c>
      <c r="M78" s="22" t="s">
        <v>2859</v>
      </c>
      <c r="N78" t="s">
        <v>2859</v>
      </c>
      <c r="O78" t="s">
        <v>2655</v>
      </c>
    </row>
    <row r="79" spans="1:61" ht="18.399999999999999" customHeight="1" x14ac:dyDescent="0.15">
      <c r="A79" s="13" t="s">
        <v>1073</v>
      </c>
      <c r="B79" s="2" t="s">
        <v>2859</v>
      </c>
      <c r="C79" s="2"/>
      <c r="D79" s="2" t="s">
        <v>2859</v>
      </c>
      <c r="E79" s="31">
        <f t="shared" ref="E79:E84" si="5">G79+I79+K79</f>
        <v>0</v>
      </c>
      <c r="F79" s="31">
        <f t="shared" si="4"/>
        <v>0</v>
      </c>
      <c r="G79" s="1"/>
      <c r="H79" s="31">
        <v>0</v>
      </c>
      <c r="I79" s="1"/>
      <c r="J79" s="31">
        <v>0</v>
      </c>
      <c r="K79" s="1"/>
      <c r="L79" s="31">
        <v>0</v>
      </c>
      <c r="M79" s="22" t="s">
        <v>2859</v>
      </c>
      <c r="N79" t="s">
        <v>2859</v>
      </c>
      <c r="P79" t="s">
        <v>322</v>
      </c>
      <c r="Q79" t="s">
        <v>2859</v>
      </c>
      <c r="R79" t="s">
        <v>2859</v>
      </c>
    </row>
    <row r="80" spans="1:61" ht="18.399999999999999" customHeight="1" x14ac:dyDescent="0.15">
      <c r="A80" s="13" t="s">
        <v>1851</v>
      </c>
      <c r="B80" s="2" t="s">
        <v>1448</v>
      </c>
      <c r="C80" s="2">
        <v>1.1126</v>
      </c>
      <c r="D80" s="2" t="s">
        <v>1085</v>
      </c>
      <c r="E80" s="31">
        <f t="shared" si="5"/>
        <v>24000</v>
      </c>
      <c r="F80" s="31">
        <f t="shared" si="4"/>
        <v>26702</v>
      </c>
      <c r="G80" s="31">
        <f>자재조서!E15</f>
        <v>24000</v>
      </c>
      <c r="H80" s="31">
        <f>TRUNC(G80*C80,0)</f>
        <v>26702</v>
      </c>
      <c r="I80" s="31">
        <v>0</v>
      </c>
      <c r="J80" s="31"/>
      <c r="K80" s="31">
        <v>0</v>
      </c>
      <c r="L80" s="31"/>
      <c r="M80" s="22" t="s">
        <v>2859</v>
      </c>
      <c r="N80" t="s">
        <v>2859</v>
      </c>
      <c r="P80" t="s">
        <v>2491</v>
      </c>
      <c r="Q80" t="s">
        <v>2859</v>
      </c>
      <c r="R80" t="s">
        <v>48</v>
      </c>
      <c r="BI80" s="34" t="str">
        <f>HYPERLINK("#자재조서!A15","M0723005 →")</f>
        <v>M0723005 →</v>
      </c>
    </row>
    <row r="81" spans="1:61" ht="18.399999999999999" customHeight="1" x14ac:dyDescent="0.15">
      <c r="A81" s="13" t="s">
        <v>891</v>
      </c>
      <c r="B81" s="2" t="s">
        <v>2859</v>
      </c>
      <c r="C81" s="2">
        <v>1.7999999999999999E-2</v>
      </c>
      <c r="D81" s="2" t="s">
        <v>2663</v>
      </c>
      <c r="E81" s="31">
        <f t="shared" si="5"/>
        <v>167081</v>
      </c>
      <c r="F81" s="31">
        <f t="shared" si="4"/>
        <v>3007</v>
      </c>
      <c r="G81" s="31">
        <v>0</v>
      </c>
      <c r="H81" s="31"/>
      <c r="I81" s="31">
        <f>노임!D13</f>
        <v>167081</v>
      </c>
      <c r="J81" s="31">
        <f>TRUNC(I81*C81,0)</f>
        <v>3007</v>
      </c>
      <c r="K81" s="31">
        <v>0</v>
      </c>
      <c r="L81" s="31"/>
      <c r="M81" s="22" t="s">
        <v>2859</v>
      </c>
      <c r="N81" t="s">
        <v>2859</v>
      </c>
      <c r="P81" t="s">
        <v>1745</v>
      </c>
      <c r="Q81" t="s">
        <v>2859</v>
      </c>
      <c r="R81" t="s">
        <v>485</v>
      </c>
      <c r="BI81" s="34" t="str">
        <f>HYPERLINK("#노임!A13","L085 →")</f>
        <v>L085 →</v>
      </c>
    </row>
    <row r="82" spans="1:61" ht="18.399999999999999" customHeight="1" x14ac:dyDescent="0.15">
      <c r="A82" s="13" t="s">
        <v>520</v>
      </c>
      <c r="B82" s="2" t="s">
        <v>54</v>
      </c>
      <c r="C82" s="2">
        <v>7.0000000000000007E-2</v>
      </c>
      <c r="D82" s="2" t="s">
        <v>2380</v>
      </c>
      <c r="E82" s="31">
        <f t="shared" si="5"/>
        <v>78324</v>
      </c>
      <c r="F82" s="31">
        <f t="shared" si="4"/>
        <v>5481</v>
      </c>
      <c r="G82" s="31">
        <f>중기사용료목록!E5</f>
        <v>8409</v>
      </c>
      <c r="H82" s="31">
        <f>TRUNC(G82*C82,0)</f>
        <v>588</v>
      </c>
      <c r="I82" s="31">
        <f>중기사용료목록!F5</f>
        <v>56874</v>
      </c>
      <c r="J82" s="31">
        <f>TRUNC(I82*C82,0)</f>
        <v>3981</v>
      </c>
      <c r="K82" s="31">
        <f>중기사용료목록!G5</f>
        <v>13041</v>
      </c>
      <c r="L82" s="31">
        <f>TRUNC(K82*C82,0)</f>
        <v>912</v>
      </c>
      <c r="M82" s="22" t="s">
        <v>2859</v>
      </c>
      <c r="N82" t="s">
        <v>2859</v>
      </c>
      <c r="P82" t="s">
        <v>1030</v>
      </c>
      <c r="Q82" t="s">
        <v>2859</v>
      </c>
      <c r="R82" t="s">
        <v>407</v>
      </c>
      <c r="BI82" s="34" t="str">
        <f>HYPERLINK("#중기사용료목록!A5","E0002010020 →")</f>
        <v>E0002010020 →</v>
      </c>
    </row>
    <row r="83" spans="1:61" ht="18.399999999999999" customHeight="1" x14ac:dyDescent="0.15">
      <c r="A83" s="13" t="s">
        <v>1405</v>
      </c>
      <c r="B83" s="2" t="s">
        <v>1741</v>
      </c>
      <c r="C83" s="2">
        <v>0.01</v>
      </c>
      <c r="D83" s="2" t="s">
        <v>2380</v>
      </c>
      <c r="E83" s="31">
        <f t="shared" si="5"/>
        <v>75016</v>
      </c>
      <c r="F83" s="31">
        <f t="shared" si="4"/>
        <v>749</v>
      </c>
      <c r="G83" s="31">
        <f>중기사용료목록!E38</f>
        <v>16805</v>
      </c>
      <c r="H83" s="31">
        <f>TRUNC(G83*C83,0)</f>
        <v>168</v>
      </c>
      <c r="I83" s="31">
        <f>중기사용료목록!F38</f>
        <v>48741</v>
      </c>
      <c r="J83" s="31">
        <f>TRUNC(I83*C83,0)</f>
        <v>487</v>
      </c>
      <c r="K83" s="31">
        <f>중기사용료목록!G38</f>
        <v>9470</v>
      </c>
      <c r="L83" s="31">
        <f>TRUNC(K83*C83,0)</f>
        <v>94</v>
      </c>
      <c r="M83" s="22" t="s">
        <v>2859</v>
      </c>
      <c r="N83" t="s">
        <v>2859</v>
      </c>
      <c r="P83" t="s">
        <v>267</v>
      </c>
      <c r="Q83" t="s">
        <v>2859</v>
      </c>
      <c r="R83" t="s">
        <v>42</v>
      </c>
      <c r="BI83" s="34" t="str">
        <f>HYPERLINK("#중기사용료목록!A38","E0072040055 →")</f>
        <v>E0072040055 →</v>
      </c>
    </row>
    <row r="84" spans="1:61" ht="18.399999999999999" customHeight="1" x14ac:dyDescent="0.15">
      <c r="A84" s="13" t="s">
        <v>2529</v>
      </c>
      <c r="B84" s="2" t="s">
        <v>912</v>
      </c>
      <c r="C84" s="2">
        <v>9.6000000000000002E-2</v>
      </c>
      <c r="D84" s="2" t="s">
        <v>2380</v>
      </c>
      <c r="E84" s="31">
        <f t="shared" si="5"/>
        <v>40104</v>
      </c>
      <c r="F84" s="31">
        <f t="shared" si="4"/>
        <v>3849</v>
      </c>
      <c r="G84" s="31">
        <f>중기사용료목록!E20</f>
        <v>3455</v>
      </c>
      <c r="H84" s="31">
        <f>TRUNC(G84*C84,0)</f>
        <v>331</v>
      </c>
      <c r="I84" s="31">
        <f>중기사용료목록!F20</f>
        <v>34803</v>
      </c>
      <c r="J84" s="31">
        <f>TRUNC(I84*C84,0)</f>
        <v>3341</v>
      </c>
      <c r="K84" s="31">
        <f>중기사용료목록!G20</f>
        <v>1846</v>
      </c>
      <c r="L84" s="31">
        <f>TRUNC(K84*C84,0)</f>
        <v>177</v>
      </c>
      <c r="M84" s="22" t="s">
        <v>2859</v>
      </c>
      <c r="N84" t="s">
        <v>2859</v>
      </c>
      <c r="P84" t="s">
        <v>2435</v>
      </c>
      <c r="Q84" t="s">
        <v>2859</v>
      </c>
      <c r="R84" t="s">
        <v>2688</v>
      </c>
      <c r="BI84" s="34" t="str">
        <f>HYPERLINK("#중기사용료목록!A20","E0013050007 →")</f>
        <v>E0013050007 →</v>
      </c>
    </row>
    <row r="85" spans="1:61" ht="18.399999999999999" customHeight="1" x14ac:dyDescent="0.15">
      <c r="A85" s="57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58"/>
    </row>
    <row r="86" spans="1:61" ht="18.399999999999999" customHeight="1" x14ac:dyDescent="0.15">
      <c r="A86" s="13" t="s">
        <v>1479</v>
      </c>
      <c r="B86" s="2" t="s">
        <v>2859</v>
      </c>
      <c r="C86" s="2">
        <v>1</v>
      </c>
      <c r="D86" s="2" t="s">
        <v>1085</v>
      </c>
      <c r="F86" s="31">
        <f>H86+J86+L86</f>
        <v>54894</v>
      </c>
      <c r="H86" s="31">
        <f>TRUNC(H87+H88+H89+H90,0)</f>
        <v>49714</v>
      </c>
      <c r="J86" s="31">
        <f>TRUNC(J87+J88+J89+J90,0)</f>
        <v>4714</v>
      </c>
      <c r="L86" s="31">
        <f>TRUNC(L87+L88+L89+L90,0)</f>
        <v>466</v>
      </c>
      <c r="M86" s="22" t="s">
        <v>2859</v>
      </c>
      <c r="N86" t="s">
        <v>2859</v>
      </c>
      <c r="O86" t="s">
        <v>2316</v>
      </c>
    </row>
    <row r="87" spans="1:61" ht="18.399999999999999" customHeight="1" x14ac:dyDescent="0.15">
      <c r="A87" s="13" t="s">
        <v>1330</v>
      </c>
      <c r="B87" s="2" t="s">
        <v>417</v>
      </c>
      <c r="C87" s="2">
        <f>일위대가_별표!$AD547</f>
        <v>1.3289</v>
      </c>
      <c r="D87" s="2" t="s">
        <v>1085</v>
      </c>
      <c r="E87" s="31">
        <f>G87+I87+K87</f>
        <v>37000</v>
      </c>
      <c r="F87" s="31">
        <f>H87+J87+L87</f>
        <v>49169</v>
      </c>
      <c r="G87" s="31">
        <f>자재조서!E13</f>
        <v>37000</v>
      </c>
      <c r="H87" s="31">
        <f>TRUNC(G87*C87,0)</f>
        <v>49169</v>
      </c>
      <c r="I87" s="31">
        <v>0</v>
      </c>
      <c r="J87" s="31"/>
      <c r="K87" s="31">
        <v>0</v>
      </c>
      <c r="L87" s="31"/>
      <c r="M87" s="22" t="s">
        <v>2859</v>
      </c>
      <c r="N87" t="s">
        <v>2859</v>
      </c>
      <c r="P87" t="s">
        <v>322</v>
      </c>
      <c r="Q87" t="s">
        <v>2859</v>
      </c>
      <c r="R87" t="s">
        <v>1940</v>
      </c>
      <c r="BI87" s="34" t="str">
        <f>HYPERLINK("#자재조서!A13","M0717007 →")</f>
        <v>M0717007 →</v>
      </c>
    </row>
    <row r="88" spans="1:61" ht="18.399999999999999" customHeight="1" x14ac:dyDescent="0.15">
      <c r="A88" s="13" t="s">
        <v>1621</v>
      </c>
      <c r="B88" s="2" t="s">
        <v>11</v>
      </c>
      <c r="C88" s="2">
        <f>일위대가_별표!$AD564</f>
        <v>1.9300000000000001E-2</v>
      </c>
      <c r="D88" s="2" t="s">
        <v>2380</v>
      </c>
      <c r="E88" s="31">
        <f>G88+I88+K88</f>
        <v>78324</v>
      </c>
      <c r="F88" s="31">
        <f>H88+J88+L88</f>
        <v>1510</v>
      </c>
      <c r="G88" s="31">
        <f>중기사용료목록!E5</f>
        <v>8409</v>
      </c>
      <c r="H88" s="31">
        <f>TRUNC(G88*C88,0)</f>
        <v>162</v>
      </c>
      <c r="I88" s="31">
        <f>중기사용료목록!F5</f>
        <v>56874</v>
      </c>
      <c r="J88" s="31">
        <f>TRUNC(I88*C88,0)</f>
        <v>1097</v>
      </c>
      <c r="K88" s="31">
        <f>중기사용료목록!G5</f>
        <v>13041</v>
      </c>
      <c r="L88" s="31">
        <f>TRUNC(K88*C88,0)</f>
        <v>251</v>
      </c>
      <c r="M88" s="22" t="s">
        <v>2859</v>
      </c>
      <c r="N88" t="s">
        <v>2859</v>
      </c>
      <c r="P88" t="s">
        <v>2491</v>
      </c>
      <c r="Q88" t="s">
        <v>2859</v>
      </c>
      <c r="R88" t="s">
        <v>407</v>
      </c>
      <c r="BI88" s="34" t="str">
        <f>HYPERLINK("#중기사용료목록!A5","E0002010020 →")</f>
        <v>E0002010020 →</v>
      </c>
    </row>
    <row r="89" spans="1:61" ht="18.399999999999999" customHeight="1" x14ac:dyDescent="0.15">
      <c r="A89" s="13" t="s">
        <v>1405</v>
      </c>
      <c r="B89" s="2" t="s">
        <v>1741</v>
      </c>
      <c r="C89" s="2">
        <f>일위대가_별표!$AD595</f>
        <v>2.2800000000000001E-2</v>
      </c>
      <c r="D89" s="2" t="s">
        <v>2380</v>
      </c>
      <c r="E89" s="31">
        <f>G89+I89+K89</f>
        <v>75016</v>
      </c>
      <c r="F89" s="31">
        <f>H89+J89+L89</f>
        <v>1709</v>
      </c>
      <c r="G89" s="31">
        <f>중기사용료목록!E38</f>
        <v>16805</v>
      </c>
      <c r="H89" s="31">
        <f>TRUNC(G89*C89,0)</f>
        <v>383</v>
      </c>
      <c r="I89" s="31">
        <f>중기사용료목록!F38</f>
        <v>48741</v>
      </c>
      <c r="J89" s="31">
        <f>TRUNC(I89*C89,0)</f>
        <v>1111</v>
      </c>
      <c r="K89" s="31">
        <f>중기사용료목록!G38</f>
        <v>9470</v>
      </c>
      <c r="L89" s="31">
        <f>TRUNC(K89*C89,0)</f>
        <v>215</v>
      </c>
      <c r="M89" s="22" t="s">
        <v>2859</v>
      </c>
      <c r="N89" t="s">
        <v>2859</v>
      </c>
      <c r="P89" t="s">
        <v>1745</v>
      </c>
      <c r="Q89" t="s">
        <v>2859</v>
      </c>
      <c r="R89" t="s">
        <v>42</v>
      </c>
      <c r="BI89" s="34" t="str">
        <f>HYPERLINK("#중기사용료목록!A38","E0072040055 →")</f>
        <v>E0072040055 →</v>
      </c>
    </row>
    <row r="90" spans="1:61" ht="18.399999999999999" customHeight="1" x14ac:dyDescent="0.15">
      <c r="A90" s="13" t="s">
        <v>891</v>
      </c>
      <c r="B90" s="2" t="s">
        <v>2859</v>
      </c>
      <c r="C90" s="2">
        <f>일위대가_별표!$AH604</f>
        <v>1.4999999999999999E-2</v>
      </c>
      <c r="D90" s="2" t="s">
        <v>2663</v>
      </c>
      <c r="E90" s="31">
        <f>G90+I90+K90</f>
        <v>167081</v>
      </c>
      <c r="F90" s="31">
        <f>H90+J90+L90</f>
        <v>2506</v>
      </c>
      <c r="G90" s="31">
        <v>0</v>
      </c>
      <c r="H90" s="31"/>
      <c r="I90" s="31">
        <f>노임!D13</f>
        <v>167081</v>
      </c>
      <c r="J90" s="31">
        <f>TRUNC(I90*C90,0)</f>
        <v>2506</v>
      </c>
      <c r="K90" s="31">
        <v>0</v>
      </c>
      <c r="L90" s="31"/>
      <c r="M90" s="22" t="s">
        <v>2859</v>
      </c>
      <c r="N90" t="s">
        <v>2859</v>
      </c>
      <c r="P90" t="s">
        <v>1030</v>
      </c>
      <c r="Q90" t="s">
        <v>2859</v>
      </c>
      <c r="R90" t="s">
        <v>485</v>
      </c>
      <c r="BI90" s="34" t="str">
        <f>HYPERLINK("#노임!A13","L085 →")</f>
        <v>L085 →</v>
      </c>
    </row>
    <row r="91" spans="1:61" ht="18.399999999999999" customHeight="1" x14ac:dyDescent="0.15">
      <c r="A91" s="57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58"/>
    </row>
    <row r="92" spans="1:61" ht="18.399999999999999" customHeight="1" x14ac:dyDescent="0.15">
      <c r="A92" s="13" t="s">
        <v>2783</v>
      </c>
      <c r="B92" s="2" t="s">
        <v>3</v>
      </c>
      <c r="C92" s="2">
        <v>1</v>
      </c>
      <c r="D92" s="2" t="s">
        <v>1085</v>
      </c>
      <c r="F92" s="31">
        <f t="shared" ref="F92:F97" si="6">H92+J92+L92</f>
        <v>28187</v>
      </c>
      <c r="H92" s="31">
        <f>TRUNC(H94+H95+H96+H97,0)</f>
        <v>2498</v>
      </c>
      <c r="J92" s="31">
        <f>TRUNC(J94+J95+J96+J97,0)</f>
        <v>22448</v>
      </c>
      <c r="L92" s="31">
        <f>TRUNC(L94+L95+L96+L97,0)</f>
        <v>3241</v>
      </c>
      <c r="M92" s="22" t="s">
        <v>2859</v>
      </c>
      <c r="N92" t="s">
        <v>2859</v>
      </c>
      <c r="O92" t="s">
        <v>1363</v>
      </c>
    </row>
    <row r="93" spans="1:61" ht="18.399999999999999" customHeight="1" x14ac:dyDescent="0.15">
      <c r="A93" s="13" t="s">
        <v>103</v>
      </c>
      <c r="B93" s="2" t="s">
        <v>2859</v>
      </c>
      <c r="C93" s="2"/>
      <c r="D93" s="2" t="s">
        <v>2859</v>
      </c>
      <c r="E93" s="31">
        <f>G93+I93+K93</f>
        <v>0</v>
      </c>
      <c r="F93" s="31">
        <f t="shared" si="6"/>
        <v>0</v>
      </c>
      <c r="G93" s="1"/>
      <c r="H93" s="31">
        <v>0</v>
      </c>
      <c r="I93" s="1"/>
      <c r="J93" s="31">
        <v>0</v>
      </c>
      <c r="K93" s="1"/>
      <c r="L93" s="31">
        <v>0</v>
      </c>
      <c r="M93" s="22" t="s">
        <v>2859</v>
      </c>
      <c r="N93" t="s">
        <v>2859</v>
      </c>
      <c r="P93" t="s">
        <v>322</v>
      </c>
      <c r="Q93" t="s">
        <v>2859</v>
      </c>
      <c r="R93" t="s">
        <v>2859</v>
      </c>
    </row>
    <row r="94" spans="1:61" ht="18.399999999999999" customHeight="1" x14ac:dyDescent="0.15">
      <c r="A94" s="13" t="s">
        <v>1621</v>
      </c>
      <c r="B94" s="2" t="s">
        <v>524</v>
      </c>
      <c r="C94" s="2">
        <f>일위대가_별표!$AD615</f>
        <v>0.127</v>
      </c>
      <c r="D94" s="2" t="s">
        <v>2380</v>
      </c>
      <c r="E94" s="31">
        <f>G94+I94+K94</f>
        <v>99673</v>
      </c>
      <c r="F94" s="31">
        <f t="shared" si="6"/>
        <v>12657</v>
      </c>
      <c r="G94" s="31">
        <f>중기사용료목록!E8</f>
        <v>19671</v>
      </c>
      <c r="H94" s="31">
        <f>TRUNC(G94*C94,0)</f>
        <v>2498</v>
      </c>
      <c r="I94" s="31">
        <f>중기사용료목록!F8</f>
        <v>56874</v>
      </c>
      <c r="J94" s="31">
        <f>TRUNC(I94*C94,0)</f>
        <v>7222</v>
      </c>
      <c r="K94" s="31">
        <f>중기사용료목록!G8</f>
        <v>23128</v>
      </c>
      <c r="L94" s="31">
        <f>TRUNC(K94*C94,0)</f>
        <v>2937</v>
      </c>
      <c r="M94" s="22" t="s">
        <v>2859</v>
      </c>
      <c r="N94" t="s">
        <v>2859</v>
      </c>
      <c r="P94" t="s">
        <v>2491</v>
      </c>
      <c r="Q94" t="s">
        <v>2859</v>
      </c>
      <c r="R94" t="s">
        <v>1104</v>
      </c>
      <c r="BI94" s="34" t="str">
        <f>HYPERLINK("#중기사용료목록!A8","E0002010070 →")</f>
        <v>E0002010070 →</v>
      </c>
    </row>
    <row r="95" spans="1:61" ht="18.399999999999999" customHeight="1" x14ac:dyDescent="0.15">
      <c r="A95" s="13" t="s">
        <v>1469</v>
      </c>
      <c r="B95" s="2" t="s">
        <v>2859</v>
      </c>
      <c r="C95" s="2">
        <f>일위대가_별표!$AD619</f>
        <v>4.7600000000000003E-2</v>
      </c>
      <c r="D95" s="2" t="s">
        <v>2663</v>
      </c>
      <c r="E95" s="31">
        <f>G95+I95+K95</f>
        <v>264080</v>
      </c>
      <c r="F95" s="31">
        <f t="shared" si="6"/>
        <v>12570</v>
      </c>
      <c r="G95" s="31">
        <v>0</v>
      </c>
      <c r="H95" s="31"/>
      <c r="I95" s="31">
        <f>노임!D7</f>
        <v>264080</v>
      </c>
      <c r="J95" s="31">
        <f>TRUNC(I95*C95,0)</f>
        <v>12570</v>
      </c>
      <c r="K95" s="31">
        <v>0</v>
      </c>
      <c r="L95" s="31"/>
      <c r="M95" s="22" t="s">
        <v>2859</v>
      </c>
      <c r="N95" t="s">
        <v>2859</v>
      </c>
      <c r="P95" t="s">
        <v>1745</v>
      </c>
      <c r="Q95" t="s">
        <v>2859</v>
      </c>
      <c r="R95" t="s">
        <v>1826</v>
      </c>
      <c r="BI95" s="34" t="str">
        <f>HYPERLINK("#노임!A7","L025 →")</f>
        <v>L025 →</v>
      </c>
    </row>
    <row r="96" spans="1:61" ht="18.399999999999999" customHeight="1" x14ac:dyDescent="0.15">
      <c r="A96" s="13" t="s">
        <v>891</v>
      </c>
      <c r="B96" s="2" t="s">
        <v>2859</v>
      </c>
      <c r="C96" s="2">
        <f>일위대가_별표!$AD623</f>
        <v>1.5900000000000001E-2</v>
      </c>
      <c r="D96" s="2" t="s">
        <v>2663</v>
      </c>
      <c r="E96" s="31">
        <f>G96+I96+K96</f>
        <v>167081</v>
      </c>
      <c r="F96" s="31">
        <f t="shared" si="6"/>
        <v>2656</v>
      </c>
      <c r="G96" s="31">
        <v>0</v>
      </c>
      <c r="H96" s="31"/>
      <c r="I96" s="31">
        <f>노임!D13</f>
        <v>167081</v>
      </c>
      <c r="J96" s="31">
        <f>TRUNC(I96*C96,0)</f>
        <v>2656</v>
      </c>
      <c r="K96" s="31">
        <v>0</v>
      </c>
      <c r="L96" s="31"/>
      <c r="M96" s="22" t="s">
        <v>2859</v>
      </c>
      <c r="N96" t="s">
        <v>2859</v>
      </c>
      <c r="P96" t="s">
        <v>1030</v>
      </c>
      <c r="Q96" t="s">
        <v>2859</v>
      </c>
      <c r="R96" t="s">
        <v>485</v>
      </c>
      <c r="AA96" s="40" t="s">
        <v>907</v>
      </c>
      <c r="AB96" s="10">
        <f>(((일위대가_호표!J95*전역변수!C34)+(일위대가_호표!J96*전역변수!C34)))*0.02</f>
        <v>304.52</v>
      </c>
      <c r="AC96" s="40" t="s">
        <v>1545</v>
      </c>
      <c r="AD96" s="9">
        <f>$AB96</f>
        <v>304.52</v>
      </c>
      <c r="BI96" s="34" t="str">
        <f>HYPERLINK("#노임!A13","L085 →")</f>
        <v>L085 →</v>
      </c>
    </row>
    <row r="97" spans="1:61" ht="18.399999999999999" customHeight="1" x14ac:dyDescent="0.15">
      <c r="A97" s="13" t="s">
        <v>1428</v>
      </c>
      <c r="B97" s="2" t="s">
        <v>1276</v>
      </c>
      <c r="C97" s="2">
        <v>1</v>
      </c>
      <c r="D97" s="2" t="s">
        <v>2293</v>
      </c>
      <c r="E97" s="31">
        <f>G97+I97+K97</f>
        <v>0</v>
      </c>
      <c r="F97" s="31">
        <f t="shared" si="6"/>
        <v>304</v>
      </c>
      <c r="G97" s="1"/>
      <c r="H97" s="31">
        <v>0</v>
      </c>
      <c r="I97" s="1"/>
      <c r="J97" s="31">
        <v>0</v>
      </c>
      <c r="K97" s="1"/>
      <c r="L97" s="31">
        <f>TRUNC(((((J95*전역변수!C34)+(J96*전역변수!C34)))*0.02),0)</f>
        <v>304</v>
      </c>
      <c r="M97" s="22" t="s">
        <v>2859</v>
      </c>
      <c r="N97" t="s">
        <v>2859</v>
      </c>
      <c r="P97" t="s">
        <v>267</v>
      </c>
      <c r="Q97" t="s">
        <v>2859</v>
      </c>
      <c r="R97" t="s">
        <v>2417</v>
      </c>
      <c r="X97" t="s">
        <v>168</v>
      </c>
    </row>
    <row r="98" spans="1:61" ht="18.399999999999999" customHeight="1" x14ac:dyDescent="0.15">
      <c r="A98" s="57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58"/>
    </row>
    <row r="99" spans="1:61" ht="18.399999999999999" customHeight="1" x14ac:dyDescent="0.15">
      <c r="A99" s="13" t="s">
        <v>2766</v>
      </c>
      <c r="B99" s="2" t="s">
        <v>413</v>
      </c>
      <c r="C99" s="2">
        <v>1</v>
      </c>
      <c r="D99" s="2" t="s">
        <v>1085</v>
      </c>
      <c r="F99" s="31">
        <f t="shared" ref="F99:F107" si="7">H99+J99+L99</f>
        <v>34252</v>
      </c>
      <c r="H99" s="31">
        <f>TRUNC(H101+H102+H103+H104+H105+H106+H107,0)</f>
        <v>2832</v>
      </c>
      <c r="J99" s="31">
        <f>TRUNC(J101+J102+J103+J104+J105+J106+J107,0)</f>
        <v>25476</v>
      </c>
      <c r="L99" s="31">
        <f>TRUNC(L101+L102+L103+L104+L105+L106+L107,0)</f>
        <v>5944</v>
      </c>
      <c r="M99" s="22" t="s">
        <v>2859</v>
      </c>
      <c r="N99" t="s">
        <v>2859</v>
      </c>
      <c r="O99" t="s">
        <v>859</v>
      </c>
    </row>
    <row r="100" spans="1:61" ht="18.399999999999999" customHeight="1" x14ac:dyDescent="0.15">
      <c r="A100" s="13" t="s">
        <v>2518</v>
      </c>
      <c r="B100" s="2" t="s">
        <v>2859</v>
      </c>
      <c r="C100" s="2"/>
      <c r="D100" s="2" t="s">
        <v>2859</v>
      </c>
      <c r="E100" s="31">
        <f t="shared" ref="E100:E107" si="8">G100+I100+K100</f>
        <v>0</v>
      </c>
      <c r="F100" s="31">
        <f t="shared" si="7"/>
        <v>0</v>
      </c>
      <c r="G100" s="1"/>
      <c r="H100" s="31">
        <v>0</v>
      </c>
      <c r="I100" s="1"/>
      <c r="J100" s="31">
        <v>0</v>
      </c>
      <c r="K100" s="1"/>
      <c r="L100" s="31">
        <v>0</v>
      </c>
      <c r="M100" s="22" t="s">
        <v>2859</v>
      </c>
      <c r="N100" t="s">
        <v>2859</v>
      </c>
      <c r="P100" t="s">
        <v>322</v>
      </c>
      <c r="Q100" t="s">
        <v>2859</v>
      </c>
      <c r="R100" t="s">
        <v>2859</v>
      </c>
    </row>
    <row r="101" spans="1:61" ht="18.399999999999999" customHeight="1" x14ac:dyDescent="0.15">
      <c r="A101" s="13" t="s">
        <v>2440</v>
      </c>
      <c r="B101" s="2" t="s">
        <v>1787</v>
      </c>
      <c r="C101" s="2">
        <f>일위대가_별표!$AH658</f>
        <v>7.2499999999999995E-2</v>
      </c>
      <c r="D101" s="2" t="s">
        <v>2380</v>
      </c>
      <c r="E101" s="31">
        <f t="shared" si="8"/>
        <v>157408</v>
      </c>
      <c r="F101" s="31">
        <f t="shared" si="7"/>
        <v>11411</v>
      </c>
      <c r="G101" s="31">
        <f>중기사용료목록!E36</f>
        <v>32463</v>
      </c>
      <c r="H101" s="31">
        <f>TRUNC(G101*C101,0)</f>
        <v>2353</v>
      </c>
      <c r="I101" s="31">
        <f>중기사용료목록!F36</f>
        <v>56874</v>
      </c>
      <c r="J101" s="31">
        <f>TRUNC(I101*C101,0)</f>
        <v>4123</v>
      </c>
      <c r="K101" s="31">
        <f>중기사용료목록!G36</f>
        <v>68071</v>
      </c>
      <c r="L101" s="31">
        <f>TRUNC(K101*C101,0)</f>
        <v>4935</v>
      </c>
      <c r="M101" s="22" t="s">
        <v>2859</v>
      </c>
      <c r="N101" t="s">
        <v>2859</v>
      </c>
      <c r="P101" t="s">
        <v>1745</v>
      </c>
      <c r="Q101" t="s">
        <v>2859</v>
      </c>
      <c r="R101" t="s">
        <v>841</v>
      </c>
      <c r="BI101" s="34" t="str">
        <f>HYPERLINK("#중기사용료목록!A36","E0045040032 →")</f>
        <v>E0045040032 →</v>
      </c>
    </row>
    <row r="102" spans="1:61" ht="18.399999999999999" customHeight="1" x14ac:dyDescent="0.15">
      <c r="A102" s="13" t="s">
        <v>1469</v>
      </c>
      <c r="B102" s="2" t="s">
        <v>2859</v>
      </c>
      <c r="C102" s="2">
        <f>일위대가_별표!$AL665</f>
        <v>4.82E-2</v>
      </c>
      <c r="D102" s="2" t="s">
        <v>2663</v>
      </c>
      <c r="E102" s="31">
        <f t="shared" si="8"/>
        <v>264080</v>
      </c>
      <c r="F102" s="31">
        <f t="shared" si="7"/>
        <v>12728</v>
      </c>
      <c r="G102" s="31">
        <v>0</v>
      </c>
      <c r="H102" s="31"/>
      <c r="I102" s="31">
        <f>노임!D7</f>
        <v>264080</v>
      </c>
      <c r="J102" s="31">
        <f>TRUNC(I102*C102,0)</f>
        <v>12728</v>
      </c>
      <c r="K102" s="31">
        <v>0</v>
      </c>
      <c r="L102" s="31"/>
      <c r="M102" s="22" t="s">
        <v>2859</v>
      </c>
      <c r="N102" t="s">
        <v>2859</v>
      </c>
      <c r="P102" t="s">
        <v>1030</v>
      </c>
      <c r="Q102" t="s">
        <v>2859</v>
      </c>
      <c r="R102" t="s">
        <v>1826</v>
      </c>
      <c r="BI102" s="34" t="str">
        <f>HYPERLINK("#노임!A7","L025 →")</f>
        <v>L025 →</v>
      </c>
    </row>
    <row r="103" spans="1:61" ht="18.399999999999999" customHeight="1" x14ac:dyDescent="0.15">
      <c r="A103" s="13" t="s">
        <v>932</v>
      </c>
      <c r="B103" s="2" t="s">
        <v>2859</v>
      </c>
      <c r="C103" s="2">
        <f>일위대가_별표!$AL670</f>
        <v>1.9300000000000001E-2</v>
      </c>
      <c r="D103" s="2" t="s">
        <v>2663</v>
      </c>
      <c r="E103" s="31">
        <f t="shared" si="8"/>
        <v>219321</v>
      </c>
      <c r="F103" s="31">
        <f t="shared" si="7"/>
        <v>4232</v>
      </c>
      <c r="G103" s="31">
        <v>0</v>
      </c>
      <c r="H103" s="31"/>
      <c r="I103" s="31">
        <f>노임!D12</f>
        <v>219321</v>
      </c>
      <c r="J103" s="31">
        <f>TRUNC(I103*C103,0)</f>
        <v>4232</v>
      </c>
      <c r="K103" s="31">
        <v>0</v>
      </c>
      <c r="L103" s="31"/>
      <c r="M103" s="22" t="s">
        <v>2859</v>
      </c>
      <c r="N103" t="s">
        <v>2859</v>
      </c>
      <c r="P103" t="s">
        <v>267</v>
      </c>
      <c r="Q103" t="s">
        <v>2859</v>
      </c>
      <c r="R103" t="s">
        <v>2035</v>
      </c>
      <c r="BI103" s="34" t="str">
        <f>HYPERLINK("#노임!A12","L084 →")</f>
        <v>L084 →</v>
      </c>
    </row>
    <row r="104" spans="1:61" ht="18.399999999999999" customHeight="1" x14ac:dyDescent="0.15">
      <c r="A104" s="13" t="s">
        <v>891</v>
      </c>
      <c r="B104" s="2" t="s">
        <v>2859</v>
      </c>
      <c r="C104" s="2">
        <f>일위대가_별표!$AL675</f>
        <v>1.9300000000000001E-2</v>
      </c>
      <c r="D104" s="2" t="s">
        <v>2663</v>
      </c>
      <c r="E104" s="31">
        <f t="shared" si="8"/>
        <v>167081</v>
      </c>
      <c r="F104" s="31">
        <f t="shared" si="7"/>
        <v>3224</v>
      </c>
      <c r="G104" s="31">
        <v>0</v>
      </c>
      <c r="H104" s="31"/>
      <c r="I104" s="31">
        <f>노임!D13</f>
        <v>167081</v>
      </c>
      <c r="J104" s="31">
        <f>TRUNC(I104*C104,0)</f>
        <v>3224</v>
      </c>
      <c r="K104" s="31">
        <v>0</v>
      </c>
      <c r="L104" s="31"/>
      <c r="M104" s="22" t="s">
        <v>2859</v>
      </c>
      <c r="N104" t="s">
        <v>2859</v>
      </c>
      <c r="P104" t="s">
        <v>2435</v>
      </c>
      <c r="Q104" t="s">
        <v>2859</v>
      </c>
      <c r="R104" t="s">
        <v>485</v>
      </c>
      <c r="AA104" s="40" t="s">
        <v>907</v>
      </c>
      <c r="AB104" s="10">
        <f>(((일위대가_호표!J102*전역변수!C34)+(일위대가_호표!J103*전역변수!C34)+(일위대가_호표!J104*전역변수!C34)))*0.05</f>
        <v>1009.2</v>
      </c>
      <c r="AC104" s="40" t="s">
        <v>1545</v>
      </c>
      <c r="AD104" s="9">
        <f>$AB104</f>
        <v>1009.2</v>
      </c>
      <c r="BI104" s="34" t="str">
        <f>HYPERLINK("#노임!A13","L085 →")</f>
        <v>L085 →</v>
      </c>
    </row>
    <row r="105" spans="1:61" ht="18.399999999999999" customHeight="1" x14ac:dyDescent="0.15">
      <c r="A105" s="13" t="s">
        <v>1428</v>
      </c>
      <c r="B105" s="2" t="s">
        <v>2227</v>
      </c>
      <c r="C105" s="2">
        <v>1</v>
      </c>
      <c r="D105" s="2" t="s">
        <v>2293</v>
      </c>
      <c r="E105" s="31">
        <f t="shared" si="8"/>
        <v>0</v>
      </c>
      <c r="F105" s="31">
        <f t="shared" si="7"/>
        <v>1009</v>
      </c>
      <c r="G105" s="1"/>
      <c r="H105" s="31">
        <v>0</v>
      </c>
      <c r="I105" s="1"/>
      <c r="J105" s="31">
        <v>0</v>
      </c>
      <c r="K105" s="1"/>
      <c r="L105" s="31">
        <f>TRUNC(((((J102*전역변수!C34)+(J103*전역변수!C34)+(J104*전역변수!C34)))*0.05),0)</f>
        <v>1009</v>
      </c>
      <c r="M105" s="22" t="s">
        <v>2859</v>
      </c>
      <c r="N105" t="s">
        <v>2859</v>
      </c>
      <c r="P105" t="s">
        <v>1695</v>
      </c>
      <c r="Q105" t="s">
        <v>2859</v>
      </c>
      <c r="R105" t="s">
        <v>2417</v>
      </c>
      <c r="X105" t="s">
        <v>2770</v>
      </c>
    </row>
    <row r="106" spans="1:61" ht="18.399999999999999" customHeight="1" x14ac:dyDescent="0.15">
      <c r="A106" s="13" t="s">
        <v>891</v>
      </c>
      <c r="B106" s="2" t="s">
        <v>2859</v>
      </c>
      <c r="C106" s="2">
        <f>일위대가_별표!$AD686</f>
        <v>7.0000000000000001E-3</v>
      </c>
      <c r="D106" s="2" t="s">
        <v>2663</v>
      </c>
      <c r="E106" s="31">
        <f t="shared" si="8"/>
        <v>167081</v>
      </c>
      <c r="F106" s="31">
        <f t="shared" si="7"/>
        <v>1169</v>
      </c>
      <c r="G106" s="31">
        <v>0</v>
      </c>
      <c r="H106" s="31"/>
      <c r="I106" s="31">
        <f>노임!D13</f>
        <v>167081</v>
      </c>
      <c r="J106" s="31">
        <f>TRUNC(I106*C106,0)</f>
        <v>1169</v>
      </c>
      <c r="K106" s="31">
        <v>0</v>
      </c>
      <c r="L106" s="31"/>
      <c r="M106" s="22" t="s">
        <v>2859</v>
      </c>
      <c r="N106" t="s">
        <v>2859</v>
      </c>
      <c r="P106" t="s">
        <v>979</v>
      </c>
      <c r="Q106" t="s">
        <v>2859</v>
      </c>
      <c r="R106" t="s">
        <v>485</v>
      </c>
      <c r="AA106" s="40" t="s">
        <v>2113</v>
      </c>
      <c r="AB106" s="10">
        <f>(일위대가_호표!J106*전역변수!C34)*0.41</f>
        <v>479.28999999999996</v>
      </c>
      <c r="AC106" s="40" t="s">
        <v>2372</v>
      </c>
      <c r="AD106" s="9">
        <f>$AB106</f>
        <v>479.28999999999996</v>
      </c>
      <c r="BI106" s="34" t="str">
        <f>HYPERLINK("#노임!A13","L085 →")</f>
        <v>L085 →</v>
      </c>
    </row>
    <row r="107" spans="1:61" ht="18.399999999999999" customHeight="1" x14ac:dyDescent="0.15">
      <c r="A107" s="13" t="s">
        <v>1815</v>
      </c>
      <c r="B107" s="2" t="s">
        <v>547</v>
      </c>
      <c r="C107" s="2">
        <v>1</v>
      </c>
      <c r="D107" s="2" t="s">
        <v>2293</v>
      </c>
      <c r="E107" s="31">
        <f t="shared" si="8"/>
        <v>0</v>
      </c>
      <c r="F107" s="31">
        <f t="shared" si="7"/>
        <v>479</v>
      </c>
      <c r="G107" s="1"/>
      <c r="H107" s="31">
        <f>TRUNC(((J106*전역변수!C34)*0.41),0)</f>
        <v>479</v>
      </c>
      <c r="I107" s="1"/>
      <c r="J107" s="31">
        <v>0</v>
      </c>
      <c r="K107" s="1"/>
      <c r="L107" s="31">
        <v>0</v>
      </c>
      <c r="M107" s="22" t="s">
        <v>2859</v>
      </c>
      <c r="N107" t="s">
        <v>2859</v>
      </c>
      <c r="P107" t="s">
        <v>223</v>
      </c>
      <c r="Q107" t="s">
        <v>2859</v>
      </c>
      <c r="R107" t="s">
        <v>2417</v>
      </c>
      <c r="X107" t="s">
        <v>2402</v>
      </c>
    </row>
    <row r="108" spans="1:61" ht="18.399999999999999" customHeight="1" x14ac:dyDescent="0.15">
      <c r="A108" s="57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58"/>
    </row>
    <row r="109" spans="1:61" ht="18.399999999999999" customHeight="1" x14ac:dyDescent="0.15">
      <c r="A109" s="13" t="s">
        <v>2005</v>
      </c>
      <c r="B109" s="2" t="s">
        <v>2420</v>
      </c>
      <c r="C109" s="2">
        <v>1</v>
      </c>
      <c r="D109" s="2" t="s">
        <v>2212</v>
      </c>
      <c r="F109" s="31">
        <f t="shared" ref="F109:F116" si="9">H109+J109+L109</f>
        <v>41468</v>
      </c>
      <c r="H109" s="31">
        <f>TRUNC(H110+H111+H112+H113+H114+H115+H116,0)</f>
        <v>4160</v>
      </c>
      <c r="J109" s="31">
        <f>TRUNC(J110+J111+J112+J113+J114+J115+J116,0)</f>
        <v>36222</v>
      </c>
      <c r="L109" s="31">
        <f>TRUNC(L110+L111+L112+L113+L114+L115+L116,0)</f>
        <v>1086</v>
      </c>
      <c r="M109" s="22" t="s">
        <v>2859</v>
      </c>
      <c r="N109" t="s">
        <v>2859</v>
      </c>
      <c r="O109" t="s">
        <v>1328</v>
      </c>
    </row>
    <row r="110" spans="1:61" ht="18.399999999999999" customHeight="1" x14ac:dyDescent="0.15">
      <c r="A110" s="13" t="s">
        <v>2229</v>
      </c>
      <c r="B110" s="2" t="s">
        <v>1356</v>
      </c>
      <c r="C110" s="2">
        <f>일위대가_별표!$AD705</f>
        <v>8.8999999999999996E-2</v>
      </c>
      <c r="D110" s="2" t="s">
        <v>2128</v>
      </c>
      <c r="E110" s="31">
        <f t="shared" ref="E110:E116" si="10">G110+I110+K110</f>
        <v>29000</v>
      </c>
      <c r="F110" s="31">
        <f t="shared" si="9"/>
        <v>2581</v>
      </c>
      <c r="G110" s="31">
        <f>자재조서!E20</f>
        <v>29000</v>
      </c>
      <c r="H110" s="31">
        <f>TRUNC(G110*C110,0)</f>
        <v>2581</v>
      </c>
      <c r="I110" s="31">
        <v>0</v>
      </c>
      <c r="J110" s="31"/>
      <c r="K110" s="31">
        <v>0</v>
      </c>
      <c r="L110" s="31"/>
      <c r="M110" s="22" t="s">
        <v>2859</v>
      </c>
      <c r="N110" t="s">
        <v>2859</v>
      </c>
      <c r="P110" t="s">
        <v>322</v>
      </c>
      <c r="Q110" t="s">
        <v>2859</v>
      </c>
      <c r="R110" t="s">
        <v>1147</v>
      </c>
      <c r="BI110" s="34" t="str">
        <f>HYPERLINK("#자재조서!A20","M1059001 →")</f>
        <v>M1059001 →</v>
      </c>
    </row>
    <row r="111" spans="1:61" ht="18.399999999999999" customHeight="1" x14ac:dyDescent="0.15">
      <c r="A111" s="13" t="s">
        <v>1551</v>
      </c>
      <c r="B111" s="2" t="s">
        <v>1515</v>
      </c>
      <c r="C111" s="2">
        <f>일위대가_별표!$AD710</f>
        <v>3.0000000000000001E-3</v>
      </c>
      <c r="D111" s="2" t="s">
        <v>2128</v>
      </c>
      <c r="E111" s="31">
        <f t="shared" si="10"/>
        <v>23232</v>
      </c>
      <c r="F111" s="31">
        <f t="shared" si="9"/>
        <v>69</v>
      </c>
      <c r="G111" s="31">
        <f>자재조서!E21</f>
        <v>23232</v>
      </c>
      <c r="H111" s="31">
        <f>TRUNC(G111*C111,0)</f>
        <v>69</v>
      </c>
      <c r="I111" s="31">
        <v>0</v>
      </c>
      <c r="J111" s="31"/>
      <c r="K111" s="31">
        <v>0</v>
      </c>
      <c r="L111" s="31"/>
      <c r="M111" s="22" t="s">
        <v>2859</v>
      </c>
      <c r="N111" t="s">
        <v>2859</v>
      </c>
      <c r="P111" t="s">
        <v>2491</v>
      </c>
      <c r="Q111" t="s">
        <v>2859</v>
      </c>
      <c r="R111" t="s">
        <v>2519</v>
      </c>
      <c r="AA111" s="40" t="s">
        <v>2113</v>
      </c>
      <c r="AB111" s="10">
        <f>(일위대가_호표!H110+일위대가_호표!H111)*0.52</f>
        <v>1378</v>
      </c>
      <c r="AC111" s="40" t="s">
        <v>2372</v>
      </c>
      <c r="AD111" s="9">
        <f>$AB111</f>
        <v>1378</v>
      </c>
      <c r="BI111" s="34" t="str">
        <f>HYPERLINK("#자재조서!A21","M1059002 →")</f>
        <v>M1059002 →</v>
      </c>
    </row>
    <row r="112" spans="1:61" ht="18.399999999999999" customHeight="1" x14ac:dyDescent="0.15">
      <c r="A112" s="13" t="s">
        <v>46</v>
      </c>
      <c r="B112" s="2" t="s">
        <v>1067</v>
      </c>
      <c r="C112" s="2">
        <v>1</v>
      </c>
      <c r="D112" s="2" t="s">
        <v>2293</v>
      </c>
      <c r="E112" s="31">
        <f t="shared" si="10"/>
        <v>0</v>
      </c>
      <c r="F112" s="31">
        <f t="shared" si="9"/>
        <v>1378</v>
      </c>
      <c r="G112" s="1"/>
      <c r="H112" s="31">
        <f>TRUNC(((H110+H111)*0.52),0)</f>
        <v>1378</v>
      </c>
      <c r="I112" s="1"/>
      <c r="J112" s="31">
        <v>0</v>
      </c>
      <c r="K112" s="1"/>
      <c r="L112" s="31">
        <v>0</v>
      </c>
      <c r="M112" s="22" t="s">
        <v>2859</v>
      </c>
      <c r="N112" t="s">
        <v>2859</v>
      </c>
      <c r="P112" t="s">
        <v>1745</v>
      </c>
      <c r="Q112" t="s">
        <v>2859</v>
      </c>
      <c r="R112" t="s">
        <v>2417</v>
      </c>
      <c r="X112" t="s">
        <v>1696</v>
      </c>
      <c r="AA112" s="40" t="s">
        <v>2113</v>
      </c>
      <c r="AB112" s="10">
        <f>(일위대가_호표!H110+일위대가_호표!H111)*0.05</f>
        <v>132.5</v>
      </c>
      <c r="AC112" s="40" t="s">
        <v>2372</v>
      </c>
      <c r="AD112" s="9">
        <f>$AB112</f>
        <v>132.5</v>
      </c>
    </row>
    <row r="113" spans="1:61" ht="18.399999999999999" customHeight="1" x14ac:dyDescent="0.15">
      <c r="A113" s="13" t="s">
        <v>1035</v>
      </c>
      <c r="B113" s="2" t="s">
        <v>2431</v>
      </c>
      <c r="C113" s="2">
        <v>1</v>
      </c>
      <c r="D113" s="2" t="s">
        <v>2293</v>
      </c>
      <c r="E113" s="31">
        <f t="shared" si="10"/>
        <v>0</v>
      </c>
      <c r="F113" s="31">
        <f t="shared" si="9"/>
        <v>132</v>
      </c>
      <c r="G113" s="1"/>
      <c r="H113" s="31">
        <f>TRUNC(((H110+H111)*0.05),0)</f>
        <v>132</v>
      </c>
      <c r="I113" s="1"/>
      <c r="J113" s="31">
        <v>0</v>
      </c>
      <c r="K113" s="1"/>
      <c r="L113" s="31">
        <v>0</v>
      </c>
      <c r="M113" s="22" t="s">
        <v>2859</v>
      </c>
      <c r="N113" t="s">
        <v>2859</v>
      </c>
      <c r="P113" t="s">
        <v>1030</v>
      </c>
      <c r="Q113" t="s">
        <v>2859</v>
      </c>
      <c r="R113" t="s">
        <v>2417</v>
      </c>
      <c r="X113" t="s">
        <v>498</v>
      </c>
    </row>
    <row r="114" spans="1:61" ht="18.399999999999999" customHeight="1" x14ac:dyDescent="0.15">
      <c r="A114" s="13" t="s">
        <v>74</v>
      </c>
      <c r="B114" s="2" t="s">
        <v>2859</v>
      </c>
      <c r="C114" s="2">
        <f>일위대가_별표!$AD721</f>
        <v>0.1143</v>
      </c>
      <c r="D114" s="2" t="s">
        <v>2663</v>
      </c>
      <c r="E114" s="31">
        <f t="shared" si="10"/>
        <v>275108</v>
      </c>
      <c r="F114" s="31">
        <f t="shared" si="9"/>
        <v>31444</v>
      </c>
      <c r="G114" s="31">
        <v>0</v>
      </c>
      <c r="H114" s="31"/>
      <c r="I114" s="31">
        <f>노임!D3</f>
        <v>275108</v>
      </c>
      <c r="J114" s="31">
        <f>TRUNC(I114*C114,0)</f>
        <v>31444</v>
      </c>
      <c r="K114" s="31">
        <v>0</v>
      </c>
      <c r="L114" s="31"/>
      <c r="M114" s="22" t="s">
        <v>2859</v>
      </c>
      <c r="N114" t="s">
        <v>2859</v>
      </c>
      <c r="P114" t="s">
        <v>267</v>
      </c>
      <c r="Q114" t="s">
        <v>2859</v>
      </c>
      <c r="R114" t="s">
        <v>1953</v>
      </c>
      <c r="BI114" s="34" t="str">
        <f>HYPERLINK("#노임!A3","L004 →")</f>
        <v>L004 →</v>
      </c>
    </row>
    <row r="115" spans="1:61" ht="18.399999999999999" customHeight="1" x14ac:dyDescent="0.15">
      <c r="A115" s="13" t="s">
        <v>891</v>
      </c>
      <c r="B115" s="2" t="s">
        <v>2859</v>
      </c>
      <c r="C115" s="2">
        <f>일위대가_별표!$AD724</f>
        <v>2.86E-2</v>
      </c>
      <c r="D115" s="2" t="s">
        <v>2663</v>
      </c>
      <c r="E115" s="31">
        <f t="shared" si="10"/>
        <v>167081</v>
      </c>
      <c r="F115" s="31">
        <f t="shared" si="9"/>
        <v>4778</v>
      </c>
      <c r="G115" s="31">
        <v>0</v>
      </c>
      <c r="H115" s="31"/>
      <c r="I115" s="31">
        <f>노임!D13</f>
        <v>167081</v>
      </c>
      <c r="J115" s="31">
        <f>TRUNC(I115*C115,0)</f>
        <v>4778</v>
      </c>
      <c r="K115" s="31">
        <v>0</v>
      </c>
      <c r="L115" s="31"/>
      <c r="M115" s="22" t="s">
        <v>2859</v>
      </c>
      <c r="N115" t="s">
        <v>2859</v>
      </c>
      <c r="P115" t="s">
        <v>2435</v>
      </c>
      <c r="Q115" t="s">
        <v>2859</v>
      </c>
      <c r="R115" t="s">
        <v>485</v>
      </c>
      <c r="AA115" s="40" t="s">
        <v>907</v>
      </c>
      <c r="AB115" s="10">
        <f>((일위대가_호표!J114*전역변수!C34)+(일위대가_호표!J115*전역변수!C34))*0.03</f>
        <v>1086.6599999999999</v>
      </c>
      <c r="AC115" s="40" t="s">
        <v>1545</v>
      </c>
      <c r="AD115" s="9">
        <f>$AB115</f>
        <v>1086.6599999999999</v>
      </c>
      <c r="BI115" s="34" t="str">
        <f>HYPERLINK("#노임!A13","L085 →")</f>
        <v>L085 →</v>
      </c>
    </row>
    <row r="116" spans="1:61" ht="18.399999999999999" customHeight="1" x14ac:dyDescent="0.15">
      <c r="A116" s="13" t="s">
        <v>2592</v>
      </c>
      <c r="B116" s="2" t="s">
        <v>1672</v>
      </c>
      <c r="C116" s="2">
        <v>1</v>
      </c>
      <c r="D116" s="2" t="s">
        <v>2293</v>
      </c>
      <c r="E116" s="31">
        <f t="shared" si="10"/>
        <v>0</v>
      </c>
      <c r="F116" s="31">
        <f t="shared" si="9"/>
        <v>1086</v>
      </c>
      <c r="G116" s="1"/>
      <c r="H116" s="31">
        <v>0</v>
      </c>
      <c r="I116" s="1"/>
      <c r="J116" s="31">
        <v>0</v>
      </c>
      <c r="K116" s="1"/>
      <c r="L116" s="31">
        <f>TRUNC((((J114*전역변수!C34)+(J115*전역변수!C34))*0.03),0)</f>
        <v>1086</v>
      </c>
      <c r="M116" s="22" t="s">
        <v>2859</v>
      </c>
      <c r="N116" t="s">
        <v>2859</v>
      </c>
      <c r="P116" t="s">
        <v>1695</v>
      </c>
      <c r="Q116" t="s">
        <v>2859</v>
      </c>
      <c r="R116" t="s">
        <v>2417</v>
      </c>
      <c r="X116" t="s">
        <v>2574</v>
      </c>
    </row>
    <row r="117" spans="1:61" ht="18.399999999999999" customHeight="1" x14ac:dyDescent="0.15">
      <c r="A117" s="57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58"/>
    </row>
    <row r="118" spans="1:61" ht="18.399999999999999" customHeight="1" x14ac:dyDescent="0.15">
      <c r="A118" s="13" t="s">
        <v>294</v>
      </c>
      <c r="B118" s="2" t="s">
        <v>989</v>
      </c>
      <c r="C118" s="2">
        <v>1</v>
      </c>
      <c r="D118" s="2" t="s">
        <v>2212</v>
      </c>
      <c r="F118" s="31">
        <f t="shared" ref="F118:F125" si="11">H118+J118+L118</f>
        <v>51719</v>
      </c>
      <c r="H118" s="31">
        <f>TRUNC(H120+H121+H122+H123+H124+H125,0)</f>
        <v>13358</v>
      </c>
      <c r="J118" s="31">
        <f>TRUNC(J120+J121+J122+J123+J124+J125,0)</f>
        <v>37982</v>
      </c>
      <c r="L118" s="31">
        <f>TRUNC(L120+L121+L122+L123+L124+L125,0)</f>
        <v>379</v>
      </c>
      <c r="M118" s="22" t="s">
        <v>2859</v>
      </c>
      <c r="N118" t="s">
        <v>2859</v>
      </c>
      <c r="O118" t="s">
        <v>1192</v>
      </c>
    </row>
    <row r="119" spans="1:61" ht="18.399999999999999" customHeight="1" x14ac:dyDescent="0.15">
      <c r="A119" s="13" t="s">
        <v>1200</v>
      </c>
      <c r="B119" s="2" t="s">
        <v>2859</v>
      </c>
      <c r="C119" s="2"/>
      <c r="D119" s="2" t="s">
        <v>2859</v>
      </c>
      <c r="E119" s="31">
        <f t="shared" ref="E119:E125" si="12">G119+I119+K119</f>
        <v>0</v>
      </c>
      <c r="F119" s="31">
        <f t="shared" si="11"/>
        <v>0</v>
      </c>
      <c r="G119" s="1"/>
      <c r="H119" s="31">
        <v>0</v>
      </c>
      <c r="I119" s="1"/>
      <c r="J119" s="31">
        <v>0</v>
      </c>
      <c r="K119" s="1"/>
      <c r="L119" s="31">
        <v>0</v>
      </c>
      <c r="M119" s="22" t="s">
        <v>2859</v>
      </c>
      <c r="N119" t="s">
        <v>2859</v>
      </c>
      <c r="P119" t="s">
        <v>322</v>
      </c>
      <c r="Q119" t="s">
        <v>2859</v>
      </c>
      <c r="R119" t="s">
        <v>2859</v>
      </c>
    </row>
    <row r="120" spans="1:61" ht="18.399999999999999" customHeight="1" x14ac:dyDescent="0.15">
      <c r="A120" s="13" t="s">
        <v>2670</v>
      </c>
      <c r="B120" s="2" t="s">
        <v>446</v>
      </c>
      <c r="C120" s="2">
        <v>0.39140000000000003</v>
      </c>
      <c r="D120" s="2" t="s">
        <v>2212</v>
      </c>
      <c r="E120" s="31">
        <f t="shared" si="12"/>
        <v>12172</v>
      </c>
      <c r="F120" s="31">
        <f t="shared" si="11"/>
        <v>4764</v>
      </c>
      <c r="G120" s="31">
        <f>자재조서!E57</f>
        <v>12172</v>
      </c>
      <c r="H120" s="31">
        <f>TRUNC(G120*C120,0)</f>
        <v>4764</v>
      </c>
      <c r="I120" s="31">
        <v>0</v>
      </c>
      <c r="J120" s="31"/>
      <c r="K120" s="31">
        <v>0</v>
      </c>
      <c r="L120" s="31"/>
      <c r="M120" s="22" t="s">
        <v>2859</v>
      </c>
      <c r="N120" t="s">
        <v>2859</v>
      </c>
      <c r="P120" t="s">
        <v>2491</v>
      </c>
      <c r="Q120" t="s">
        <v>2859</v>
      </c>
      <c r="R120" t="s">
        <v>663</v>
      </c>
      <c r="BI120" s="34" t="str">
        <f>HYPERLINK("#자재조서!A57","M4329011 →")</f>
        <v>M4329011 →</v>
      </c>
    </row>
    <row r="121" spans="1:61" ht="18.399999999999999" customHeight="1" x14ac:dyDescent="0.15">
      <c r="A121" s="13" t="s">
        <v>2124</v>
      </c>
      <c r="B121" s="2" t="s">
        <v>2859</v>
      </c>
      <c r="C121" s="2">
        <v>1.44E-2</v>
      </c>
      <c r="D121" s="2" t="s">
        <v>1085</v>
      </c>
      <c r="E121" s="31">
        <f t="shared" si="12"/>
        <v>528153</v>
      </c>
      <c r="F121" s="31">
        <f t="shared" si="11"/>
        <v>7605</v>
      </c>
      <c r="G121" s="31">
        <f>TRUNC(자재조서!E4*V121/U121,0)</f>
        <v>528153</v>
      </c>
      <c r="H121" s="31">
        <f>TRUNC(G121*C121,0)</f>
        <v>7605</v>
      </c>
      <c r="I121" s="31">
        <v>0</v>
      </c>
      <c r="J121" s="31"/>
      <c r="K121" s="31">
        <v>0</v>
      </c>
      <c r="L121" s="31"/>
      <c r="M121" s="22" t="s">
        <v>2859</v>
      </c>
      <c r="N121" t="s">
        <v>2859</v>
      </c>
      <c r="P121" t="s">
        <v>1745</v>
      </c>
      <c r="Q121" t="s">
        <v>2859</v>
      </c>
      <c r="R121" t="s">
        <v>1622</v>
      </c>
      <c r="U121">
        <v>1</v>
      </c>
      <c r="V121">
        <v>1</v>
      </c>
      <c r="AA121" s="40" t="s">
        <v>2113</v>
      </c>
      <c r="AB121" s="10">
        <f>(일위대가_호표!H120+일위대가_호표!H121)*0.08</f>
        <v>989.52</v>
      </c>
      <c r="AC121" s="40" t="s">
        <v>2372</v>
      </c>
      <c r="AD121" s="9">
        <f>$AB121</f>
        <v>989.52</v>
      </c>
      <c r="BI121" s="34" t="str">
        <f>HYPERLINK("#자재조서!A4","M000220 →")</f>
        <v>M000220 →</v>
      </c>
    </row>
    <row r="122" spans="1:61" ht="18.399999999999999" customHeight="1" x14ac:dyDescent="0.15">
      <c r="A122" s="13" t="s">
        <v>2154</v>
      </c>
      <c r="B122" s="2" t="s">
        <v>2078</v>
      </c>
      <c r="C122" s="2">
        <v>1</v>
      </c>
      <c r="D122" s="2" t="s">
        <v>2293</v>
      </c>
      <c r="E122" s="31">
        <f t="shared" si="12"/>
        <v>0</v>
      </c>
      <c r="F122" s="31">
        <f t="shared" si="11"/>
        <v>989</v>
      </c>
      <c r="G122" s="1"/>
      <c r="H122" s="31">
        <f>TRUNC(((H120+H121)*0.08),0)</f>
        <v>989</v>
      </c>
      <c r="I122" s="1"/>
      <c r="J122" s="31">
        <v>0</v>
      </c>
      <c r="K122" s="1"/>
      <c r="L122" s="31">
        <v>0</v>
      </c>
      <c r="M122" s="22" t="s">
        <v>2859</v>
      </c>
      <c r="N122" t="s">
        <v>2859</v>
      </c>
      <c r="P122" t="s">
        <v>1030</v>
      </c>
      <c r="Q122" t="s">
        <v>2859</v>
      </c>
      <c r="R122" t="s">
        <v>2417</v>
      </c>
      <c r="X122" t="s">
        <v>649</v>
      </c>
    </row>
    <row r="123" spans="1:61" ht="18.399999999999999" customHeight="1" x14ac:dyDescent="0.15">
      <c r="A123" s="13" t="s">
        <v>74</v>
      </c>
      <c r="B123" s="2" t="s">
        <v>922</v>
      </c>
      <c r="C123" s="2">
        <v>0.1111</v>
      </c>
      <c r="D123" s="2" t="s">
        <v>2663</v>
      </c>
      <c r="E123" s="31">
        <f t="shared" si="12"/>
        <v>275108</v>
      </c>
      <c r="F123" s="31">
        <f t="shared" si="11"/>
        <v>30564</v>
      </c>
      <c r="G123" s="31">
        <v>0</v>
      </c>
      <c r="H123" s="31"/>
      <c r="I123" s="31">
        <f>노임!D3</f>
        <v>275108</v>
      </c>
      <c r="J123" s="31">
        <f>TRUNC(I123*C123,0)</f>
        <v>30564</v>
      </c>
      <c r="K123" s="31">
        <v>0</v>
      </c>
      <c r="L123" s="31"/>
      <c r="M123" s="22" t="s">
        <v>2859</v>
      </c>
      <c r="N123" t="s">
        <v>2859</v>
      </c>
      <c r="P123" t="s">
        <v>267</v>
      </c>
      <c r="Q123" t="s">
        <v>2859</v>
      </c>
      <c r="R123" t="s">
        <v>1953</v>
      </c>
      <c r="BI123" s="34" t="str">
        <f>HYPERLINK("#노임!A3","L004 →")</f>
        <v>L004 →</v>
      </c>
    </row>
    <row r="124" spans="1:61" ht="18.399999999999999" customHeight="1" x14ac:dyDescent="0.15">
      <c r="A124" s="13" t="s">
        <v>891</v>
      </c>
      <c r="B124" s="2" t="s">
        <v>2487</v>
      </c>
      <c r="C124" s="2">
        <v>4.4400000000000002E-2</v>
      </c>
      <c r="D124" s="2" t="s">
        <v>2663</v>
      </c>
      <c r="E124" s="31">
        <f t="shared" si="12"/>
        <v>167081</v>
      </c>
      <c r="F124" s="31">
        <f t="shared" si="11"/>
        <v>7418</v>
      </c>
      <c r="G124" s="31">
        <v>0</v>
      </c>
      <c r="H124" s="31"/>
      <c r="I124" s="31">
        <f>노임!D13</f>
        <v>167081</v>
      </c>
      <c r="J124" s="31">
        <f>TRUNC(I124*C124,0)</f>
        <v>7418</v>
      </c>
      <c r="K124" s="31">
        <v>0</v>
      </c>
      <c r="L124" s="31"/>
      <c r="M124" s="22" t="s">
        <v>2859</v>
      </c>
      <c r="N124" t="s">
        <v>2859</v>
      </c>
      <c r="P124" t="s">
        <v>2435</v>
      </c>
      <c r="Q124" t="s">
        <v>2859</v>
      </c>
      <c r="R124" t="s">
        <v>485</v>
      </c>
      <c r="AA124" s="40" t="s">
        <v>907</v>
      </c>
      <c r="AB124" s="10">
        <f>((일위대가_호표!J123*전역변수!C34)+(일위대가_호표!J124*전역변수!C34))*0.01</f>
        <v>379.82</v>
      </c>
      <c r="AC124" s="40" t="s">
        <v>1545</v>
      </c>
      <c r="AD124" s="9">
        <f>$AB124</f>
        <v>379.82</v>
      </c>
      <c r="BI124" s="34" t="str">
        <f>HYPERLINK("#노임!A13","L085 →")</f>
        <v>L085 →</v>
      </c>
    </row>
    <row r="125" spans="1:61" ht="18.399999999999999" customHeight="1" x14ac:dyDescent="0.15">
      <c r="A125" s="13" t="s">
        <v>2384</v>
      </c>
      <c r="B125" s="2" t="s">
        <v>371</v>
      </c>
      <c r="C125" s="2">
        <v>1</v>
      </c>
      <c r="D125" s="2" t="s">
        <v>2293</v>
      </c>
      <c r="E125" s="31">
        <f t="shared" si="12"/>
        <v>0</v>
      </c>
      <c r="F125" s="31">
        <f t="shared" si="11"/>
        <v>379</v>
      </c>
      <c r="G125" s="1"/>
      <c r="H125" s="31">
        <v>0</v>
      </c>
      <c r="I125" s="1"/>
      <c r="J125" s="31">
        <v>0</v>
      </c>
      <c r="K125" s="1"/>
      <c r="L125" s="31">
        <f>TRUNC((((J123*전역변수!C34)+(J124*전역변수!C34))*0.01),0)</f>
        <v>379</v>
      </c>
      <c r="M125" s="22" t="s">
        <v>2859</v>
      </c>
      <c r="N125" t="s">
        <v>2859</v>
      </c>
      <c r="P125" t="s">
        <v>1695</v>
      </c>
      <c r="Q125" t="s">
        <v>2859</v>
      </c>
      <c r="R125" t="s">
        <v>2417</v>
      </c>
      <c r="X125" t="s">
        <v>1973</v>
      </c>
    </row>
    <row r="126" spans="1:61" ht="18.399999999999999" customHeight="1" x14ac:dyDescent="0.15">
      <c r="A126" s="57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58"/>
    </row>
    <row r="127" spans="1:61" ht="18.399999999999999" customHeight="1" x14ac:dyDescent="0.15">
      <c r="A127" s="13" t="s">
        <v>1549</v>
      </c>
      <c r="B127" s="2" t="s">
        <v>590</v>
      </c>
      <c r="C127" s="2">
        <v>1</v>
      </c>
      <c r="D127" s="2" t="s">
        <v>2212</v>
      </c>
      <c r="F127" s="31">
        <f t="shared" ref="F127:F134" si="13">H127+J127+L127</f>
        <v>46353</v>
      </c>
      <c r="H127" s="31">
        <f>TRUNC(H129+H130+H131+H132+H133+H134,0)</f>
        <v>11819</v>
      </c>
      <c r="J127" s="31">
        <f>TRUNC(J129+J130+J131+J132+J133+J134,0)</f>
        <v>34193</v>
      </c>
      <c r="L127" s="31">
        <f>TRUNC(L129+L130+L131+L132+L133+L134,0)</f>
        <v>341</v>
      </c>
      <c r="M127" s="22" t="s">
        <v>2859</v>
      </c>
      <c r="N127" t="s">
        <v>2859</v>
      </c>
      <c r="O127" t="s">
        <v>754</v>
      </c>
    </row>
    <row r="128" spans="1:61" ht="18.399999999999999" customHeight="1" x14ac:dyDescent="0.15">
      <c r="A128" s="13" t="s">
        <v>2153</v>
      </c>
      <c r="B128" s="2" t="s">
        <v>2859</v>
      </c>
      <c r="C128" s="2"/>
      <c r="D128" s="2" t="s">
        <v>2859</v>
      </c>
      <c r="E128" s="31">
        <f t="shared" ref="E128:E134" si="14">G128+I128+K128</f>
        <v>0</v>
      </c>
      <c r="F128" s="31">
        <f t="shared" si="13"/>
        <v>0</v>
      </c>
      <c r="G128" s="1"/>
      <c r="H128" s="31">
        <v>0</v>
      </c>
      <c r="I128" s="1"/>
      <c r="J128" s="31">
        <v>0</v>
      </c>
      <c r="K128" s="1"/>
      <c r="L128" s="31">
        <v>0</v>
      </c>
      <c r="M128" s="22" t="s">
        <v>2859</v>
      </c>
      <c r="N128" t="s">
        <v>2859</v>
      </c>
      <c r="P128" t="s">
        <v>322</v>
      </c>
      <c r="Q128" t="s">
        <v>2859</v>
      </c>
      <c r="R128" t="s">
        <v>2859</v>
      </c>
    </row>
    <row r="129" spans="1:61" ht="18.399999999999999" customHeight="1" x14ac:dyDescent="0.15">
      <c r="A129" s="13" t="s">
        <v>2670</v>
      </c>
      <c r="B129" s="2" t="s">
        <v>446</v>
      </c>
      <c r="C129" s="2">
        <v>0.33679999999999999</v>
      </c>
      <c r="D129" s="2" t="s">
        <v>2212</v>
      </c>
      <c r="E129" s="31">
        <f t="shared" si="14"/>
        <v>12172</v>
      </c>
      <c r="F129" s="31">
        <f t="shared" si="13"/>
        <v>4099</v>
      </c>
      <c r="G129" s="31">
        <f>자재조서!E57</f>
        <v>12172</v>
      </c>
      <c r="H129" s="31">
        <f>TRUNC(G129*C129,0)</f>
        <v>4099</v>
      </c>
      <c r="I129" s="31">
        <v>0</v>
      </c>
      <c r="J129" s="31"/>
      <c r="K129" s="31">
        <v>0</v>
      </c>
      <c r="L129" s="31"/>
      <c r="M129" s="22" t="s">
        <v>2859</v>
      </c>
      <c r="N129" t="s">
        <v>2859</v>
      </c>
      <c r="P129" t="s">
        <v>2491</v>
      </c>
      <c r="Q129" t="s">
        <v>2859</v>
      </c>
      <c r="R129" t="s">
        <v>663</v>
      </c>
      <c r="BI129" s="34" t="str">
        <f>HYPERLINK("#자재조서!A57","M4329011 →")</f>
        <v>M4329011 →</v>
      </c>
    </row>
    <row r="130" spans="1:61" ht="18.399999999999999" customHeight="1" x14ac:dyDescent="0.15">
      <c r="A130" s="13" t="s">
        <v>2637</v>
      </c>
      <c r="B130" s="2" t="s">
        <v>2205</v>
      </c>
      <c r="C130" s="2">
        <v>1.24E-2</v>
      </c>
      <c r="D130" s="2" t="s">
        <v>2066</v>
      </c>
      <c r="E130" s="31">
        <f t="shared" si="14"/>
        <v>528153</v>
      </c>
      <c r="F130" s="31">
        <f t="shared" si="13"/>
        <v>6549</v>
      </c>
      <c r="G130" s="31">
        <f>자재조서!E4</f>
        <v>528153</v>
      </c>
      <c r="H130" s="31">
        <f>TRUNC(G130*C130,0)</f>
        <v>6549</v>
      </c>
      <c r="I130" s="31">
        <v>0</v>
      </c>
      <c r="J130" s="31"/>
      <c r="K130" s="31">
        <v>0</v>
      </c>
      <c r="L130" s="31"/>
      <c r="M130" s="22" t="s">
        <v>2859</v>
      </c>
      <c r="N130" t="s">
        <v>2859</v>
      </c>
      <c r="P130" t="s">
        <v>1745</v>
      </c>
      <c r="Q130" t="s">
        <v>2859</v>
      </c>
      <c r="R130" t="s">
        <v>1622</v>
      </c>
      <c r="AA130" s="40" t="s">
        <v>2113</v>
      </c>
      <c r="AB130" s="10">
        <f>(일위대가_호표!H129+일위대가_호표!H130)*0.11</f>
        <v>1171.28</v>
      </c>
      <c r="AC130" s="40" t="s">
        <v>2372</v>
      </c>
      <c r="AD130" s="9">
        <f>$AB130</f>
        <v>1171.28</v>
      </c>
      <c r="BI130" s="34" t="str">
        <f>HYPERLINK("#자재조서!A4","M000220 →")</f>
        <v>M000220 →</v>
      </c>
    </row>
    <row r="131" spans="1:61" ht="18.399999999999999" customHeight="1" x14ac:dyDescent="0.15">
      <c r="A131" s="13" t="s">
        <v>2154</v>
      </c>
      <c r="B131" s="2" t="s">
        <v>1593</v>
      </c>
      <c r="C131" s="2">
        <v>1</v>
      </c>
      <c r="D131" s="2" t="s">
        <v>2293</v>
      </c>
      <c r="E131" s="31">
        <f t="shared" si="14"/>
        <v>0</v>
      </c>
      <c r="F131" s="31">
        <f t="shared" si="13"/>
        <v>1171</v>
      </c>
      <c r="G131" s="1"/>
      <c r="H131" s="31">
        <f>TRUNC(((H129+H130)*0.11),0)</f>
        <v>1171</v>
      </c>
      <c r="I131" s="1"/>
      <c r="J131" s="31">
        <v>0</v>
      </c>
      <c r="K131" s="1"/>
      <c r="L131" s="31">
        <v>0</v>
      </c>
      <c r="M131" s="22" t="s">
        <v>2859</v>
      </c>
      <c r="N131" t="s">
        <v>2859</v>
      </c>
      <c r="P131" t="s">
        <v>1030</v>
      </c>
      <c r="Q131" t="s">
        <v>2859</v>
      </c>
      <c r="R131" t="s">
        <v>2417</v>
      </c>
      <c r="X131" t="s">
        <v>2001</v>
      </c>
    </row>
    <row r="132" spans="1:61" ht="18.399999999999999" customHeight="1" x14ac:dyDescent="0.15">
      <c r="A132" s="13" t="s">
        <v>74</v>
      </c>
      <c r="B132" s="2" t="s">
        <v>2179</v>
      </c>
      <c r="C132" s="2">
        <v>0.1</v>
      </c>
      <c r="D132" s="2" t="s">
        <v>2663</v>
      </c>
      <c r="E132" s="31">
        <f t="shared" si="14"/>
        <v>275108</v>
      </c>
      <c r="F132" s="31">
        <f t="shared" si="13"/>
        <v>27510</v>
      </c>
      <c r="G132" s="31">
        <v>0</v>
      </c>
      <c r="H132" s="31"/>
      <c r="I132" s="31">
        <f>노임!D3</f>
        <v>275108</v>
      </c>
      <c r="J132" s="31">
        <f>TRUNC(I132*C132,0)</f>
        <v>27510</v>
      </c>
      <c r="K132" s="31">
        <v>0</v>
      </c>
      <c r="L132" s="31"/>
      <c r="M132" s="22" t="s">
        <v>2859</v>
      </c>
      <c r="N132" t="s">
        <v>2859</v>
      </c>
      <c r="P132" t="s">
        <v>267</v>
      </c>
      <c r="Q132" t="s">
        <v>2859</v>
      </c>
      <c r="R132" t="s">
        <v>1953</v>
      </c>
      <c r="BI132" s="34" t="str">
        <f>HYPERLINK("#노임!A3","L004 →")</f>
        <v>L004 →</v>
      </c>
    </row>
    <row r="133" spans="1:61" ht="18.399999999999999" customHeight="1" x14ac:dyDescent="0.15">
      <c r="A133" s="13" t="s">
        <v>891</v>
      </c>
      <c r="B133" s="2" t="s">
        <v>818</v>
      </c>
      <c r="C133" s="2">
        <v>0.04</v>
      </c>
      <c r="D133" s="2" t="s">
        <v>2663</v>
      </c>
      <c r="E133" s="31">
        <f t="shared" si="14"/>
        <v>167081</v>
      </c>
      <c r="F133" s="31">
        <f t="shared" si="13"/>
        <v>6683</v>
      </c>
      <c r="G133" s="31">
        <v>0</v>
      </c>
      <c r="H133" s="31"/>
      <c r="I133" s="31">
        <f>노임!D13</f>
        <v>167081</v>
      </c>
      <c r="J133" s="31">
        <f>TRUNC(I133*C133,0)</f>
        <v>6683</v>
      </c>
      <c r="K133" s="31">
        <v>0</v>
      </c>
      <c r="L133" s="31"/>
      <c r="M133" s="22" t="s">
        <v>2859</v>
      </c>
      <c r="N133" t="s">
        <v>2859</v>
      </c>
      <c r="P133" t="s">
        <v>2435</v>
      </c>
      <c r="Q133" t="s">
        <v>2859</v>
      </c>
      <c r="R133" t="s">
        <v>485</v>
      </c>
      <c r="AA133" s="40" t="s">
        <v>907</v>
      </c>
      <c r="AB133" s="10">
        <f>((일위대가_호표!J132*전역변수!C34)+(일위대가_호표!J133*전역변수!C34))*0.01</f>
        <v>341.93</v>
      </c>
      <c r="AC133" s="40" t="s">
        <v>1545</v>
      </c>
      <c r="AD133" s="9">
        <f>$AB133</f>
        <v>341.93</v>
      </c>
      <c r="BI133" s="34" t="str">
        <f>HYPERLINK("#노임!A13","L085 →")</f>
        <v>L085 →</v>
      </c>
    </row>
    <row r="134" spans="1:61" ht="18.399999999999999" customHeight="1" x14ac:dyDescent="0.15">
      <c r="A134" s="13" t="s">
        <v>2384</v>
      </c>
      <c r="B134" s="2" t="s">
        <v>371</v>
      </c>
      <c r="C134" s="2">
        <v>1</v>
      </c>
      <c r="D134" s="2" t="s">
        <v>2293</v>
      </c>
      <c r="E134" s="31">
        <f t="shared" si="14"/>
        <v>0</v>
      </c>
      <c r="F134" s="31">
        <f t="shared" si="13"/>
        <v>341</v>
      </c>
      <c r="G134" s="1"/>
      <c r="H134" s="31">
        <v>0</v>
      </c>
      <c r="I134" s="1"/>
      <c r="J134" s="31">
        <v>0</v>
      </c>
      <c r="K134" s="1"/>
      <c r="L134" s="31">
        <f>TRUNC((((J132*전역변수!C34)+(J133*전역변수!C34))*0.01),0)</f>
        <v>341</v>
      </c>
      <c r="M134" s="22" t="s">
        <v>2859</v>
      </c>
      <c r="N134" t="s">
        <v>2859</v>
      </c>
      <c r="P134" t="s">
        <v>1695</v>
      </c>
      <c r="Q134" t="s">
        <v>2859</v>
      </c>
      <c r="R134" t="s">
        <v>2417</v>
      </c>
      <c r="X134" t="s">
        <v>2789</v>
      </c>
    </row>
    <row r="135" spans="1:61" ht="18.399999999999999" customHeight="1" x14ac:dyDescent="0.15">
      <c r="A135" s="57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58"/>
    </row>
    <row r="136" spans="1:61" ht="18.399999999999999" customHeight="1" x14ac:dyDescent="0.15">
      <c r="A136" s="13" t="s">
        <v>2109</v>
      </c>
      <c r="B136" s="2" t="s">
        <v>2343</v>
      </c>
      <c r="C136" s="2">
        <v>1</v>
      </c>
      <c r="D136" s="2" t="s">
        <v>2471</v>
      </c>
      <c r="F136" s="31">
        <f t="shared" ref="F136:F141" si="15">H136+J136+L136</f>
        <v>961592</v>
      </c>
      <c r="H136" s="31">
        <f>TRUNC(H138+H139+H140+H141,0)</f>
        <v>13840</v>
      </c>
      <c r="J136" s="31">
        <f>TRUNC(J138+J139+J140+J141,0)</f>
        <v>929169</v>
      </c>
      <c r="L136" s="31">
        <f>TRUNC(L138+L139+L140+L141,0)</f>
        <v>18583</v>
      </c>
      <c r="M136" s="22" t="s">
        <v>2859</v>
      </c>
      <c r="N136" t="s">
        <v>2859</v>
      </c>
      <c r="O136" t="s">
        <v>204</v>
      </c>
    </row>
    <row r="137" spans="1:61" ht="18.399999999999999" customHeight="1" x14ac:dyDescent="0.15">
      <c r="A137" s="13" t="s">
        <v>2363</v>
      </c>
      <c r="B137" s="2" t="s">
        <v>2859</v>
      </c>
      <c r="C137" s="2"/>
      <c r="D137" s="2" t="s">
        <v>2859</v>
      </c>
      <c r="E137" s="31">
        <f>G137+I137+K137</f>
        <v>0</v>
      </c>
      <c r="F137" s="31">
        <f t="shared" si="15"/>
        <v>0</v>
      </c>
      <c r="G137" s="1"/>
      <c r="H137" s="31">
        <v>0</v>
      </c>
      <c r="I137" s="1"/>
      <c r="J137" s="31">
        <v>0</v>
      </c>
      <c r="K137" s="1"/>
      <c r="L137" s="31">
        <v>0</v>
      </c>
      <c r="M137" s="22" t="s">
        <v>2859</v>
      </c>
      <c r="N137" t="s">
        <v>2859</v>
      </c>
      <c r="P137" t="s">
        <v>322</v>
      </c>
      <c r="Q137" t="s">
        <v>2859</v>
      </c>
      <c r="R137" t="s">
        <v>2859</v>
      </c>
    </row>
    <row r="138" spans="1:61" ht="18.399999999999999" customHeight="1" x14ac:dyDescent="0.15">
      <c r="A138" s="13" t="s">
        <v>1225</v>
      </c>
      <c r="B138" s="2" t="s">
        <v>9</v>
      </c>
      <c r="C138" s="2">
        <v>2.75</v>
      </c>
      <c r="D138" s="2" t="s">
        <v>2663</v>
      </c>
      <c r="E138" s="31">
        <f>G138+I138+K138</f>
        <v>261934</v>
      </c>
      <c r="F138" s="31">
        <f t="shared" si="15"/>
        <v>720318</v>
      </c>
      <c r="G138" s="31">
        <v>0</v>
      </c>
      <c r="H138" s="31"/>
      <c r="I138" s="31">
        <f>노임!D5</f>
        <v>261934</v>
      </c>
      <c r="J138" s="31">
        <f>TRUNC(I138*C138,0)</f>
        <v>720318</v>
      </c>
      <c r="K138" s="31">
        <v>0</v>
      </c>
      <c r="L138" s="31"/>
      <c r="M138" s="22" t="s">
        <v>2859</v>
      </c>
      <c r="N138" t="s">
        <v>2859</v>
      </c>
      <c r="P138" t="s">
        <v>1745</v>
      </c>
      <c r="Q138" t="s">
        <v>2859</v>
      </c>
      <c r="R138" t="s">
        <v>1723</v>
      </c>
      <c r="BI138" s="34" t="str">
        <f>HYPERLINK("#노임!A5","L008 →")</f>
        <v>L008 →</v>
      </c>
    </row>
    <row r="139" spans="1:61" ht="18.399999999999999" customHeight="1" x14ac:dyDescent="0.15">
      <c r="A139" s="13" t="s">
        <v>891</v>
      </c>
      <c r="B139" s="2" t="s">
        <v>1476</v>
      </c>
      <c r="C139" s="2">
        <v>1.25</v>
      </c>
      <c r="D139" s="2" t="s">
        <v>2663</v>
      </c>
      <c r="E139" s="31">
        <f>G139+I139+K139</f>
        <v>167081</v>
      </c>
      <c r="F139" s="31">
        <f t="shared" si="15"/>
        <v>208851</v>
      </c>
      <c r="G139" s="31">
        <v>0</v>
      </c>
      <c r="H139" s="31"/>
      <c r="I139" s="31">
        <f>노임!D13</f>
        <v>167081</v>
      </c>
      <c r="J139" s="31">
        <f>TRUNC(I139*C139,0)</f>
        <v>208851</v>
      </c>
      <c r="K139" s="31">
        <v>0</v>
      </c>
      <c r="L139" s="31"/>
      <c r="M139" s="22" t="s">
        <v>2859</v>
      </c>
      <c r="N139" t="s">
        <v>2859</v>
      </c>
      <c r="P139" t="s">
        <v>1030</v>
      </c>
      <c r="Q139" t="s">
        <v>2859</v>
      </c>
      <c r="R139" t="s">
        <v>485</v>
      </c>
      <c r="BI139" s="34" t="str">
        <f>HYPERLINK("#노임!A13","L085 →")</f>
        <v>L085 →</v>
      </c>
    </row>
    <row r="140" spans="1:61" ht="18.399999999999999" customHeight="1" x14ac:dyDescent="0.15">
      <c r="A140" s="13" t="s">
        <v>411</v>
      </c>
      <c r="B140" s="2" t="s">
        <v>2214</v>
      </c>
      <c r="C140" s="2">
        <v>8</v>
      </c>
      <c r="D140" s="2" t="s">
        <v>2831</v>
      </c>
      <c r="E140" s="31">
        <f>G140+I140+K140</f>
        <v>1730</v>
      </c>
      <c r="F140" s="31">
        <f t="shared" si="15"/>
        <v>13840</v>
      </c>
      <c r="G140" s="31">
        <f>자재조서!E12</f>
        <v>1730</v>
      </c>
      <c r="H140" s="31">
        <f>TRUNC(G140*C140,0)</f>
        <v>13840</v>
      </c>
      <c r="I140" s="31">
        <v>0</v>
      </c>
      <c r="J140" s="31"/>
      <c r="K140" s="31">
        <v>0</v>
      </c>
      <c r="L140" s="31"/>
      <c r="M140" s="22" t="s">
        <v>2859</v>
      </c>
      <c r="N140" t="s">
        <v>1257</v>
      </c>
      <c r="P140" t="s">
        <v>267</v>
      </c>
      <c r="Q140" t="s">
        <v>2859</v>
      </c>
      <c r="R140" t="s">
        <v>2341</v>
      </c>
      <c r="AA140" s="40" t="s">
        <v>907</v>
      </c>
      <c r="AB140" s="10">
        <f>((일위대가_호표!J138*전역변수!C34)+(일위대가_호표!J139*전역변수!C34))*0.02</f>
        <v>18583.38</v>
      </c>
      <c r="AC140" s="40" t="s">
        <v>1545</v>
      </c>
      <c r="AD140" s="9">
        <f>$AB140</f>
        <v>18583.38</v>
      </c>
      <c r="BI140" s="34" t="str">
        <f>HYPERLINK("#자재조서!A12","M0150003 →")</f>
        <v>M0150003 →</v>
      </c>
    </row>
    <row r="141" spans="1:61" ht="18.399999999999999" customHeight="1" x14ac:dyDescent="0.15">
      <c r="A141" s="13" t="s">
        <v>1950</v>
      </c>
      <c r="B141" s="2" t="s">
        <v>1924</v>
      </c>
      <c r="C141" s="2">
        <v>1</v>
      </c>
      <c r="D141" s="2" t="s">
        <v>2293</v>
      </c>
      <c r="E141" s="31">
        <f>G141+I141+K141</f>
        <v>0</v>
      </c>
      <c r="F141" s="31">
        <f t="shared" si="15"/>
        <v>18583</v>
      </c>
      <c r="G141" s="1"/>
      <c r="H141" s="31">
        <v>0</v>
      </c>
      <c r="I141" s="1"/>
      <c r="J141" s="31">
        <v>0</v>
      </c>
      <c r="K141" s="1"/>
      <c r="L141" s="31">
        <f>TRUNC((((J138*전역변수!C34)+(J139*전역변수!C34))*0.02),0)</f>
        <v>18583</v>
      </c>
      <c r="M141" s="22" t="s">
        <v>2859</v>
      </c>
      <c r="N141" t="s">
        <v>2859</v>
      </c>
      <c r="P141" t="s">
        <v>1670</v>
      </c>
      <c r="Q141" t="s">
        <v>2859</v>
      </c>
      <c r="R141" t="s">
        <v>2417</v>
      </c>
      <c r="X141" t="s">
        <v>356</v>
      </c>
    </row>
    <row r="142" spans="1:61" ht="18.399999999999999" customHeight="1" x14ac:dyDescent="0.15">
      <c r="A142" s="57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58"/>
    </row>
    <row r="143" spans="1:61" ht="18.399999999999999" customHeight="1" x14ac:dyDescent="0.15">
      <c r="A143" s="13" t="s">
        <v>1804</v>
      </c>
      <c r="B143" s="2" t="s">
        <v>1720</v>
      </c>
      <c r="C143" s="2">
        <v>1</v>
      </c>
      <c r="D143" s="2" t="s">
        <v>1091</v>
      </c>
      <c r="F143" s="31">
        <f t="shared" ref="F143:F149" si="16">H143+J143+L143</f>
        <v>55744</v>
      </c>
      <c r="H143" s="31">
        <f>TRUNC(H145+H146+H147+H148+H149,0)</f>
        <v>3398</v>
      </c>
      <c r="J143" s="31">
        <f>TRUNC(J145+J146+J147+J148+J149,0)</f>
        <v>45375</v>
      </c>
      <c r="L143" s="31">
        <f>TRUNC(L145+L146+L147+L148+L149,0)</f>
        <v>6971</v>
      </c>
      <c r="M143" s="22" t="s">
        <v>2859</v>
      </c>
      <c r="N143" t="s">
        <v>2859</v>
      </c>
      <c r="O143" t="s">
        <v>1569</v>
      </c>
    </row>
    <row r="144" spans="1:61" ht="18.399999999999999" customHeight="1" x14ac:dyDescent="0.15">
      <c r="A144" s="13" t="s">
        <v>665</v>
      </c>
      <c r="B144" s="2" t="s">
        <v>2859</v>
      </c>
      <c r="C144" s="2"/>
      <c r="D144" s="2" t="s">
        <v>2859</v>
      </c>
      <c r="E144" s="31">
        <f t="shared" ref="E144:E149" si="17">G144+I144+K144</f>
        <v>0</v>
      </c>
      <c r="F144" s="31">
        <f t="shared" si="16"/>
        <v>0</v>
      </c>
      <c r="G144" s="1"/>
      <c r="H144" s="31">
        <v>0</v>
      </c>
      <c r="I144" s="1"/>
      <c r="J144" s="31">
        <v>0</v>
      </c>
      <c r="K144" s="1"/>
      <c r="L144" s="31">
        <v>0</v>
      </c>
      <c r="M144" s="22" t="s">
        <v>2859</v>
      </c>
      <c r="N144" t="s">
        <v>2859</v>
      </c>
      <c r="P144" t="s">
        <v>322</v>
      </c>
      <c r="Q144" t="s">
        <v>2859</v>
      </c>
      <c r="R144" t="s">
        <v>2859</v>
      </c>
    </row>
    <row r="145" spans="1:61" ht="18.399999999999999" customHeight="1" x14ac:dyDescent="0.15">
      <c r="A145" s="13" t="s">
        <v>1521</v>
      </c>
      <c r="B145" s="2" t="s">
        <v>2483</v>
      </c>
      <c r="C145" s="2">
        <v>0.104</v>
      </c>
      <c r="D145" s="2" t="s">
        <v>2380</v>
      </c>
      <c r="E145" s="31">
        <f t="shared" si="17"/>
        <v>87664</v>
      </c>
      <c r="F145" s="31">
        <f t="shared" si="16"/>
        <v>9116</v>
      </c>
      <c r="G145" s="31">
        <f>중기사용료목록!E29</f>
        <v>17180</v>
      </c>
      <c r="H145" s="31">
        <f>TRUNC(G145*C145,0)</f>
        <v>1786</v>
      </c>
      <c r="I145" s="31">
        <f>중기사용료목록!F29</f>
        <v>48741</v>
      </c>
      <c r="J145" s="31">
        <f>TRUNC(I145*C145,0)</f>
        <v>5069</v>
      </c>
      <c r="K145" s="31">
        <f>중기사용료목록!G29</f>
        <v>21743</v>
      </c>
      <c r="L145" s="31">
        <f>TRUNC(K145*C145,0)</f>
        <v>2261</v>
      </c>
      <c r="M145" s="22" t="s">
        <v>2859</v>
      </c>
      <c r="N145" t="s">
        <v>2859</v>
      </c>
      <c r="P145" t="s">
        <v>1745</v>
      </c>
      <c r="Q145" t="s">
        <v>2859</v>
      </c>
      <c r="R145" t="s">
        <v>2191</v>
      </c>
      <c r="BI145" s="34" t="str">
        <f>HYPERLINK("#중기사용료목록!A29","E0021050010 →")</f>
        <v>E0021050010 →</v>
      </c>
    </row>
    <row r="146" spans="1:61" ht="18.399999999999999" customHeight="1" x14ac:dyDescent="0.15">
      <c r="A146" s="13" t="s">
        <v>534</v>
      </c>
      <c r="B146" s="2" t="s">
        <v>2859</v>
      </c>
      <c r="C146" s="2">
        <v>8.4000000000000005E-2</v>
      </c>
      <c r="D146" s="2" t="s">
        <v>2663</v>
      </c>
      <c r="E146" s="31">
        <f t="shared" si="17"/>
        <v>229664</v>
      </c>
      <c r="F146" s="31">
        <f t="shared" si="16"/>
        <v>19291</v>
      </c>
      <c r="G146" s="31">
        <v>0</v>
      </c>
      <c r="H146" s="31"/>
      <c r="I146" s="31">
        <f>노임!D8</f>
        <v>229664</v>
      </c>
      <c r="J146" s="31">
        <f>TRUNC(I146*C146,0)</f>
        <v>19291</v>
      </c>
      <c r="K146" s="31">
        <v>0</v>
      </c>
      <c r="L146" s="31"/>
      <c r="M146" s="22" t="s">
        <v>2859</v>
      </c>
      <c r="N146" t="s">
        <v>289</v>
      </c>
      <c r="P146" t="s">
        <v>1030</v>
      </c>
      <c r="Q146" t="s">
        <v>2859</v>
      </c>
      <c r="R146" t="s">
        <v>262</v>
      </c>
      <c r="BI146" s="34" t="str">
        <f>HYPERLINK("#노임!A8","L028 →")</f>
        <v>L028 →</v>
      </c>
    </row>
    <row r="147" spans="1:61" ht="18.399999999999999" customHeight="1" x14ac:dyDescent="0.15">
      <c r="A147" s="13" t="s">
        <v>891</v>
      </c>
      <c r="B147" s="2" t="s">
        <v>2859</v>
      </c>
      <c r="C147" s="2">
        <v>3.5999999999999997E-2</v>
      </c>
      <c r="D147" s="2" t="s">
        <v>2663</v>
      </c>
      <c r="E147" s="31">
        <f t="shared" si="17"/>
        <v>167081</v>
      </c>
      <c r="F147" s="31">
        <f t="shared" si="16"/>
        <v>6014</v>
      </c>
      <c r="G147" s="31">
        <v>0</v>
      </c>
      <c r="H147" s="31"/>
      <c r="I147" s="31">
        <f>노임!D13</f>
        <v>167081</v>
      </c>
      <c r="J147" s="31">
        <f>TRUNC(I147*C147,0)</f>
        <v>6014</v>
      </c>
      <c r="K147" s="31">
        <v>0</v>
      </c>
      <c r="L147" s="31"/>
      <c r="M147" s="22" t="s">
        <v>2859</v>
      </c>
      <c r="N147" t="s">
        <v>2859</v>
      </c>
      <c r="P147" t="s">
        <v>267</v>
      </c>
      <c r="Q147" t="s">
        <v>2859</v>
      </c>
      <c r="R147" t="s">
        <v>485</v>
      </c>
      <c r="BI147" s="34" t="str">
        <f>HYPERLINK("#노임!A13","L085 →")</f>
        <v>L085 →</v>
      </c>
    </row>
    <row r="148" spans="1:61" ht="18.399999999999999" customHeight="1" x14ac:dyDescent="0.15">
      <c r="A148" s="13" t="s">
        <v>917</v>
      </c>
      <c r="B148" s="2" t="s">
        <v>40</v>
      </c>
      <c r="C148" s="2">
        <v>0.4</v>
      </c>
      <c r="D148" s="2" t="s">
        <v>773</v>
      </c>
      <c r="E148" s="31">
        <f t="shared" si="17"/>
        <v>2520</v>
      </c>
      <c r="F148" s="31">
        <f t="shared" si="16"/>
        <v>1008</v>
      </c>
      <c r="G148" s="31">
        <f>자재조서!E44</f>
        <v>2520</v>
      </c>
      <c r="H148" s="31">
        <f>TRUNC(G148*C148,0)</f>
        <v>1008</v>
      </c>
      <c r="I148" s="31">
        <v>0</v>
      </c>
      <c r="J148" s="31"/>
      <c r="K148" s="31">
        <v>0</v>
      </c>
      <c r="L148" s="31"/>
      <c r="M148" s="22" t="s">
        <v>2859</v>
      </c>
      <c r="N148" t="s">
        <v>885</v>
      </c>
      <c r="P148" t="s">
        <v>2435</v>
      </c>
      <c r="Q148" t="s">
        <v>2859</v>
      </c>
      <c r="R148" t="s">
        <v>1483</v>
      </c>
      <c r="BI148" s="34" t="str">
        <f>HYPERLINK("#자재조서!A44","M1749407 →")</f>
        <v>M1749407 →</v>
      </c>
    </row>
    <row r="149" spans="1:61" ht="18.399999999999999" customHeight="1" x14ac:dyDescent="0.15">
      <c r="A149" s="13" t="s">
        <v>1319</v>
      </c>
      <c r="B149" s="2" t="s">
        <v>2152</v>
      </c>
      <c r="C149" s="2">
        <v>1</v>
      </c>
      <c r="D149" s="2" t="s">
        <v>1091</v>
      </c>
      <c r="E149" s="31">
        <f t="shared" si="17"/>
        <v>20315</v>
      </c>
      <c r="F149" s="31">
        <f t="shared" si="16"/>
        <v>20315</v>
      </c>
      <c r="G149" s="31">
        <f>일위대가목록!F32</f>
        <v>604</v>
      </c>
      <c r="H149" s="31">
        <f>TRUNC(G149*C149,0)</f>
        <v>604</v>
      </c>
      <c r="I149" s="31">
        <f>일위대가목록!G32</f>
        <v>15001</v>
      </c>
      <c r="J149" s="31">
        <f>TRUNC(I149*C149,0)</f>
        <v>15001</v>
      </c>
      <c r="K149" s="31">
        <f>일위대가목록!H32</f>
        <v>4710</v>
      </c>
      <c r="L149" s="31">
        <f>TRUNC(K149*C149,0)</f>
        <v>4710</v>
      </c>
      <c r="M149" s="22" t="s">
        <v>2859</v>
      </c>
      <c r="N149" t="s">
        <v>2859</v>
      </c>
      <c r="P149" t="s">
        <v>1695</v>
      </c>
      <c r="Q149" t="s">
        <v>2859</v>
      </c>
      <c r="R149" t="s">
        <v>1171</v>
      </c>
      <c r="T149" t="s">
        <v>1314</v>
      </c>
      <c r="BI149" s="34" t="str">
        <f>HYPERLINK("#일위대가목록!A32","K7011720 →")</f>
        <v>K7011720 →</v>
      </c>
    </row>
    <row r="150" spans="1:61" ht="18.399999999999999" customHeight="1" x14ac:dyDescent="0.15">
      <c r="A150" s="57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58"/>
    </row>
    <row r="151" spans="1:61" ht="18.399999999999999" customHeight="1" x14ac:dyDescent="0.15">
      <c r="A151" s="13" t="s">
        <v>2557</v>
      </c>
      <c r="B151" s="2" t="s">
        <v>2043</v>
      </c>
      <c r="C151" s="2">
        <v>1</v>
      </c>
      <c r="D151" s="2" t="s">
        <v>1091</v>
      </c>
      <c r="F151" s="31">
        <f t="shared" ref="F151:F157" si="18">H151+J151+L151</f>
        <v>79045</v>
      </c>
      <c r="H151" s="31">
        <f>TRUNC(H153+H154+H155+H156+H157,0)</f>
        <v>4681</v>
      </c>
      <c r="J151" s="31">
        <f>TRUNC(J153+J154+J155+J156+J157,0)</f>
        <v>66089</v>
      </c>
      <c r="L151" s="31">
        <f>TRUNC(L153+L154+L155+L156+L157,0)</f>
        <v>8275</v>
      </c>
      <c r="M151" s="22" t="s">
        <v>2859</v>
      </c>
      <c r="N151" t="s">
        <v>2859</v>
      </c>
      <c r="O151" t="s">
        <v>2161</v>
      </c>
    </row>
    <row r="152" spans="1:61" ht="18.399999999999999" customHeight="1" x14ac:dyDescent="0.15">
      <c r="A152" s="13" t="s">
        <v>665</v>
      </c>
      <c r="B152" s="2" t="s">
        <v>2859</v>
      </c>
      <c r="C152" s="2"/>
      <c r="D152" s="2" t="s">
        <v>2859</v>
      </c>
      <c r="E152" s="31">
        <f t="shared" ref="E152:E157" si="19">G152+I152+K152</f>
        <v>0</v>
      </c>
      <c r="F152" s="31">
        <f t="shared" si="18"/>
        <v>0</v>
      </c>
      <c r="G152" s="1"/>
      <c r="H152" s="31">
        <v>0</v>
      </c>
      <c r="I152" s="1"/>
      <c r="J152" s="31">
        <v>0</v>
      </c>
      <c r="K152" s="1"/>
      <c r="L152" s="31">
        <v>0</v>
      </c>
      <c r="M152" s="22" t="s">
        <v>2859</v>
      </c>
      <c r="N152" t="s">
        <v>2859</v>
      </c>
      <c r="P152" t="s">
        <v>322</v>
      </c>
      <c r="Q152" t="s">
        <v>2859</v>
      </c>
      <c r="R152" t="s">
        <v>2859</v>
      </c>
    </row>
    <row r="153" spans="1:61" ht="18.399999999999999" customHeight="1" x14ac:dyDescent="0.15">
      <c r="A153" s="13" t="s">
        <v>1521</v>
      </c>
      <c r="B153" s="2" t="s">
        <v>2483</v>
      </c>
      <c r="C153" s="2">
        <v>0.16400000000000001</v>
      </c>
      <c r="D153" s="2" t="s">
        <v>2380</v>
      </c>
      <c r="E153" s="31">
        <f t="shared" si="19"/>
        <v>87664</v>
      </c>
      <c r="F153" s="31">
        <f t="shared" si="18"/>
        <v>14375</v>
      </c>
      <c r="G153" s="31">
        <f>중기사용료목록!E29</f>
        <v>17180</v>
      </c>
      <c r="H153" s="31">
        <f>TRUNC(G153*C153,0)</f>
        <v>2817</v>
      </c>
      <c r="I153" s="31">
        <f>중기사용료목록!F29</f>
        <v>48741</v>
      </c>
      <c r="J153" s="31">
        <f>TRUNC(I153*C153,0)</f>
        <v>7993</v>
      </c>
      <c r="K153" s="31">
        <f>중기사용료목록!G29</f>
        <v>21743</v>
      </c>
      <c r="L153" s="31">
        <f>TRUNC(K153*C153,0)</f>
        <v>3565</v>
      </c>
      <c r="M153" s="22" t="s">
        <v>2859</v>
      </c>
      <c r="N153" t="s">
        <v>2859</v>
      </c>
      <c r="P153" t="s">
        <v>1745</v>
      </c>
      <c r="Q153" t="s">
        <v>2859</v>
      </c>
      <c r="R153" t="s">
        <v>2191</v>
      </c>
      <c r="BI153" s="34" t="str">
        <f>HYPERLINK("#중기사용료목록!A29","E0021050010 →")</f>
        <v>E0021050010 →</v>
      </c>
    </row>
    <row r="154" spans="1:61" ht="18.399999999999999" customHeight="1" x14ac:dyDescent="0.15">
      <c r="A154" s="13" t="s">
        <v>534</v>
      </c>
      <c r="B154" s="2" t="s">
        <v>2859</v>
      </c>
      <c r="C154" s="2">
        <v>0.14399999999999999</v>
      </c>
      <c r="D154" s="2" t="s">
        <v>2663</v>
      </c>
      <c r="E154" s="31">
        <f t="shared" si="19"/>
        <v>229664</v>
      </c>
      <c r="F154" s="31">
        <f t="shared" si="18"/>
        <v>33071</v>
      </c>
      <c r="G154" s="31">
        <v>0</v>
      </c>
      <c r="H154" s="31"/>
      <c r="I154" s="31">
        <f>노임!D8</f>
        <v>229664</v>
      </c>
      <c r="J154" s="31">
        <f>TRUNC(I154*C154,0)</f>
        <v>33071</v>
      </c>
      <c r="K154" s="31">
        <v>0</v>
      </c>
      <c r="L154" s="31"/>
      <c r="M154" s="22" t="s">
        <v>2859</v>
      </c>
      <c r="N154" t="s">
        <v>289</v>
      </c>
      <c r="P154" t="s">
        <v>1030</v>
      </c>
      <c r="Q154" t="s">
        <v>2859</v>
      </c>
      <c r="R154" t="s">
        <v>262</v>
      </c>
      <c r="BI154" s="34" t="str">
        <f>HYPERLINK("#노임!A8","L028 →")</f>
        <v>L028 →</v>
      </c>
    </row>
    <row r="155" spans="1:61" ht="18.399999999999999" customHeight="1" x14ac:dyDescent="0.15">
      <c r="A155" s="13" t="s">
        <v>891</v>
      </c>
      <c r="B155" s="2" t="s">
        <v>2859</v>
      </c>
      <c r="C155" s="2">
        <v>0.06</v>
      </c>
      <c r="D155" s="2" t="s">
        <v>2663</v>
      </c>
      <c r="E155" s="31">
        <f t="shared" si="19"/>
        <v>167081</v>
      </c>
      <c r="F155" s="31">
        <f t="shared" si="18"/>
        <v>10024</v>
      </c>
      <c r="G155" s="31">
        <v>0</v>
      </c>
      <c r="H155" s="31"/>
      <c r="I155" s="31">
        <f>노임!D13</f>
        <v>167081</v>
      </c>
      <c r="J155" s="31">
        <f>TRUNC(I155*C155,0)</f>
        <v>10024</v>
      </c>
      <c r="K155" s="31">
        <v>0</v>
      </c>
      <c r="L155" s="31"/>
      <c r="M155" s="22" t="s">
        <v>2859</v>
      </c>
      <c r="N155" t="s">
        <v>2859</v>
      </c>
      <c r="P155" t="s">
        <v>267</v>
      </c>
      <c r="Q155" t="s">
        <v>2859</v>
      </c>
      <c r="R155" t="s">
        <v>485</v>
      </c>
      <c r="BI155" s="34" t="str">
        <f>HYPERLINK("#노임!A13","L085 →")</f>
        <v>L085 →</v>
      </c>
    </row>
    <row r="156" spans="1:61" ht="18.399999999999999" customHeight="1" x14ac:dyDescent="0.15">
      <c r="A156" s="13" t="s">
        <v>917</v>
      </c>
      <c r="B156" s="2" t="s">
        <v>1933</v>
      </c>
      <c r="C156" s="2">
        <v>0.4</v>
      </c>
      <c r="D156" s="2" t="s">
        <v>773</v>
      </c>
      <c r="E156" s="31">
        <f t="shared" si="19"/>
        <v>3150</v>
      </c>
      <c r="F156" s="31">
        <f t="shared" si="18"/>
        <v>1260</v>
      </c>
      <c r="G156" s="31">
        <f>자재조서!E45</f>
        <v>3150</v>
      </c>
      <c r="H156" s="31">
        <f>TRUNC(G156*C156,0)</f>
        <v>1260</v>
      </c>
      <c r="I156" s="31">
        <v>0</v>
      </c>
      <c r="J156" s="31"/>
      <c r="K156" s="31">
        <v>0</v>
      </c>
      <c r="L156" s="31"/>
      <c r="M156" s="22" t="s">
        <v>2859</v>
      </c>
      <c r="N156" t="s">
        <v>885</v>
      </c>
      <c r="P156" t="s">
        <v>2435</v>
      </c>
      <c r="Q156" t="s">
        <v>2859</v>
      </c>
      <c r="R156" t="s">
        <v>1163</v>
      </c>
      <c r="BI156" s="34" t="str">
        <f>HYPERLINK("#자재조서!A45","M1749410 →")</f>
        <v>M1749410 →</v>
      </c>
    </row>
    <row r="157" spans="1:61" ht="18.399999999999999" customHeight="1" x14ac:dyDescent="0.15">
      <c r="A157" s="13" t="s">
        <v>1319</v>
      </c>
      <c r="B157" s="2" t="s">
        <v>2152</v>
      </c>
      <c r="C157" s="2">
        <v>1</v>
      </c>
      <c r="D157" s="2" t="s">
        <v>1091</v>
      </c>
      <c r="E157" s="31">
        <f t="shared" si="19"/>
        <v>20315</v>
      </c>
      <c r="F157" s="31">
        <f t="shared" si="18"/>
        <v>20315</v>
      </c>
      <c r="G157" s="31">
        <f>일위대가목록!F32</f>
        <v>604</v>
      </c>
      <c r="H157" s="31">
        <f>TRUNC(G157*C157,0)</f>
        <v>604</v>
      </c>
      <c r="I157" s="31">
        <f>일위대가목록!G32</f>
        <v>15001</v>
      </c>
      <c r="J157" s="31">
        <f>TRUNC(I157*C157,0)</f>
        <v>15001</v>
      </c>
      <c r="K157" s="31">
        <f>일위대가목록!H32</f>
        <v>4710</v>
      </c>
      <c r="L157" s="31">
        <f>TRUNC(K157*C157,0)</f>
        <v>4710</v>
      </c>
      <c r="M157" s="22" t="s">
        <v>2859</v>
      </c>
      <c r="N157" t="s">
        <v>2859</v>
      </c>
      <c r="P157" t="s">
        <v>1695</v>
      </c>
      <c r="Q157" t="s">
        <v>2859</v>
      </c>
      <c r="R157" t="s">
        <v>1171</v>
      </c>
      <c r="T157" t="s">
        <v>1314</v>
      </c>
      <c r="BI157" s="34" t="str">
        <f>HYPERLINK("#일위대가목록!A32","K7011720 →")</f>
        <v>K7011720 →</v>
      </c>
    </row>
    <row r="158" spans="1:61" ht="18.399999999999999" customHeight="1" x14ac:dyDescent="0.15">
      <c r="A158" s="57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58"/>
    </row>
    <row r="159" spans="1:61" ht="18.399999999999999" customHeight="1" x14ac:dyDescent="0.15">
      <c r="A159" s="13" t="s">
        <v>369</v>
      </c>
      <c r="B159" s="2" t="s">
        <v>622</v>
      </c>
      <c r="C159" s="2">
        <v>1</v>
      </c>
      <c r="D159" s="2" t="s">
        <v>1091</v>
      </c>
      <c r="F159" s="31">
        <f t="shared" ref="F159:F165" si="20">H159+J159+L159</f>
        <v>86941</v>
      </c>
      <c r="H159" s="31">
        <f>TRUNC(H161+H162+H163+H164+H165,0)</f>
        <v>5237</v>
      </c>
      <c r="J159" s="31">
        <f>TRUNC(J161+J162+J163+J164+J165,0)</f>
        <v>72994</v>
      </c>
      <c r="L159" s="31">
        <f>TRUNC(L161+L162+L163+L164+L165,0)</f>
        <v>8710</v>
      </c>
      <c r="M159" s="22" t="s">
        <v>2859</v>
      </c>
      <c r="N159" t="s">
        <v>2859</v>
      </c>
      <c r="O159" t="s">
        <v>134</v>
      </c>
    </row>
    <row r="160" spans="1:61" ht="18.399999999999999" customHeight="1" x14ac:dyDescent="0.15">
      <c r="A160" s="13" t="s">
        <v>665</v>
      </c>
      <c r="B160" s="2" t="s">
        <v>2859</v>
      </c>
      <c r="C160" s="2"/>
      <c r="D160" s="2" t="s">
        <v>2859</v>
      </c>
      <c r="E160" s="31">
        <f t="shared" ref="E160:E165" si="21">G160+I160+K160</f>
        <v>0</v>
      </c>
      <c r="F160" s="31">
        <f t="shared" si="20"/>
        <v>0</v>
      </c>
      <c r="G160" s="1"/>
      <c r="H160" s="31">
        <v>0</v>
      </c>
      <c r="I160" s="1"/>
      <c r="J160" s="31">
        <v>0</v>
      </c>
      <c r="K160" s="1"/>
      <c r="L160" s="31">
        <v>0</v>
      </c>
      <c r="M160" s="22" t="s">
        <v>2859</v>
      </c>
      <c r="N160" t="s">
        <v>2859</v>
      </c>
      <c r="P160" t="s">
        <v>322</v>
      </c>
      <c r="Q160" t="s">
        <v>2859</v>
      </c>
      <c r="R160" t="s">
        <v>2859</v>
      </c>
    </row>
    <row r="161" spans="1:61" ht="18.399999999999999" customHeight="1" x14ac:dyDescent="0.15">
      <c r="A161" s="13" t="s">
        <v>1521</v>
      </c>
      <c r="B161" s="2" t="s">
        <v>2483</v>
      </c>
      <c r="C161" s="2">
        <v>0.184</v>
      </c>
      <c r="D161" s="2" t="s">
        <v>2380</v>
      </c>
      <c r="E161" s="31">
        <f t="shared" si="21"/>
        <v>87664</v>
      </c>
      <c r="F161" s="31">
        <f t="shared" si="20"/>
        <v>16129</v>
      </c>
      <c r="G161" s="31">
        <f>중기사용료목록!E29</f>
        <v>17180</v>
      </c>
      <c r="H161" s="31">
        <f>TRUNC(G161*C161,0)</f>
        <v>3161</v>
      </c>
      <c r="I161" s="31">
        <f>중기사용료목록!F29</f>
        <v>48741</v>
      </c>
      <c r="J161" s="31">
        <f>TRUNC(I161*C161,0)</f>
        <v>8968</v>
      </c>
      <c r="K161" s="31">
        <f>중기사용료목록!G29</f>
        <v>21743</v>
      </c>
      <c r="L161" s="31">
        <f>TRUNC(K161*C161,0)</f>
        <v>4000</v>
      </c>
      <c r="M161" s="22" t="s">
        <v>2859</v>
      </c>
      <c r="N161" t="s">
        <v>2859</v>
      </c>
      <c r="P161" t="s">
        <v>1745</v>
      </c>
      <c r="Q161" t="s">
        <v>2859</v>
      </c>
      <c r="R161" t="s">
        <v>2191</v>
      </c>
      <c r="BI161" s="34" t="str">
        <f>HYPERLINK("#중기사용료목록!A29","E0021050010 →")</f>
        <v>E0021050010 →</v>
      </c>
    </row>
    <row r="162" spans="1:61" ht="18.399999999999999" customHeight="1" x14ac:dyDescent="0.15">
      <c r="A162" s="13" t="s">
        <v>534</v>
      </c>
      <c r="B162" s="2" t="s">
        <v>2859</v>
      </c>
      <c r="C162" s="2">
        <v>0.16400000000000001</v>
      </c>
      <c r="D162" s="2" t="s">
        <v>2663</v>
      </c>
      <c r="E162" s="31">
        <f t="shared" si="21"/>
        <v>229664</v>
      </c>
      <c r="F162" s="31">
        <f t="shared" si="20"/>
        <v>37664</v>
      </c>
      <c r="G162" s="31">
        <v>0</v>
      </c>
      <c r="H162" s="31"/>
      <c r="I162" s="31">
        <f>노임!D8</f>
        <v>229664</v>
      </c>
      <c r="J162" s="31">
        <f>TRUNC(I162*C162,0)</f>
        <v>37664</v>
      </c>
      <c r="K162" s="31">
        <v>0</v>
      </c>
      <c r="L162" s="31"/>
      <c r="M162" s="22" t="s">
        <v>2859</v>
      </c>
      <c r="N162" t="s">
        <v>289</v>
      </c>
      <c r="P162" t="s">
        <v>1030</v>
      </c>
      <c r="Q162" t="s">
        <v>2859</v>
      </c>
      <c r="R162" t="s">
        <v>262</v>
      </c>
      <c r="BI162" s="34" t="str">
        <f>HYPERLINK("#노임!A8","L028 →")</f>
        <v>L028 →</v>
      </c>
    </row>
    <row r="163" spans="1:61" ht="18.399999999999999" customHeight="1" x14ac:dyDescent="0.15">
      <c r="A163" s="13" t="s">
        <v>891</v>
      </c>
      <c r="B163" s="2" t="s">
        <v>2859</v>
      </c>
      <c r="C163" s="2">
        <v>6.8000000000000005E-2</v>
      </c>
      <c r="D163" s="2" t="s">
        <v>2663</v>
      </c>
      <c r="E163" s="31">
        <f t="shared" si="21"/>
        <v>167081</v>
      </c>
      <c r="F163" s="31">
        <f t="shared" si="20"/>
        <v>11361</v>
      </c>
      <c r="G163" s="31">
        <v>0</v>
      </c>
      <c r="H163" s="31"/>
      <c r="I163" s="31">
        <f>노임!D13</f>
        <v>167081</v>
      </c>
      <c r="J163" s="31">
        <f>TRUNC(I163*C163,0)</f>
        <v>11361</v>
      </c>
      <c r="K163" s="31">
        <v>0</v>
      </c>
      <c r="L163" s="31"/>
      <c r="M163" s="22" t="s">
        <v>2859</v>
      </c>
      <c r="N163" t="s">
        <v>2859</v>
      </c>
      <c r="P163" t="s">
        <v>267</v>
      </c>
      <c r="Q163" t="s">
        <v>2859</v>
      </c>
      <c r="R163" t="s">
        <v>485</v>
      </c>
      <c r="BI163" s="34" t="str">
        <f>HYPERLINK("#노임!A13","L085 →")</f>
        <v>L085 →</v>
      </c>
    </row>
    <row r="164" spans="1:61" ht="18.399999999999999" customHeight="1" x14ac:dyDescent="0.15">
      <c r="A164" s="13" t="s">
        <v>917</v>
      </c>
      <c r="B164" s="2" t="s">
        <v>1933</v>
      </c>
      <c r="C164" s="2">
        <v>0.4</v>
      </c>
      <c r="D164" s="2" t="s">
        <v>773</v>
      </c>
      <c r="E164" s="31">
        <f t="shared" si="21"/>
        <v>3680</v>
      </c>
      <c r="F164" s="31">
        <f t="shared" si="20"/>
        <v>1472</v>
      </c>
      <c r="G164" s="31">
        <f>자재조서!E46</f>
        <v>3680</v>
      </c>
      <c r="H164" s="31">
        <f>TRUNC(G164*C164,0)</f>
        <v>1472</v>
      </c>
      <c r="I164" s="31">
        <v>0</v>
      </c>
      <c r="J164" s="31"/>
      <c r="K164" s="31">
        <v>0</v>
      </c>
      <c r="L164" s="31"/>
      <c r="M164" s="22" t="s">
        <v>2859</v>
      </c>
      <c r="N164" t="s">
        <v>1529</v>
      </c>
      <c r="P164" t="s">
        <v>2435</v>
      </c>
      <c r="Q164" t="s">
        <v>2859</v>
      </c>
      <c r="R164" t="s">
        <v>1438</v>
      </c>
      <c r="BI164" s="34" t="str">
        <f>HYPERLINK("#자재조서!A46","M1749414 →")</f>
        <v>M1749414 →</v>
      </c>
    </row>
    <row r="165" spans="1:61" ht="18.399999999999999" customHeight="1" x14ac:dyDescent="0.15">
      <c r="A165" s="13" t="s">
        <v>1319</v>
      </c>
      <c r="B165" s="2" t="s">
        <v>2152</v>
      </c>
      <c r="C165" s="2">
        <v>1</v>
      </c>
      <c r="D165" s="2" t="s">
        <v>1091</v>
      </c>
      <c r="E165" s="31">
        <f t="shared" si="21"/>
        <v>20315</v>
      </c>
      <c r="F165" s="31">
        <f t="shared" si="20"/>
        <v>20315</v>
      </c>
      <c r="G165" s="31">
        <f>일위대가목록!F32</f>
        <v>604</v>
      </c>
      <c r="H165" s="31">
        <f>TRUNC(G165*C165,0)</f>
        <v>604</v>
      </c>
      <c r="I165" s="31">
        <f>일위대가목록!G32</f>
        <v>15001</v>
      </c>
      <c r="J165" s="31">
        <f>TRUNC(I165*C165,0)</f>
        <v>15001</v>
      </c>
      <c r="K165" s="31">
        <f>일위대가목록!H32</f>
        <v>4710</v>
      </c>
      <c r="L165" s="31">
        <f>TRUNC(K165*C165,0)</f>
        <v>4710</v>
      </c>
      <c r="M165" s="22" t="s">
        <v>2859</v>
      </c>
      <c r="N165" t="s">
        <v>2859</v>
      </c>
      <c r="P165" t="s">
        <v>1695</v>
      </c>
      <c r="Q165" t="s">
        <v>2859</v>
      </c>
      <c r="R165" t="s">
        <v>1171</v>
      </c>
      <c r="T165" t="s">
        <v>1314</v>
      </c>
      <c r="BI165" s="34" t="str">
        <f>HYPERLINK("#일위대가목록!A32","K7011720 →")</f>
        <v>K7011720 →</v>
      </c>
    </row>
    <row r="166" spans="1:61" ht="18.399999999999999" customHeight="1" x14ac:dyDescent="0.15">
      <c r="A166" s="57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58"/>
    </row>
    <row r="167" spans="1:61" ht="18.399999999999999" customHeight="1" x14ac:dyDescent="0.15">
      <c r="A167" s="13" t="s">
        <v>1124</v>
      </c>
      <c r="B167" s="2" t="s">
        <v>2222</v>
      </c>
      <c r="C167" s="2">
        <v>1</v>
      </c>
      <c r="D167" s="2" t="s">
        <v>1091</v>
      </c>
      <c r="F167" s="31">
        <f t="shared" ref="F167:F173" si="22">H167+J167+L167</f>
        <v>168392</v>
      </c>
      <c r="H167" s="31">
        <f>TRUNC(H169+H170+H171+H172+H173,0)</f>
        <v>10841</v>
      </c>
      <c r="J167" s="31">
        <f>TRUNC(J169+J170+J171+J172+J173,0)</f>
        <v>142041</v>
      </c>
      <c r="L167" s="31">
        <f>TRUNC(L169+L170+L171+L172+L173,0)</f>
        <v>15510</v>
      </c>
      <c r="M167" s="22" t="s">
        <v>2859</v>
      </c>
      <c r="N167" t="s">
        <v>2859</v>
      </c>
      <c r="O167" t="s">
        <v>1442</v>
      </c>
    </row>
    <row r="168" spans="1:61" ht="18.399999999999999" customHeight="1" x14ac:dyDescent="0.15">
      <c r="A168" s="13" t="s">
        <v>665</v>
      </c>
      <c r="B168" s="2" t="s">
        <v>2859</v>
      </c>
      <c r="C168" s="2"/>
      <c r="D168" s="2" t="s">
        <v>2859</v>
      </c>
      <c r="E168" s="31">
        <f t="shared" ref="E168:E173" si="23">G168+I168+K168</f>
        <v>0</v>
      </c>
      <c r="F168" s="31">
        <f t="shared" si="22"/>
        <v>0</v>
      </c>
      <c r="G168" s="1"/>
      <c r="H168" s="31">
        <v>0</v>
      </c>
      <c r="I168" s="1"/>
      <c r="J168" s="31">
        <v>0</v>
      </c>
      <c r="K168" s="1"/>
      <c r="L168" s="31">
        <v>0</v>
      </c>
      <c r="M168" s="22" t="s">
        <v>2859</v>
      </c>
      <c r="N168" t="s">
        <v>2859</v>
      </c>
      <c r="P168" t="s">
        <v>322</v>
      </c>
      <c r="Q168" t="s">
        <v>2859</v>
      </c>
      <c r="R168" t="s">
        <v>2859</v>
      </c>
    </row>
    <row r="169" spans="1:61" ht="18.399999999999999" customHeight="1" x14ac:dyDescent="0.15">
      <c r="A169" s="13" t="s">
        <v>1521</v>
      </c>
      <c r="B169" s="2" t="s">
        <v>1921</v>
      </c>
      <c r="C169" s="2">
        <v>0.38400000000000001</v>
      </c>
      <c r="D169" s="2" t="s">
        <v>2380</v>
      </c>
      <c r="E169" s="31">
        <f t="shared" si="23"/>
        <v>95215</v>
      </c>
      <c r="F169" s="31">
        <f t="shared" si="22"/>
        <v>36561</v>
      </c>
      <c r="G169" s="31">
        <f>중기사용료목록!E30</f>
        <v>18348</v>
      </c>
      <c r="H169" s="31">
        <f>TRUNC(G169*C169,0)</f>
        <v>7045</v>
      </c>
      <c r="I169" s="31">
        <f>중기사용료목록!F30</f>
        <v>48741</v>
      </c>
      <c r="J169" s="31">
        <f>TRUNC(I169*C169,0)</f>
        <v>18716</v>
      </c>
      <c r="K169" s="31">
        <f>중기사용료목록!G30</f>
        <v>28126</v>
      </c>
      <c r="L169" s="31">
        <f>TRUNC(K169*C169,0)</f>
        <v>10800</v>
      </c>
      <c r="M169" s="22" t="s">
        <v>2859</v>
      </c>
      <c r="N169" t="s">
        <v>2859</v>
      </c>
      <c r="P169" t="s">
        <v>1745</v>
      </c>
      <c r="Q169" t="s">
        <v>2859</v>
      </c>
      <c r="R169" t="s">
        <v>811</v>
      </c>
      <c r="BI169" s="34" t="str">
        <f>HYPERLINK("#중기사용료목록!A30","E0021050015 →")</f>
        <v>E0021050015 →</v>
      </c>
    </row>
    <row r="170" spans="1:61" ht="18.399999999999999" customHeight="1" x14ac:dyDescent="0.15">
      <c r="A170" s="13" t="s">
        <v>534</v>
      </c>
      <c r="B170" s="2" t="s">
        <v>2859</v>
      </c>
      <c r="C170" s="2">
        <v>0.36399999999999999</v>
      </c>
      <c r="D170" s="2" t="s">
        <v>2663</v>
      </c>
      <c r="E170" s="31">
        <f t="shared" si="23"/>
        <v>229664</v>
      </c>
      <c r="F170" s="31">
        <f t="shared" si="22"/>
        <v>83597</v>
      </c>
      <c r="G170" s="31">
        <v>0</v>
      </c>
      <c r="H170" s="31"/>
      <c r="I170" s="31">
        <f>노임!D8</f>
        <v>229664</v>
      </c>
      <c r="J170" s="31">
        <f>TRUNC(I170*C170,0)</f>
        <v>83597</v>
      </c>
      <c r="K170" s="31">
        <v>0</v>
      </c>
      <c r="L170" s="31"/>
      <c r="M170" s="22" t="s">
        <v>2859</v>
      </c>
      <c r="N170" t="s">
        <v>289</v>
      </c>
      <c r="P170" t="s">
        <v>1030</v>
      </c>
      <c r="Q170" t="s">
        <v>2859</v>
      </c>
      <c r="R170" t="s">
        <v>262</v>
      </c>
      <c r="BI170" s="34" t="str">
        <f>HYPERLINK("#노임!A8","L028 →")</f>
        <v>L028 →</v>
      </c>
    </row>
    <row r="171" spans="1:61" ht="18.399999999999999" customHeight="1" x14ac:dyDescent="0.15">
      <c r="A171" s="13" t="s">
        <v>891</v>
      </c>
      <c r="B171" s="2" t="s">
        <v>2859</v>
      </c>
      <c r="C171" s="2">
        <v>0.14799999999999999</v>
      </c>
      <c r="D171" s="2" t="s">
        <v>2663</v>
      </c>
      <c r="E171" s="31">
        <f t="shared" si="23"/>
        <v>167081</v>
      </c>
      <c r="F171" s="31">
        <f t="shared" si="22"/>
        <v>24727</v>
      </c>
      <c r="G171" s="31">
        <v>0</v>
      </c>
      <c r="H171" s="31"/>
      <c r="I171" s="31">
        <f>노임!D13</f>
        <v>167081</v>
      </c>
      <c r="J171" s="31">
        <f>TRUNC(I171*C171,0)</f>
        <v>24727</v>
      </c>
      <c r="K171" s="31">
        <v>0</v>
      </c>
      <c r="L171" s="31"/>
      <c r="M171" s="22" t="s">
        <v>2859</v>
      </c>
      <c r="N171" t="s">
        <v>2859</v>
      </c>
      <c r="P171" t="s">
        <v>267</v>
      </c>
      <c r="Q171" t="s">
        <v>2859</v>
      </c>
      <c r="R171" t="s">
        <v>485</v>
      </c>
      <c r="BI171" s="34" t="str">
        <f>HYPERLINK("#노임!A13","L085 →")</f>
        <v>L085 →</v>
      </c>
    </row>
    <row r="172" spans="1:61" ht="18.399999999999999" customHeight="1" x14ac:dyDescent="0.15">
      <c r="A172" s="13" t="s">
        <v>917</v>
      </c>
      <c r="B172" s="2" t="s">
        <v>2838</v>
      </c>
      <c r="C172" s="2">
        <v>0.4</v>
      </c>
      <c r="D172" s="2" t="s">
        <v>773</v>
      </c>
      <c r="E172" s="31">
        <f t="shared" si="23"/>
        <v>7980</v>
      </c>
      <c r="F172" s="31">
        <f t="shared" si="22"/>
        <v>3192</v>
      </c>
      <c r="G172" s="31">
        <f>자재조서!E47</f>
        <v>7980</v>
      </c>
      <c r="H172" s="31">
        <f>TRUNC(G172*C172,0)</f>
        <v>3192</v>
      </c>
      <c r="I172" s="31">
        <v>0</v>
      </c>
      <c r="J172" s="31"/>
      <c r="K172" s="31">
        <v>0</v>
      </c>
      <c r="L172" s="31"/>
      <c r="M172" s="22" t="s">
        <v>2859</v>
      </c>
      <c r="N172" t="s">
        <v>2074</v>
      </c>
      <c r="P172" t="s">
        <v>2435</v>
      </c>
      <c r="Q172" t="s">
        <v>2859</v>
      </c>
      <c r="R172" t="s">
        <v>1840</v>
      </c>
      <c r="BI172" s="34" t="str">
        <f>HYPERLINK("#자재조서!A47","M1749420 →")</f>
        <v>M1749420 →</v>
      </c>
    </row>
    <row r="173" spans="1:61" ht="18.399999999999999" customHeight="1" x14ac:dyDescent="0.15">
      <c r="A173" s="13" t="s">
        <v>1319</v>
      </c>
      <c r="B173" s="2" t="s">
        <v>2152</v>
      </c>
      <c r="C173" s="2">
        <v>1</v>
      </c>
      <c r="D173" s="2" t="s">
        <v>1091</v>
      </c>
      <c r="E173" s="31">
        <f t="shared" si="23"/>
        <v>20315</v>
      </c>
      <c r="F173" s="31">
        <f t="shared" si="22"/>
        <v>20315</v>
      </c>
      <c r="G173" s="31">
        <f>일위대가목록!F32</f>
        <v>604</v>
      </c>
      <c r="H173" s="31">
        <f>TRUNC(G173*C173,0)</f>
        <v>604</v>
      </c>
      <c r="I173" s="31">
        <f>일위대가목록!G32</f>
        <v>15001</v>
      </c>
      <c r="J173" s="31">
        <f>TRUNC(I173*C173,0)</f>
        <v>15001</v>
      </c>
      <c r="K173" s="31">
        <f>일위대가목록!H32</f>
        <v>4710</v>
      </c>
      <c r="L173" s="31">
        <f>TRUNC(K173*C173,0)</f>
        <v>4710</v>
      </c>
      <c r="M173" s="22" t="s">
        <v>2859</v>
      </c>
      <c r="N173" t="s">
        <v>2859</v>
      </c>
      <c r="P173" t="s">
        <v>1695</v>
      </c>
      <c r="Q173" t="s">
        <v>2859</v>
      </c>
      <c r="R173" t="s">
        <v>1171</v>
      </c>
      <c r="T173" t="s">
        <v>1314</v>
      </c>
      <c r="BI173" s="34" t="str">
        <f>HYPERLINK("#일위대가목록!A32","K7011720 →")</f>
        <v>K7011720 →</v>
      </c>
    </row>
    <row r="174" spans="1:61" ht="18.399999999999999" customHeight="1" x14ac:dyDescent="0.15">
      <c r="A174" s="57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58"/>
    </row>
    <row r="175" spans="1:61" ht="18.399999999999999" customHeight="1" x14ac:dyDescent="0.15">
      <c r="A175" s="13" t="s">
        <v>2541</v>
      </c>
      <c r="B175" s="2" t="s">
        <v>2462</v>
      </c>
      <c r="C175" s="2">
        <v>1</v>
      </c>
      <c r="D175" s="2" t="s">
        <v>1091</v>
      </c>
      <c r="F175" s="31">
        <f t="shared" ref="F175:F181" si="24">H175+J175+L175</f>
        <v>102211</v>
      </c>
      <c r="H175" s="31">
        <f>TRUNC(H177+H178+H179+H180,0)</f>
        <v>82162</v>
      </c>
      <c r="J175" s="31">
        <f>TRUNC(J177+J178+J179+J180,0)</f>
        <v>19466</v>
      </c>
      <c r="L175" s="31">
        <f>TRUNC(L177+L178+L179+L180,0)</f>
        <v>583</v>
      </c>
      <c r="M175" s="22" t="s">
        <v>2859</v>
      </c>
      <c r="N175" t="s">
        <v>2859</v>
      </c>
      <c r="O175" t="s">
        <v>247</v>
      </c>
    </row>
    <row r="176" spans="1:61" ht="18.399999999999999" customHeight="1" x14ac:dyDescent="0.15">
      <c r="A176" s="13" t="s">
        <v>1843</v>
      </c>
      <c r="B176" s="2" t="s">
        <v>2859</v>
      </c>
      <c r="C176" s="2"/>
      <c r="D176" s="2" t="s">
        <v>2859</v>
      </c>
      <c r="E176" s="31">
        <f t="shared" ref="E176:E181" si="25">G176+I176+K176</f>
        <v>0</v>
      </c>
      <c r="F176" s="31">
        <f t="shared" si="24"/>
        <v>0</v>
      </c>
      <c r="G176" s="1"/>
      <c r="H176" s="31">
        <v>0</v>
      </c>
      <c r="I176" s="1"/>
      <c r="J176" s="31">
        <v>0</v>
      </c>
      <c r="K176" s="1"/>
      <c r="L176" s="31">
        <v>0</v>
      </c>
      <c r="M176" s="22" t="s">
        <v>2859</v>
      </c>
      <c r="N176" t="s">
        <v>2859</v>
      </c>
      <c r="P176" t="s">
        <v>322</v>
      </c>
      <c r="Q176" t="s">
        <v>2859</v>
      </c>
      <c r="R176" t="s">
        <v>2859</v>
      </c>
    </row>
    <row r="177" spans="1:61" ht="18.399999999999999" customHeight="1" x14ac:dyDescent="0.15">
      <c r="A177" s="13" t="s">
        <v>739</v>
      </c>
      <c r="B177" s="2" t="s">
        <v>1894</v>
      </c>
      <c r="C177" s="2">
        <v>1.05</v>
      </c>
      <c r="D177" s="2" t="s">
        <v>1091</v>
      </c>
      <c r="E177" s="31">
        <f t="shared" si="25"/>
        <v>78250</v>
      </c>
      <c r="F177" s="31">
        <f t="shared" si="24"/>
        <v>82162</v>
      </c>
      <c r="G177" s="31">
        <f>자재조서!E60</f>
        <v>78250</v>
      </c>
      <c r="H177" s="31">
        <f>TRUNC(G177*C177,0)</f>
        <v>82162</v>
      </c>
      <c r="I177" s="31">
        <v>0</v>
      </c>
      <c r="J177" s="31"/>
      <c r="K177" s="31">
        <v>0</v>
      </c>
      <c r="L177" s="31"/>
      <c r="M177" s="22" t="s">
        <v>2859</v>
      </c>
      <c r="N177" t="s">
        <v>2859</v>
      </c>
      <c r="P177" t="s">
        <v>2491</v>
      </c>
      <c r="Q177" t="s">
        <v>2859</v>
      </c>
      <c r="R177" t="s">
        <v>2657</v>
      </c>
      <c r="BI177" s="34" t="str">
        <f>HYPERLINK("#자재조서!A60","M5380450 →")</f>
        <v>M5380450 →</v>
      </c>
    </row>
    <row r="178" spans="1:61" ht="18.399999999999999" customHeight="1" x14ac:dyDescent="0.15">
      <c r="A178" s="13" t="s">
        <v>880</v>
      </c>
      <c r="B178" s="2" t="s">
        <v>2859</v>
      </c>
      <c r="C178" s="2">
        <v>6.1699999999999998E-2</v>
      </c>
      <c r="D178" s="2" t="s">
        <v>2663</v>
      </c>
      <c r="E178" s="31">
        <f t="shared" si="25"/>
        <v>229664</v>
      </c>
      <c r="F178" s="31">
        <f t="shared" si="24"/>
        <v>14170</v>
      </c>
      <c r="G178" s="31">
        <v>0</v>
      </c>
      <c r="H178" s="31"/>
      <c r="I178" s="31">
        <f>노임!D8</f>
        <v>229664</v>
      </c>
      <c r="J178" s="31">
        <f>TRUNC(I178*C178,0)</f>
        <v>14170</v>
      </c>
      <c r="K178" s="31">
        <v>0</v>
      </c>
      <c r="L178" s="31"/>
      <c r="M178" s="22" t="s">
        <v>2859</v>
      </c>
      <c r="N178" t="s">
        <v>289</v>
      </c>
      <c r="P178" t="s">
        <v>1745</v>
      </c>
      <c r="Q178" t="s">
        <v>2859</v>
      </c>
      <c r="R178" t="s">
        <v>262</v>
      </c>
      <c r="BI178" s="34" t="str">
        <f>HYPERLINK("#노임!A8","L028 →")</f>
        <v>L028 →</v>
      </c>
    </row>
    <row r="179" spans="1:61" ht="18.399999999999999" customHeight="1" x14ac:dyDescent="0.15">
      <c r="A179" s="13" t="s">
        <v>96</v>
      </c>
      <c r="B179" s="2" t="s">
        <v>2859</v>
      </c>
      <c r="C179" s="2">
        <v>3.1699999999999999E-2</v>
      </c>
      <c r="D179" s="2" t="s">
        <v>2663</v>
      </c>
      <c r="E179" s="31">
        <f t="shared" si="25"/>
        <v>167081</v>
      </c>
      <c r="F179" s="31">
        <f t="shared" si="24"/>
        <v>5296</v>
      </c>
      <c r="G179" s="31">
        <v>0</v>
      </c>
      <c r="H179" s="31"/>
      <c r="I179" s="31">
        <f>노임!D13</f>
        <v>167081</v>
      </c>
      <c r="J179" s="31">
        <f>TRUNC(I179*C179,0)</f>
        <v>5296</v>
      </c>
      <c r="K179" s="31">
        <v>0</v>
      </c>
      <c r="L179" s="31"/>
      <c r="M179" s="22" t="s">
        <v>2859</v>
      </c>
      <c r="N179" t="s">
        <v>2859</v>
      </c>
      <c r="P179" t="s">
        <v>1030</v>
      </c>
      <c r="Q179" t="s">
        <v>2859</v>
      </c>
      <c r="R179" t="s">
        <v>485</v>
      </c>
      <c r="AA179" s="40" t="s">
        <v>907</v>
      </c>
      <c r="AB179" s="10">
        <f>((일위대가_호표!J178*전역변수!C34)+(일위대가_호표!J179*전역변수!C34))*0.03</f>
        <v>583.98</v>
      </c>
      <c r="AC179" s="40" t="s">
        <v>1545</v>
      </c>
      <c r="AD179" s="9">
        <f>$AB179</f>
        <v>583.98</v>
      </c>
      <c r="BI179" s="34" t="str">
        <f>HYPERLINK("#노임!A13","L085 →")</f>
        <v>L085 →</v>
      </c>
    </row>
    <row r="180" spans="1:61" ht="18.399999999999999" customHeight="1" x14ac:dyDescent="0.15">
      <c r="A180" s="13" t="s">
        <v>2384</v>
      </c>
      <c r="B180" s="2" t="s">
        <v>2049</v>
      </c>
      <c r="C180" s="2">
        <v>1</v>
      </c>
      <c r="D180" s="2" t="s">
        <v>2293</v>
      </c>
      <c r="E180" s="31">
        <f t="shared" si="25"/>
        <v>0</v>
      </c>
      <c r="F180" s="31">
        <f t="shared" si="24"/>
        <v>583</v>
      </c>
      <c r="G180" s="1"/>
      <c r="H180" s="31">
        <v>0</v>
      </c>
      <c r="I180" s="1"/>
      <c r="J180" s="31">
        <v>0</v>
      </c>
      <c r="K180" s="1"/>
      <c r="L180" s="31">
        <f>TRUNC((((J178*전역변수!C34)+(J179*전역변수!C34))*0.03),0)</f>
        <v>583</v>
      </c>
      <c r="M180" s="22" t="s">
        <v>2859</v>
      </c>
      <c r="N180" t="s">
        <v>2859</v>
      </c>
      <c r="P180" t="s">
        <v>267</v>
      </c>
      <c r="Q180" t="s">
        <v>2859</v>
      </c>
      <c r="R180" t="s">
        <v>2417</v>
      </c>
      <c r="X180" t="s">
        <v>310</v>
      </c>
    </row>
    <row r="181" spans="1:61" ht="18.399999999999999" customHeight="1" x14ac:dyDescent="0.15">
      <c r="A181" s="13" t="s">
        <v>1180</v>
      </c>
      <c r="B181" s="2" t="s">
        <v>2859</v>
      </c>
      <c r="C181" s="2"/>
      <c r="D181" s="2" t="s">
        <v>2859</v>
      </c>
      <c r="E181" s="31">
        <f t="shared" si="25"/>
        <v>0</v>
      </c>
      <c r="F181" s="31">
        <f t="shared" si="24"/>
        <v>0</v>
      </c>
      <c r="G181" s="1"/>
      <c r="H181" s="31">
        <v>0</v>
      </c>
      <c r="I181" s="1"/>
      <c r="J181" s="31">
        <v>0</v>
      </c>
      <c r="K181" s="1"/>
      <c r="L181" s="31">
        <v>0</v>
      </c>
      <c r="M181" s="22" t="s">
        <v>2859</v>
      </c>
      <c r="N181" t="s">
        <v>2859</v>
      </c>
      <c r="P181" t="s">
        <v>2435</v>
      </c>
      <c r="Q181" t="s">
        <v>2859</v>
      </c>
      <c r="R181" t="s">
        <v>2859</v>
      </c>
    </row>
    <row r="182" spans="1:61" ht="18.399999999999999" customHeight="1" x14ac:dyDescent="0.15">
      <c r="A182" s="57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58"/>
    </row>
    <row r="183" spans="1:61" ht="18.399999999999999" customHeight="1" x14ac:dyDescent="0.15">
      <c r="A183" s="13" t="s">
        <v>826</v>
      </c>
      <c r="B183" s="2" t="s">
        <v>914</v>
      </c>
      <c r="C183" s="2">
        <v>1</v>
      </c>
      <c r="D183" s="2" t="s">
        <v>1091</v>
      </c>
      <c r="F183" s="31">
        <f t="shared" ref="F183:F189" si="26">H183+J183+L183</f>
        <v>52763</v>
      </c>
      <c r="H183" s="31">
        <f>TRUNC(H185+H186+H187+H188,0)</f>
        <v>38787</v>
      </c>
      <c r="J183" s="31">
        <f>TRUNC(J185+J186+J187+J188,0)</f>
        <v>13569</v>
      </c>
      <c r="L183" s="31">
        <f>TRUNC(L185+L186+L187+L188,0)</f>
        <v>407</v>
      </c>
      <c r="M183" s="22" t="s">
        <v>2859</v>
      </c>
      <c r="N183" t="s">
        <v>2859</v>
      </c>
      <c r="O183" t="s">
        <v>2410</v>
      </c>
    </row>
    <row r="184" spans="1:61" ht="18.399999999999999" customHeight="1" x14ac:dyDescent="0.15">
      <c r="A184" s="13" t="s">
        <v>1843</v>
      </c>
      <c r="B184" s="2" t="s">
        <v>2859</v>
      </c>
      <c r="C184" s="2"/>
      <c r="D184" s="2" t="s">
        <v>2859</v>
      </c>
      <c r="E184" s="31">
        <f t="shared" ref="E184:E189" si="27">G184+I184+K184</f>
        <v>0</v>
      </c>
      <c r="F184" s="31">
        <f t="shared" si="26"/>
        <v>0</v>
      </c>
      <c r="G184" s="1"/>
      <c r="H184" s="31">
        <v>0</v>
      </c>
      <c r="I184" s="1"/>
      <c r="J184" s="31">
        <v>0</v>
      </c>
      <c r="K184" s="1"/>
      <c r="L184" s="31">
        <v>0</v>
      </c>
      <c r="M184" s="22" t="s">
        <v>2859</v>
      </c>
      <c r="N184" t="s">
        <v>2859</v>
      </c>
      <c r="P184" t="s">
        <v>322</v>
      </c>
      <c r="Q184" t="s">
        <v>2859</v>
      </c>
      <c r="R184" t="s">
        <v>2859</v>
      </c>
    </row>
    <row r="185" spans="1:61" ht="18.399999999999999" customHeight="1" x14ac:dyDescent="0.15">
      <c r="A185" s="13" t="s">
        <v>739</v>
      </c>
      <c r="B185" s="2" t="s">
        <v>1874</v>
      </c>
      <c r="C185" s="2">
        <v>1.05</v>
      </c>
      <c r="D185" s="2" t="s">
        <v>1091</v>
      </c>
      <c r="E185" s="31">
        <f t="shared" si="27"/>
        <v>36940</v>
      </c>
      <c r="F185" s="31">
        <f t="shared" si="26"/>
        <v>38787</v>
      </c>
      <c r="G185" s="31">
        <f>자재조서!E59</f>
        <v>36940</v>
      </c>
      <c r="H185" s="31">
        <f>TRUNC(G185*C185,0)</f>
        <v>38787</v>
      </c>
      <c r="I185" s="31">
        <v>0</v>
      </c>
      <c r="J185" s="31"/>
      <c r="K185" s="31">
        <v>0</v>
      </c>
      <c r="L185" s="31"/>
      <c r="M185" s="22" t="s">
        <v>2859</v>
      </c>
      <c r="N185" t="s">
        <v>2859</v>
      </c>
      <c r="P185" t="s">
        <v>2491</v>
      </c>
      <c r="Q185" t="s">
        <v>2859</v>
      </c>
      <c r="R185" t="s">
        <v>471</v>
      </c>
      <c r="BI185" s="34" t="str">
        <f>HYPERLINK("#자재조서!A59","M5380300 →")</f>
        <v>M5380300 →</v>
      </c>
    </row>
    <row r="186" spans="1:61" ht="18.399999999999999" customHeight="1" x14ac:dyDescent="0.15">
      <c r="A186" s="13" t="s">
        <v>2681</v>
      </c>
      <c r="B186" s="2" t="s">
        <v>2859</v>
      </c>
      <c r="C186" s="2">
        <v>4.3299999999999998E-2</v>
      </c>
      <c r="D186" s="2" t="s">
        <v>2663</v>
      </c>
      <c r="E186" s="31">
        <f t="shared" si="27"/>
        <v>229664</v>
      </c>
      <c r="F186" s="31">
        <f t="shared" si="26"/>
        <v>9944</v>
      </c>
      <c r="G186" s="31">
        <v>0</v>
      </c>
      <c r="H186" s="31"/>
      <c r="I186" s="31">
        <f>노임!D8</f>
        <v>229664</v>
      </c>
      <c r="J186" s="31">
        <f>TRUNC(I186*C186,0)</f>
        <v>9944</v>
      </c>
      <c r="K186" s="31">
        <v>0</v>
      </c>
      <c r="L186" s="31"/>
      <c r="M186" s="22" t="s">
        <v>2859</v>
      </c>
      <c r="N186" t="s">
        <v>289</v>
      </c>
      <c r="P186" t="s">
        <v>1745</v>
      </c>
      <c r="Q186" t="s">
        <v>2859</v>
      </c>
      <c r="R186" t="s">
        <v>262</v>
      </c>
      <c r="BI186" s="34" t="str">
        <f>HYPERLINK("#노임!A8","L028 →")</f>
        <v>L028 →</v>
      </c>
    </row>
    <row r="187" spans="1:61" ht="18.399999999999999" customHeight="1" x14ac:dyDescent="0.15">
      <c r="A187" s="13" t="s">
        <v>2140</v>
      </c>
      <c r="B187" s="2" t="s">
        <v>2859</v>
      </c>
      <c r="C187" s="2">
        <v>2.1700000000000001E-2</v>
      </c>
      <c r="D187" s="2" t="s">
        <v>2663</v>
      </c>
      <c r="E187" s="31">
        <f t="shared" si="27"/>
        <v>167081</v>
      </c>
      <c r="F187" s="31">
        <f t="shared" si="26"/>
        <v>3625</v>
      </c>
      <c r="G187" s="31">
        <v>0</v>
      </c>
      <c r="H187" s="31"/>
      <c r="I187" s="31">
        <f>노임!D13</f>
        <v>167081</v>
      </c>
      <c r="J187" s="31">
        <f>TRUNC(I187*C187,0)</f>
        <v>3625</v>
      </c>
      <c r="K187" s="31">
        <v>0</v>
      </c>
      <c r="L187" s="31"/>
      <c r="M187" s="22" t="s">
        <v>2859</v>
      </c>
      <c r="N187" t="s">
        <v>2859</v>
      </c>
      <c r="P187" t="s">
        <v>1030</v>
      </c>
      <c r="Q187" t="s">
        <v>2859</v>
      </c>
      <c r="R187" t="s">
        <v>485</v>
      </c>
      <c r="AA187" s="40" t="s">
        <v>907</v>
      </c>
      <c r="AB187" s="10">
        <f>((일위대가_호표!J186*전역변수!C34)+(일위대가_호표!J187*전역변수!C34))*0.03</f>
        <v>407.07</v>
      </c>
      <c r="AC187" s="40" t="s">
        <v>1545</v>
      </c>
      <c r="AD187" s="9">
        <f>$AB187</f>
        <v>407.07</v>
      </c>
      <c r="BI187" s="34" t="str">
        <f>HYPERLINK("#노임!A13","L085 →")</f>
        <v>L085 →</v>
      </c>
    </row>
    <row r="188" spans="1:61" ht="18.399999999999999" customHeight="1" x14ac:dyDescent="0.15">
      <c r="A188" s="13" t="s">
        <v>2384</v>
      </c>
      <c r="B188" s="2" t="s">
        <v>2049</v>
      </c>
      <c r="C188" s="2">
        <v>1</v>
      </c>
      <c r="D188" s="2" t="s">
        <v>2293</v>
      </c>
      <c r="E188" s="31">
        <f t="shared" si="27"/>
        <v>0</v>
      </c>
      <c r="F188" s="31">
        <f t="shared" si="26"/>
        <v>407</v>
      </c>
      <c r="G188" s="1"/>
      <c r="H188" s="31">
        <v>0</v>
      </c>
      <c r="I188" s="1"/>
      <c r="J188" s="31">
        <v>0</v>
      </c>
      <c r="K188" s="1"/>
      <c r="L188" s="31">
        <f>TRUNC((((J186*전역변수!C34)+(J187*전역변수!C34))*0.03),0)</f>
        <v>407</v>
      </c>
      <c r="M188" s="22" t="s">
        <v>2859</v>
      </c>
      <c r="N188" t="s">
        <v>2859</v>
      </c>
      <c r="P188" t="s">
        <v>267</v>
      </c>
      <c r="Q188" t="s">
        <v>2859</v>
      </c>
      <c r="R188" t="s">
        <v>2417</v>
      </c>
      <c r="X188" t="s">
        <v>310</v>
      </c>
    </row>
    <row r="189" spans="1:61" ht="18.399999999999999" customHeight="1" x14ac:dyDescent="0.15">
      <c r="A189" s="13" t="s">
        <v>1180</v>
      </c>
      <c r="B189" s="2" t="s">
        <v>2859</v>
      </c>
      <c r="C189" s="2"/>
      <c r="D189" s="2" t="s">
        <v>2859</v>
      </c>
      <c r="E189" s="31">
        <f t="shared" si="27"/>
        <v>0</v>
      </c>
      <c r="F189" s="31">
        <f t="shared" si="26"/>
        <v>0</v>
      </c>
      <c r="G189" s="1"/>
      <c r="H189" s="31">
        <v>0</v>
      </c>
      <c r="I189" s="1"/>
      <c r="J189" s="31">
        <v>0</v>
      </c>
      <c r="K189" s="1"/>
      <c r="L189" s="31">
        <v>0</v>
      </c>
      <c r="M189" s="22" t="s">
        <v>2859</v>
      </c>
      <c r="N189" t="s">
        <v>2859</v>
      </c>
      <c r="P189" t="s">
        <v>2435</v>
      </c>
      <c r="Q189" t="s">
        <v>2859</v>
      </c>
      <c r="R189" t="s">
        <v>2859</v>
      </c>
    </row>
    <row r="190" spans="1:61" ht="18.399999999999999" customHeight="1" x14ac:dyDescent="0.15">
      <c r="A190" s="57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58"/>
    </row>
    <row r="191" spans="1:61" ht="18.399999999999999" customHeight="1" x14ac:dyDescent="0.15">
      <c r="A191" s="13" t="s">
        <v>1896</v>
      </c>
      <c r="B191" s="2" t="s">
        <v>2563</v>
      </c>
      <c r="C191" s="2">
        <v>1</v>
      </c>
      <c r="D191" s="2" t="s">
        <v>1091</v>
      </c>
      <c r="F191" s="31">
        <f t="shared" ref="F191:F196" si="28">H191+J191+L191</f>
        <v>5045</v>
      </c>
      <c r="H191" s="31">
        <f>TRUNC(H193+H194+H195,0)</f>
        <v>1050</v>
      </c>
      <c r="J191" s="31">
        <f>TRUNC(J193+J194+J195,0)</f>
        <v>3995</v>
      </c>
      <c r="L191" s="31">
        <f>TRUNC(L193+L194+L195,0)</f>
        <v>0</v>
      </c>
      <c r="M191" s="22" t="s">
        <v>2859</v>
      </c>
      <c r="N191" t="s">
        <v>2859</v>
      </c>
      <c r="O191" t="s">
        <v>1470</v>
      </c>
    </row>
    <row r="192" spans="1:61" ht="18.399999999999999" customHeight="1" x14ac:dyDescent="0.15">
      <c r="A192" s="13" t="s">
        <v>365</v>
      </c>
      <c r="B192" s="2" t="s">
        <v>2859</v>
      </c>
      <c r="C192" s="2"/>
      <c r="D192" s="2" t="s">
        <v>2859</v>
      </c>
      <c r="E192" s="31">
        <f>G192+I192+K192</f>
        <v>0</v>
      </c>
      <c r="F192" s="31">
        <f t="shared" si="28"/>
        <v>0</v>
      </c>
      <c r="G192" s="1"/>
      <c r="H192" s="31">
        <v>0</v>
      </c>
      <c r="I192" s="1"/>
      <c r="J192" s="31">
        <v>0</v>
      </c>
      <c r="K192" s="1"/>
      <c r="L192" s="31">
        <v>0</v>
      </c>
      <c r="M192" s="22" t="s">
        <v>2859</v>
      </c>
      <c r="N192" t="s">
        <v>2859</v>
      </c>
      <c r="P192" t="s">
        <v>322</v>
      </c>
      <c r="Q192" t="s">
        <v>2859</v>
      </c>
      <c r="R192" t="s">
        <v>2859</v>
      </c>
    </row>
    <row r="193" spans="1:61" ht="18.399999999999999" customHeight="1" x14ac:dyDescent="0.15">
      <c r="A193" s="13" t="s">
        <v>739</v>
      </c>
      <c r="B193" s="2" t="s">
        <v>1121</v>
      </c>
      <c r="C193" s="2">
        <v>1.05</v>
      </c>
      <c r="D193" s="2" t="s">
        <v>1091</v>
      </c>
      <c r="E193" s="31">
        <f>G193+I193+K193</f>
        <v>1000</v>
      </c>
      <c r="F193" s="31">
        <f t="shared" si="28"/>
        <v>1050</v>
      </c>
      <c r="G193" s="31">
        <f>자재조서!E58</f>
        <v>1000</v>
      </c>
      <c r="H193" s="31">
        <f>TRUNC(G193*C193,0)</f>
        <v>1050</v>
      </c>
      <c r="I193" s="31">
        <v>0</v>
      </c>
      <c r="J193" s="31"/>
      <c r="K193" s="31">
        <v>0</v>
      </c>
      <c r="L193" s="31"/>
      <c r="M193" s="22" t="s">
        <v>2859</v>
      </c>
      <c r="N193" t="s">
        <v>2859</v>
      </c>
      <c r="P193" t="s">
        <v>2491</v>
      </c>
      <c r="Q193" t="s">
        <v>2859</v>
      </c>
      <c r="R193" t="s">
        <v>1368</v>
      </c>
      <c r="BI193" s="34" t="str">
        <f>HYPERLINK("#자재조서!A58","M5380025 →")</f>
        <v>M5380025 →</v>
      </c>
    </row>
    <row r="194" spans="1:61" ht="18.399999999999999" customHeight="1" x14ac:dyDescent="0.15">
      <c r="A194" s="13" t="s">
        <v>1433</v>
      </c>
      <c r="B194" s="2" t="s">
        <v>2859</v>
      </c>
      <c r="C194" s="2">
        <v>1.4999999999999999E-2</v>
      </c>
      <c r="D194" s="2" t="s">
        <v>2663</v>
      </c>
      <c r="E194" s="31">
        <f>G194+I194+K194</f>
        <v>229664</v>
      </c>
      <c r="F194" s="31">
        <f t="shared" si="28"/>
        <v>3444</v>
      </c>
      <c r="G194" s="31">
        <v>0</v>
      </c>
      <c r="H194" s="31"/>
      <c r="I194" s="31">
        <f>노임!D8</f>
        <v>229664</v>
      </c>
      <c r="J194" s="31">
        <f>TRUNC(I194*C194,0)</f>
        <v>3444</v>
      </c>
      <c r="K194" s="31">
        <v>0</v>
      </c>
      <c r="L194" s="31"/>
      <c r="M194" s="22" t="s">
        <v>2859</v>
      </c>
      <c r="N194" t="s">
        <v>289</v>
      </c>
      <c r="P194" t="s">
        <v>1745</v>
      </c>
      <c r="Q194" t="s">
        <v>2859</v>
      </c>
      <c r="R194" t="s">
        <v>262</v>
      </c>
      <c r="BI194" s="34" t="str">
        <f>HYPERLINK("#노임!A8","L028 →")</f>
        <v>L028 →</v>
      </c>
    </row>
    <row r="195" spans="1:61" ht="18.399999999999999" customHeight="1" x14ac:dyDescent="0.15">
      <c r="A195" s="13" t="s">
        <v>1115</v>
      </c>
      <c r="B195" s="2" t="s">
        <v>2859</v>
      </c>
      <c r="C195" s="2">
        <v>3.3E-3</v>
      </c>
      <c r="D195" s="2" t="s">
        <v>2663</v>
      </c>
      <c r="E195" s="31">
        <f>G195+I195+K195</f>
        <v>167081</v>
      </c>
      <c r="F195" s="31">
        <f t="shared" si="28"/>
        <v>551</v>
      </c>
      <c r="G195" s="31">
        <v>0</v>
      </c>
      <c r="H195" s="31"/>
      <c r="I195" s="31">
        <f>노임!D13</f>
        <v>167081</v>
      </c>
      <c r="J195" s="31">
        <f>TRUNC(I195*C195,0)</f>
        <v>551</v>
      </c>
      <c r="K195" s="31">
        <v>0</v>
      </c>
      <c r="L195" s="31"/>
      <c r="M195" s="22" t="s">
        <v>2859</v>
      </c>
      <c r="N195" t="s">
        <v>2859</v>
      </c>
      <c r="P195" t="s">
        <v>1030</v>
      </c>
      <c r="Q195" t="s">
        <v>2859</v>
      </c>
      <c r="R195" t="s">
        <v>485</v>
      </c>
      <c r="BI195" s="34" t="str">
        <f>HYPERLINK("#노임!A13","L085 →")</f>
        <v>L085 →</v>
      </c>
    </row>
    <row r="196" spans="1:61" ht="18.399999999999999" customHeight="1" x14ac:dyDescent="0.15">
      <c r="A196" s="13" t="s">
        <v>1180</v>
      </c>
      <c r="B196" s="2" t="s">
        <v>2859</v>
      </c>
      <c r="C196" s="2"/>
      <c r="D196" s="2" t="s">
        <v>2859</v>
      </c>
      <c r="E196" s="31">
        <f>G196+I196+K196</f>
        <v>0</v>
      </c>
      <c r="F196" s="31">
        <f t="shared" si="28"/>
        <v>0</v>
      </c>
      <c r="G196" s="1"/>
      <c r="H196" s="31">
        <v>0</v>
      </c>
      <c r="I196" s="1"/>
      <c r="J196" s="31">
        <v>0</v>
      </c>
      <c r="K196" s="1"/>
      <c r="L196" s="31">
        <v>0</v>
      </c>
      <c r="M196" s="22" t="s">
        <v>2859</v>
      </c>
      <c r="N196" t="s">
        <v>2859</v>
      </c>
      <c r="P196" t="s">
        <v>267</v>
      </c>
      <c r="Q196" t="s">
        <v>2859</v>
      </c>
      <c r="R196" t="s">
        <v>2859</v>
      </c>
    </row>
    <row r="197" spans="1:61" ht="18.399999999999999" customHeight="1" x14ac:dyDescent="0.15">
      <c r="A197" s="57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58"/>
    </row>
    <row r="198" spans="1:61" ht="18.399999999999999" customHeight="1" x14ac:dyDescent="0.15">
      <c r="A198" s="13" t="s">
        <v>1108</v>
      </c>
      <c r="B198" s="2" t="s">
        <v>1090</v>
      </c>
      <c r="C198" s="2">
        <v>1</v>
      </c>
      <c r="D198" s="2" t="s">
        <v>2471</v>
      </c>
      <c r="F198" s="31">
        <f t="shared" ref="F198:F205" si="29">H198+J198+L198</f>
        <v>3245348</v>
      </c>
      <c r="H198" s="31">
        <f>TRUNC(H200+H201+H202+H203+H204+H205,0)</f>
        <v>90148</v>
      </c>
      <c r="J198" s="31">
        <f>TRUNC(J200+J201+J202+J203+J204+J205,0)</f>
        <v>3004953</v>
      </c>
      <c r="L198" s="31">
        <f>TRUNC(L200+L201+L202+L203+L204+L205,0)</f>
        <v>150247</v>
      </c>
      <c r="M198" s="22" t="s">
        <v>2859</v>
      </c>
      <c r="N198" t="s">
        <v>2859</v>
      </c>
      <c r="O198" t="s">
        <v>1393</v>
      </c>
    </row>
    <row r="199" spans="1:61" ht="18.399999999999999" customHeight="1" x14ac:dyDescent="0.15">
      <c r="A199" s="13" t="s">
        <v>2012</v>
      </c>
      <c r="B199" s="2" t="s">
        <v>2859</v>
      </c>
      <c r="C199" s="2"/>
      <c r="D199" s="2" t="s">
        <v>2859</v>
      </c>
      <c r="E199" s="31">
        <f t="shared" ref="E199:E205" si="30">G199+I199+K199</f>
        <v>0</v>
      </c>
      <c r="F199" s="31">
        <f t="shared" si="29"/>
        <v>0</v>
      </c>
      <c r="G199" s="1"/>
      <c r="H199" s="31">
        <v>0</v>
      </c>
      <c r="I199" s="1"/>
      <c r="J199" s="31">
        <v>0</v>
      </c>
      <c r="K199" s="1"/>
      <c r="L199" s="31">
        <v>0</v>
      </c>
      <c r="M199" s="22" t="s">
        <v>2859</v>
      </c>
      <c r="N199" t="s">
        <v>2859</v>
      </c>
      <c r="P199" t="s">
        <v>322</v>
      </c>
      <c r="Q199" t="s">
        <v>2859</v>
      </c>
      <c r="R199" t="s">
        <v>2859</v>
      </c>
    </row>
    <row r="200" spans="1:61" ht="18.399999999999999" customHeight="1" x14ac:dyDescent="0.15">
      <c r="A200" s="13" t="s">
        <v>661</v>
      </c>
      <c r="B200" s="2" t="s">
        <v>2859</v>
      </c>
      <c r="C200" s="2">
        <v>7.05</v>
      </c>
      <c r="D200" s="2" t="s">
        <v>2663</v>
      </c>
      <c r="E200" s="31">
        <f t="shared" si="30"/>
        <v>237480</v>
      </c>
      <c r="F200" s="31">
        <f t="shared" si="29"/>
        <v>1674234</v>
      </c>
      <c r="G200" s="31">
        <v>0</v>
      </c>
      <c r="H200" s="31"/>
      <c r="I200" s="31">
        <f>노임!D4</f>
        <v>237480</v>
      </c>
      <c r="J200" s="31">
        <f>TRUNC(I200*C200,0)</f>
        <v>1674234</v>
      </c>
      <c r="K200" s="31">
        <v>0</v>
      </c>
      <c r="L200" s="31"/>
      <c r="M200" s="22" t="s">
        <v>2859</v>
      </c>
      <c r="N200" t="s">
        <v>2859</v>
      </c>
      <c r="P200" t="s">
        <v>2491</v>
      </c>
      <c r="Q200" t="s">
        <v>2859</v>
      </c>
      <c r="R200" t="s">
        <v>101</v>
      </c>
      <c r="BI200" s="34" t="str">
        <f>HYPERLINK("#노임!A4","L007 →")</f>
        <v>L007 →</v>
      </c>
    </row>
    <row r="201" spans="1:61" ht="18.399999999999999" customHeight="1" x14ac:dyDescent="0.15">
      <c r="A201" s="13" t="s">
        <v>1010</v>
      </c>
      <c r="B201" s="2" t="s">
        <v>2859</v>
      </c>
      <c r="C201" s="2">
        <v>2.57</v>
      </c>
      <c r="D201" s="2" t="s">
        <v>2663</v>
      </c>
      <c r="E201" s="31">
        <f t="shared" si="30"/>
        <v>270724</v>
      </c>
      <c r="F201" s="31">
        <f t="shared" si="29"/>
        <v>695760</v>
      </c>
      <c r="G201" s="31">
        <v>0</v>
      </c>
      <c r="H201" s="31"/>
      <c r="I201" s="31">
        <f>노임!D14</f>
        <v>270724</v>
      </c>
      <c r="J201" s="31">
        <f>TRUNC(I201*C201,0)</f>
        <v>695760</v>
      </c>
      <c r="K201" s="31">
        <v>0</v>
      </c>
      <c r="L201" s="31"/>
      <c r="M201" s="22" t="s">
        <v>2859</v>
      </c>
      <c r="N201" t="s">
        <v>2859</v>
      </c>
      <c r="P201" t="s">
        <v>1745</v>
      </c>
      <c r="Q201" t="s">
        <v>2859</v>
      </c>
      <c r="R201" t="s">
        <v>2184</v>
      </c>
      <c r="BI201" s="34" t="str">
        <f>HYPERLINK("#노임!A14","L114 →")</f>
        <v>L114 →</v>
      </c>
    </row>
    <row r="202" spans="1:61" ht="18.399999999999999" customHeight="1" x14ac:dyDescent="0.15">
      <c r="A202" s="13" t="s">
        <v>932</v>
      </c>
      <c r="B202" s="2" t="s">
        <v>2859</v>
      </c>
      <c r="C202" s="2">
        <v>1.92</v>
      </c>
      <c r="D202" s="2" t="s">
        <v>2663</v>
      </c>
      <c r="E202" s="31">
        <f t="shared" si="30"/>
        <v>219321</v>
      </c>
      <c r="F202" s="31">
        <f t="shared" si="29"/>
        <v>421096</v>
      </c>
      <c r="G202" s="31">
        <v>0</v>
      </c>
      <c r="H202" s="31"/>
      <c r="I202" s="31">
        <f>노임!D12</f>
        <v>219321</v>
      </c>
      <c r="J202" s="31">
        <f>TRUNC(I202*C202,0)</f>
        <v>421096</v>
      </c>
      <c r="K202" s="31">
        <v>0</v>
      </c>
      <c r="L202" s="31"/>
      <c r="M202" s="22" t="s">
        <v>2859</v>
      </c>
      <c r="N202" t="s">
        <v>2859</v>
      </c>
      <c r="P202" t="s">
        <v>1030</v>
      </c>
      <c r="Q202" t="s">
        <v>2859</v>
      </c>
      <c r="R202" t="s">
        <v>2035</v>
      </c>
      <c r="BI202" s="34" t="str">
        <f>HYPERLINK("#노임!A12","L084 →")</f>
        <v>L084 →</v>
      </c>
    </row>
    <row r="203" spans="1:61" ht="18.399999999999999" customHeight="1" x14ac:dyDescent="0.15">
      <c r="A203" s="13" t="s">
        <v>891</v>
      </c>
      <c r="B203" s="2" t="s">
        <v>2859</v>
      </c>
      <c r="C203" s="2">
        <v>1.28</v>
      </c>
      <c r="D203" s="2" t="s">
        <v>2663</v>
      </c>
      <c r="E203" s="31">
        <f t="shared" si="30"/>
        <v>167081</v>
      </c>
      <c r="F203" s="31">
        <f t="shared" si="29"/>
        <v>213863</v>
      </c>
      <c r="G203" s="31">
        <v>0</v>
      </c>
      <c r="H203" s="31"/>
      <c r="I203" s="31">
        <f>노임!D13</f>
        <v>167081</v>
      </c>
      <c r="J203" s="31">
        <f>TRUNC(I203*C203,0)</f>
        <v>213863</v>
      </c>
      <c r="K203" s="31">
        <v>0</v>
      </c>
      <c r="L203" s="31"/>
      <c r="M203" s="22" t="s">
        <v>2859</v>
      </c>
      <c r="N203" t="s">
        <v>2859</v>
      </c>
      <c r="P203" t="s">
        <v>267</v>
      </c>
      <c r="Q203" t="s">
        <v>2859</v>
      </c>
      <c r="R203" t="s">
        <v>485</v>
      </c>
      <c r="AA203" s="40" t="s">
        <v>907</v>
      </c>
      <c r="AB203" s="10">
        <f>((일위대가_호표!J200*전역변수!C34)+(일위대가_호표!J201*전역변수!C34)+(일위대가_호표!J202*전역변수!C34)+(일위대가_호표!J203*전역변수!C34))*0.05</f>
        <v>150247.65</v>
      </c>
      <c r="AC203" s="40" t="s">
        <v>1545</v>
      </c>
      <c r="AD203" s="9">
        <f>$AB203</f>
        <v>150247.65</v>
      </c>
      <c r="BI203" s="34" t="str">
        <f>HYPERLINK("#노임!A13","L085 →")</f>
        <v>L085 →</v>
      </c>
    </row>
    <row r="204" spans="1:61" ht="18.399999999999999" customHeight="1" x14ac:dyDescent="0.15">
      <c r="A204" s="13" t="s">
        <v>2601</v>
      </c>
      <c r="B204" s="2" t="s">
        <v>2653</v>
      </c>
      <c r="C204" s="2">
        <v>1</v>
      </c>
      <c r="D204" s="2" t="s">
        <v>2293</v>
      </c>
      <c r="E204" s="31">
        <f t="shared" si="30"/>
        <v>0</v>
      </c>
      <c r="F204" s="31">
        <f t="shared" si="29"/>
        <v>150247</v>
      </c>
      <c r="G204" s="1"/>
      <c r="H204" s="31">
        <v>0</v>
      </c>
      <c r="I204" s="1"/>
      <c r="J204" s="31">
        <v>0</v>
      </c>
      <c r="K204" s="1"/>
      <c r="L204" s="31">
        <f>TRUNC((((J200*전역변수!C34)+(J201*전역변수!C34)+(J202*전역변수!C34)+(J203*전역변수!C34))*0.05),0)</f>
        <v>150247</v>
      </c>
      <c r="M204" s="22" t="s">
        <v>2859</v>
      </c>
      <c r="N204" t="s">
        <v>2859</v>
      </c>
      <c r="P204" t="s">
        <v>2435</v>
      </c>
      <c r="Q204" t="s">
        <v>2859</v>
      </c>
      <c r="R204" t="s">
        <v>2417</v>
      </c>
      <c r="X204" t="s">
        <v>2095</v>
      </c>
      <c r="AA204" s="40" t="s">
        <v>2113</v>
      </c>
      <c r="AB204" s="10">
        <f>((일위대가_호표!J200*전역변수!C34)+(일위대가_호표!J201*전역변수!C34)+(일위대가_호표!J202*전역변수!C34)+(일위대가_호표!J203*전역변수!C34))*0.03</f>
        <v>90148.59</v>
      </c>
      <c r="AC204" s="40" t="s">
        <v>2372</v>
      </c>
      <c r="AD204" s="9">
        <f>$AB204</f>
        <v>90148.59</v>
      </c>
    </row>
    <row r="205" spans="1:61" ht="18.399999999999999" customHeight="1" x14ac:dyDescent="0.15">
      <c r="A205" s="13" t="s">
        <v>309</v>
      </c>
      <c r="B205" s="2" t="s">
        <v>2721</v>
      </c>
      <c r="C205" s="2">
        <v>1</v>
      </c>
      <c r="D205" s="2" t="s">
        <v>2293</v>
      </c>
      <c r="E205" s="31">
        <f t="shared" si="30"/>
        <v>0</v>
      </c>
      <c r="F205" s="31">
        <f t="shared" si="29"/>
        <v>90148</v>
      </c>
      <c r="G205" s="1"/>
      <c r="H205" s="31">
        <f>TRUNC((((J200*전역변수!C34)+(J201*전역변수!C34)+(J202*전역변수!C34)+(J203*전역변수!C34))*0.03),0)</f>
        <v>90148</v>
      </c>
      <c r="I205" s="1"/>
      <c r="J205" s="31">
        <v>0</v>
      </c>
      <c r="K205" s="1"/>
      <c r="L205" s="31">
        <v>0</v>
      </c>
      <c r="M205" s="22" t="s">
        <v>2859</v>
      </c>
      <c r="N205" t="s">
        <v>2859</v>
      </c>
      <c r="P205" t="s">
        <v>1695</v>
      </c>
      <c r="Q205" t="s">
        <v>2859</v>
      </c>
      <c r="R205" t="s">
        <v>2417</v>
      </c>
      <c r="X205" t="s">
        <v>215</v>
      </c>
    </row>
    <row r="206" spans="1:61" ht="18.399999999999999" customHeight="1" x14ac:dyDescent="0.15">
      <c r="A206" s="57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58"/>
    </row>
    <row r="207" spans="1:61" ht="18.399999999999999" customHeight="1" x14ac:dyDescent="0.15">
      <c r="A207" s="13" t="s">
        <v>1878</v>
      </c>
      <c r="B207" s="2" t="s">
        <v>513</v>
      </c>
      <c r="C207" s="2">
        <v>1</v>
      </c>
      <c r="D207" s="2" t="s">
        <v>2212</v>
      </c>
      <c r="F207" s="31">
        <f t="shared" ref="F207:F215" si="31">H207+J207+L207</f>
        <v>5055</v>
      </c>
      <c r="H207" s="31">
        <f>TRUNC(H209+H210+H211+H212+H213+H214+H215,0)</f>
        <v>615</v>
      </c>
      <c r="J207" s="31">
        <f>TRUNC(J209+J210+J211+J212+J213+J214+J215,0)</f>
        <v>4353</v>
      </c>
      <c r="L207" s="31">
        <f>TRUNC(L209+L210+L211+L212+L213+L214+L215,0)</f>
        <v>87</v>
      </c>
      <c r="M207" s="22" t="s">
        <v>2859</v>
      </c>
      <c r="N207" t="s">
        <v>2859</v>
      </c>
      <c r="O207" t="s">
        <v>1941</v>
      </c>
    </row>
    <row r="208" spans="1:61" ht="18.399999999999999" customHeight="1" x14ac:dyDescent="0.15">
      <c r="A208" s="13" t="s">
        <v>232</v>
      </c>
      <c r="B208" s="2" t="s">
        <v>2859</v>
      </c>
      <c r="C208" s="2"/>
      <c r="D208" s="2" t="s">
        <v>2859</v>
      </c>
      <c r="E208" s="31">
        <f t="shared" ref="E208:E215" si="32">G208+I208+K208</f>
        <v>0</v>
      </c>
      <c r="F208" s="31">
        <f t="shared" si="31"/>
        <v>0</v>
      </c>
      <c r="G208" s="1"/>
      <c r="H208" s="31">
        <v>0</v>
      </c>
      <c r="I208" s="1"/>
      <c r="J208" s="31">
        <v>0</v>
      </c>
      <c r="K208" s="1"/>
      <c r="L208" s="31">
        <v>0</v>
      </c>
      <c r="M208" s="22" t="s">
        <v>2859</v>
      </c>
      <c r="N208" t="s">
        <v>2859</v>
      </c>
      <c r="P208" t="s">
        <v>322</v>
      </c>
      <c r="Q208" t="s">
        <v>2859</v>
      </c>
      <c r="R208" t="s">
        <v>2859</v>
      </c>
    </row>
    <row r="209" spans="1:61" ht="18.399999999999999" customHeight="1" x14ac:dyDescent="0.15">
      <c r="A209" s="13" t="s">
        <v>1772</v>
      </c>
      <c r="B209" s="2" t="s">
        <v>808</v>
      </c>
      <c r="C209" s="2">
        <v>0.08</v>
      </c>
      <c r="D209" s="2" t="s">
        <v>2218</v>
      </c>
      <c r="E209" s="31">
        <f t="shared" si="32"/>
        <v>7098</v>
      </c>
      <c r="F209" s="31">
        <f t="shared" si="31"/>
        <v>567</v>
      </c>
      <c r="G209" s="31">
        <f>자재조서!E53</f>
        <v>7098</v>
      </c>
      <c r="H209" s="31">
        <f>TRUNC(G209*C209,0)</f>
        <v>567</v>
      </c>
      <c r="I209" s="31">
        <v>0</v>
      </c>
      <c r="J209" s="31"/>
      <c r="K209" s="31">
        <v>0</v>
      </c>
      <c r="L209" s="31"/>
      <c r="M209" s="22" t="s">
        <v>2859</v>
      </c>
      <c r="N209" t="s">
        <v>801</v>
      </c>
      <c r="P209" t="s">
        <v>2491</v>
      </c>
      <c r="Q209" t="s">
        <v>2859</v>
      </c>
      <c r="R209" t="s">
        <v>2327</v>
      </c>
      <c r="BI209" s="34" t="str">
        <f>HYPERLINK("#자재조서!A53","M4074023 →")</f>
        <v>M4074023 →</v>
      </c>
    </row>
    <row r="210" spans="1:61" ht="18.399999999999999" customHeight="1" x14ac:dyDescent="0.15">
      <c r="A210" s="13" t="s">
        <v>1244</v>
      </c>
      <c r="B210" s="2" t="s">
        <v>344</v>
      </c>
      <c r="C210" s="2">
        <v>4.0000000000000001E-3</v>
      </c>
      <c r="D210" s="2" t="s">
        <v>2267</v>
      </c>
      <c r="E210" s="31">
        <f t="shared" si="32"/>
        <v>2700</v>
      </c>
      <c r="F210" s="31">
        <f t="shared" si="31"/>
        <v>10</v>
      </c>
      <c r="G210" s="31">
        <f>자재조서!E55</f>
        <v>2700</v>
      </c>
      <c r="H210" s="31">
        <f>TRUNC(G210*C210,0)</f>
        <v>10</v>
      </c>
      <c r="I210" s="31">
        <v>0</v>
      </c>
      <c r="J210" s="31"/>
      <c r="K210" s="31">
        <v>0</v>
      </c>
      <c r="L210" s="31"/>
      <c r="M210" s="22" t="s">
        <v>2859</v>
      </c>
      <c r="N210" t="s">
        <v>2764</v>
      </c>
      <c r="P210" t="s">
        <v>1745</v>
      </c>
      <c r="Q210" t="s">
        <v>2859</v>
      </c>
      <c r="R210" t="s">
        <v>2464</v>
      </c>
      <c r="BI210" s="34" t="str">
        <f>HYPERLINK("#자재조서!A55","M4092005 →")</f>
        <v>M4092005 →</v>
      </c>
    </row>
    <row r="211" spans="1:61" ht="18.399999999999999" customHeight="1" x14ac:dyDescent="0.15">
      <c r="A211" s="13" t="s">
        <v>2591</v>
      </c>
      <c r="B211" s="2" t="s">
        <v>2382</v>
      </c>
      <c r="C211" s="2">
        <v>0.05</v>
      </c>
      <c r="D211" s="2" t="s">
        <v>2128</v>
      </c>
      <c r="E211" s="31">
        <f t="shared" si="32"/>
        <v>217</v>
      </c>
      <c r="F211" s="31">
        <f t="shared" si="31"/>
        <v>10</v>
      </c>
      <c r="G211" s="31">
        <f>자재조서!E61</f>
        <v>217</v>
      </c>
      <c r="H211" s="31">
        <f>TRUNC(G211*C211,0)</f>
        <v>10</v>
      </c>
      <c r="I211" s="31">
        <v>0</v>
      </c>
      <c r="J211" s="31"/>
      <c r="K211" s="31">
        <v>0</v>
      </c>
      <c r="L211" s="31"/>
      <c r="M211" s="22" t="s">
        <v>2859</v>
      </c>
      <c r="N211" t="s">
        <v>2859</v>
      </c>
      <c r="P211" t="s">
        <v>1030</v>
      </c>
      <c r="Q211" t="s">
        <v>2859</v>
      </c>
      <c r="R211" t="s">
        <v>1956</v>
      </c>
      <c r="AA211" s="40" t="s">
        <v>2113</v>
      </c>
      <c r="AB211" s="10">
        <f>(일위대가_호표!H209+일위대가_호표!H210)*0.05</f>
        <v>28.85</v>
      </c>
      <c r="AC211" s="40" t="s">
        <v>2372</v>
      </c>
      <c r="AD211" s="9">
        <f>$AB211</f>
        <v>28.85</v>
      </c>
      <c r="BI211" s="34" t="str">
        <f>HYPERLINK("#자재조서!A61","M8916015 →")</f>
        <v>M8916015 →</v>
      </c>
    </row>
    <row r="212" spans="1:61" ht="18.399999999999999" customHeight="1" x14ac:dyDescent="0.15">
      <c r="A212" s="13" t="s">
        <v>1161</v>
      </c>
      <c r="B212" s="2" t="s">
        <v>1570</v>
      </c>
      <c r="C212" s="2">
        <v>1</v>
      </c>
      <c r="D212" s="2" t="s">
        <v>2293</v>
      </c>
      <c r="E212" s="31">
        <f t="shared" si="32"/>
        <v>0</v>
      </c>
      <c r="F212" s="31">
        <f t="shared" si="31"/>
        <v>28</v>
      </c>
      <c r="G212" s="1"/>
      <c r="H212" s="31">
        <f>TRUNC(((H209+H210)*0.05),0)</f>
        <v>28</v>
      </c>
      <c r="I212" s="1"/>
      <c r="J212" s="31">
        <v>0</v>
      </c>
      <c r="K212" s="1"/>
      <c r="L212" s="31">
        <v>0</v>
      </c>
      <c r="M212" s="22" t="s">
        <v>2859</v>
      </c>
      <c r="N212" t="s">
        <v>2859</v>
      </c>
      <c r="P212" t="s">
        <v>267</v>
      </c>
      <c r="Q212" t="s">
        <v>2859</v>
      </c>
      <c r="R212" t="s">
        <v>2417</v>
      </c>
      <c r="X212" t="s">
        <v>701</v>
      </c>
    </row>
    <row r="213" spans="1:61" ht="18.399999999999999" customHeight="1" x14ac:dyDescent="0.15">
      <c r="A213" s="13" t="s">
        <v>1965</v>
      </c>
      <c r="B213" s="2" t="s">
        <v>2859</v>
      </c>
      <c r="C213" s="2">
        <v>1.4999999999999999E-2</v>
      </c>
      <c r="D213" s="2" t="s">
        <v>2663</v>
      </c>
      <c r="E213" s="31">
        <f t="shared" si="32"/>
        <v>256854</v>
      </c>
      <c r="F213" s="31">
        <f t="shared" si="31"/>
        <v>3852</v>
      </c>
      <c r="G213" s="31">
        <v>0</v>
      </c>
      <c r="H213" s="31"/>
      <c r="I213" s="31">
        <f>노임!D9</f>
        <v>256854</v>
      </c>
      <c r="J213" s="31">
        <f>TRUNC(I213*C213,0)</f>
        <v>3852</v>
      </c>
      <c r="K213" s="31">
        <v>0</v>
      </c>
      <c r="L213" s="31"/>
      <c r="M213" s="22" t="s">
        <v>2859</v>
      </c>
      <c r="N213" t="s">
        <v>2859</v>
      </c>
      <c r="P213" t="s">
        <v>2435</v>
      </c>
      <c r="Q213" t="s">
        <v>2859</v>
      </c>
      <c r="R213" t="s">
        <v>772</v>
      </c>
      <c r="BI213" s="34" t="str">
        <f>HYPERLINK("#노임!A9","L032 →")</f>
        <v>L032 →</v>
      </c>
    </row>
    <row r="214" spans="1:61" ht="18.399999999999999" customHeight="1" x14ac:dyDescent="0.15">
      <c r="A214" s="13" t="s">
        <v>891</v>
      </c>
      <c r="B214" s="2" t="s">
        <v>2859</v>
      </c>
      <c r="C214" s="2">
        <v>3.0000000000000001E-3</v>
      </c>
      <c r="D214" s="2" t="s">
        <v>2663</v>
      </c>
      <c r="E214" s="31">
        <f t="shared" si="32"/>
        <v>167081</v>
      </c>
      <c r="F214" s="31">
        <f t="shared" si="31"/>
        <v>501</v>
      </c>
      <c r="G214" s="31">
        <v>0</v>
      </c>
      <c r="H214" s="31"/>
      <c r="I214" s="31">
        <f>노임!D13</f>
        <v>167081</v>
      </c>
      <c r="J214" s="31">
        <f>TRUNC(I214*C214,0)</f>
        <v>501</v>
      </c>
      <c r="K214" s="31">
        <v>0</v>
      </c>
      <c r="L214" s="31"/>
      <c r="M214" s="22" t="s">
        <v>2859</v>
      </c>
      <c r="N214" t="s">
        <v>822</v>
      </c>
      <c r="P214" t="s">
        <v>1695</v>
      </c>
      <c r="Q214" t="s">
        <v>2859</v>
      </c>
      <c r="R214" t="s">
        <v>485</v>
      </c>
      <c r="AA214" s="40" t="s">
        <v>907</v>
      </c>
      <c r="AB214" s="10">
        <f>((일위대가_호표!J213*전역변수!C34)+(일위대가_호표!J214*전역변수!C34))*0.02</f>
        <v>87.06</v>
      </c>
      <c r="AC214" s="40" t="s">
        <v>1545</v>
      </c>
      <c r="AD214" s="9">
        <f>$AB214</f>
        <v>87.06</v>
      </c>
      <c r="BI214" s="34" t="str">
        <f>HYPERLINK("#노임!A13","L085 →")</f>
        <v>L085 →</v>
      </c>
    </row>
    <row r="215" spans="1:61" ht="18.399999999999999" customHeight="1" x14ac:dyDescent="0.15">
      <c r="A215" s="13" t="s">
        <v>990</v>
      </c>
      <c r="B215" s="2" t="s">
        <v>2749</v>
      </c>
      <c r="C215" s="2">
        <v>1</v>
      </c>
      <c r="D215" s="2" t="s">
        <v>2293</v>
      </c>
      <c r="E215" s="31">
        <f t="shared" si="32"/>
        <v>0</v>
      </c>
      <c r="F215" s="31">
        <f t="shared" si="31"/>
        <v>87</v>
      </c>
      <c r="G215" s="1"/>
      <c r="H215" s="31">
        <v>0</v>
      </c>
      <c r="I215" s="1"/>
      <c r="J215" s="31">
        <v>0</v>
      </c>
      <c r="K215" s="1"/>
      <c r="L215" s="31">
        <f>TRUNC((((J213*전역변수!C34)+(J214*전역변수!C34))*0.02),0)</f>
        <v>87</v>
      </c>
      <c r="M215" s="22" t="s">
        <v>2859</v>
      </c>
      <c r="N215" t="s">
        <v>2859</v>
      </c>
      <c r="P215" t="s">
        <v>979</v>
      </c>
      <c r="Q215" t="s">
        <v>2859</v>
      </c>
      <c r="R215" t="s">
        <v>2417</v>
      </c>
      <c r="X215" t="s">
        <v>775</v>
      </c>
    </row>
    <row r="216" spans="1:61" ht="18.399999999999999" customHeight="1" x14ac:dyDescent="0.15">
      <c r="A216" s="57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58"/>
    </row>
    <row r="217" spans="1:61" ht="18.399999999999999" customHeight="1" x14ac:dyDescent="0.15">
      <c r="A217" s="13" t="s">
        <v>1277</v>
      </c>
      <c r="B217" s="2" t="s">
        <v>2525</v>
      </c>
      <c r="C217" s="2">
        <v>1</v>
      </c>
      <c r="D217" s="2" t="s">
        <v>2212</v>
      </c>
      <c r="F217" s="31">
        <f t="shared" ref="F217:F226" si="33">H217+J217+L217</f>
        <v>13279</v>
      </c>
      <c r="H217" s="31">
        <f>TRUNC(H219+H220+H221+H222+H223+H224+H225+H226,0)</f>
        <v>1437</v>
      </c>
      <c r="J217" s="31">
        <f>TRUNC(J219+J220+J221+J222+J223+J224+J225+J226,0)</f>
        <v>11610</v>
      </c>
      <c r="L217" s="31">
        <f>TRUNC(L219+L220+L221+L222+L223+L224+L225+L226,0)</f>
        <v>232</v>
      </c>
      <c r="M217" s="22" t="s">
        <v>2859</v>
      </c>
      <c r="N217" t="s">
        <v>2859</v>
      </c>
      <c r="O217" t="s">
        <v>1472</v>
      </c>
    </row>
    <row r="218" spans="1:61" ht="18.399999999999999" customHeight="1" x14ac:dyDescent="0.15">
      <c r="A218" s="13" t="s">
        <v>2399</v>
      </c>
      <c r="B218" s="2" t="s">
        <v>2859</v>
      </c>
      <c r="C218" s="2"/>
      <c r="D218" s="2" t="s">
        <v>2859</v>
      </c>
      <c r="E218" s="31">
        <f t="shared" ref="E218:E226" si="34">G218+I218+K218</f>
        <v>0</v>
      </c>
      <c r="F218" s="31">
        <f t="shared" si="33"/>
        <v>0</v>
      </c>
      <c r="G218" s="1"/>
      <c r="H218" s="31">
        <v>0</v>
      </c>
      <c r="I218" s="1"/>
      <c r="J218" s="31">
        <v>0</v>
      </c>
      <c r="K218" s="1"/>
      <c r="L218" s="31">
        <v>0</v>
      </c>
      <c r="M218" s="22" t="s">
        <v>2859</v>
      </c>
      <c r="N218" t="s">
        <v>2859</v>
      </c>
      <c r="P218" t="s">
        <v>322</v>
      </c>
      <c r="Q218" t="s">
        <v>2859</v>
      </c>
      <c r="R218" t="s">
        <v>2859</v>
      </c>
    </row>
    <row r="219" spans="1:61" ht="18.399999999999999" customHeight="1" x14ac:dyDescent="0.15">
      <c r="A219" s="13" t="s">
        <v>210</v>
      </c>
      <c r="B219" s="2" t="s">
        <v>159</v>
      </c>
      <c r="C219" s="2">
        <v>0.16600000000000001</v>
      </c>
      <c r="D219" s="2" t="s">
        <v>2218</v>
      </c>
      <c r="E219" s="31">
        <f t="shared" si="34"/>
        <v>5778</v>
      </c>
      <c r="F219" s="31">
        <f t="shared" si="33"/>
        <v>959</v>
      </c>
      <c r="G219" s="31">
        <f>자재조서!E54</f>
        <v>5778</v>
      </c>
      <c r="H219" s="31">
        <f>TRUNC(G219*C219,0)</f>
        <v>959</v>
      </c>
      <c r="I219" s="31">
        <v>0</v>
      </c>
      <c r="J219" s="31"/>
      <c r="K219" s="31">
        <v>0</v>
      </c>
      <c r="L219" s="31"/>
      <c r="M219" s="22" t="s">
        <v>2859</v>
      </c>
      <c r="N219" t="s">
        <v>2859</v>
      </c>
      <c r="P219" t="s">
        <v>2491</v>
      </c>
      <c r="Q219" t="s">
        <v>2859</v>
      </c>
      <c r="R219" t="s">
        <v>685</v>
      </c>
      <c r="BI219" s="34" t="str">
        <f>HYPERLINK("#자재조서!A54","M4077023 →")</f>
        <v>M4077023 →</v>
      </c>
    </row>
    <row r="220" spans="1:61" ht="18.399999999999999" customHeight="1" x14ac:dyDescent="0.15">
      <c r="A220" s="13" t="s">
        <v>1244</v>
      </c>
      <c r="B220" s="2" t="s">
        <v>344</v>
      </c>
      <c r="C220" s="2">
        <v>8.0000000000000002E-3</v>
      </c>
      <c r="D220" s="2" t="s">
        <v>2267</v>
      </c>
      <c r="E220" s="31">
        <f t="shared" si="34"/>
        <v>2700</v>
      </c>
      <c r="F220" s="31">
        <f t="shared" si="33"/>
        <v>21</v>
      </c>
      <c r="G220" s="31">
        <f>자재조서!E55</f>
        <v>2700</v>
      </c>
      <c r="H220" s="31">
        <f>TRUNC(G220*C220,0)</f>
        <v>21</v>
      </c>
      <c r="I220" s="31">
        <v>0</v>
      </c>
      <c r="J220" s="31"/>
      <c r="K220" s="31">
        <v>0</v>
      </c>
      <c r="L220" s="31"/>
      <c r="M220" s="22" t="s">
        <v>2859</v>
      </c>
      <c r="N220" t="s">
        <v>2764</v>
      </c>
      <c r="P220" t="s">
        <v>1745</v>
      </c>
      <c r="Q220" t="s">
        <v>2859</v>
      </c>
      <c r="R220" t="s">
        <v>2464</v>
      </c>
      <c r="BI220" s="34" t="str">
        <f>HYPERLINK("#자재조서!A55","M4092005 →")</f>
        <v>M4092005 →</v>
      </c>
    </row>
    <row r="221" spans="1:61" ht="18.399999999999999" customHeight="1" x14ac:dyDescent="0.15">
      <c r="A221" s="13" t="s">
        <v>377</v>
      </c>
      <c r="B221" s="2" t="s">
        <v>2780</v>
      </c>
      <c r="C221" s="2">
        <v>0.08</v>
      </c>
      <c r="D221" s="2" t="s">
        <v>2831</v>
      </c>
      <c r="E221" s="31">
        <f t="shared" si="34"/>
        <v>4844</v>
      </c>
      <c r="F221" s="31">
        <f t="shared" si="33"/>
        <v>387</v>
      </c>
      <c r="G221" s="31">
        <f>TRUNC(자재조서!E56*V221/U221,0)</f>
        <v>4844</v>
      </c>
      <c r="H221" s="31">
        <f>TRUNC(G221*C221,0)</f>
        <v>387</v>
      </c>
      <c r="I221" s="31">
        <v>0</v>
      </c>
      <c r="J221" s="31"/>
      <c r="K221" s="31">
        <v>0</v>
      </c>
      <c r="L221" s="31"/>
      <c r="M221" s="22" t="s">
        <v>2859</v>
      </c>
      <c r="N221" t="s">
        <v>2859</v>
      </c>
      <c r="P221" t="s">
        <v>1030</v>
      </c>
      <c r="Q221" t="s">
        <v>2859</v>
      </c>
      <c r="R221" t="s">
        <v>1562</v>
      </c>
      <c r="U221">
        <v>1</v>
      </c>
      <c r="V221">
        <v>1</v>
      </c>
      <c r="BI221" s="34" t="str">
        <f>HYPERLINK("#자재조서!A56","M4119003 →")</f>
        <v>M4119003 →</v>
      </c>
    </row>
    <row r="222" spans="1:61" ht="18.399999999999999" customHeight="1" x14ac:dyDescent="0.15">
      <c r="A222" s="13" t="s">
        <v>2591</v>
      </c>
      <c r="B222" s="2" t="s">
        <v>2382</v>
      </c>
      <c r="C222" s="2">
        <v>0.1</v>
      </c>
      <c r="D222" s="2" t="s">
        <v>2128</v>
      </c>
      <c r="E222" s="31">
        <f t="shared" si="34"/>
        <v>217</v>
      </c>
      <c r="F222" s="31">
        <f t="shared" si="33"/>
        <v>21</v>
      </c>
      <c r="G222" s="31">
        <f>자재조서!E61</f>
        <v>217</v>
      </c>
      <c r="H222" s="31">
        <f>TRUNC(G222*C222,0)</f>
        <v>21</v>
      </c>
      <c r="I222" s="31">
        <v>0</v>
      </c>
      <c r="J222" s="31"/>
      <c r="K222" s="31">
        <v>0</v>
      </c>
      <c r="L222" s="31"/>
      <c r="M222" s="22" t="s">
        <v>2859</v>
      </c>
      <c r="N222" t="s">
        <v>2859</v>
      </c>
      <c r="P222" t="s">
        <v>267</v>
      </c>
      <c r="Q222" t="s">
        <v>2859</v>
      </c>
      <c r="R222" t="s">
        <v>1956</v>
      </c>
      <c r="AA222" s="40" t="s">
        <v>2113</v>
      </c>
      <c r="AB222" s="10">
        <f>(일위대가_호표!H219+일위대가_호표!H220)*0.05</f>
        <v>49</v>
      </c>
      <c r="AC222" s="40" t="s">
        <v>2372</v>
      </c>
      <c r="AD222" s="9">
        <f>$AB222</f>
        <v>49</v>
      </c>
      <c r="BI222" s="34" t="str">
        <f>HYPERLINK("#자재조서!A61","M8916015 →")</f>
        <v>M8916015 →</v>
      </c>
    </row>
    <row r="223" spans="1:61" ht="18.399999999999999" customHeight="1" x14ac:dyDescent="0.15">
      <c r="A223" s="13" t="s">
        <v>1161</v>
      </c>
      <c r="B223" s="2" t="s">
        <v>1570</v>
      </c>
      <c r="C223" s="2">
        <v>1</v>
      </c>
      <c r="D223" s="2" t="s">
        <v>2293</v>
      </c>
      <c r="E223" s="31">
        <f t="shared" si="34"/>
        <v>0</v>
      </c>
      <c r="F223" s="31">
        <f t="shared" si="33"/>
        <v>49</v>
      </c>
      <c r="G223" s="1"/>
      <c r="H223" s="31">
        <f>TRUNC(((H219+H220)*0.05),0)</f>
        <v>49</v>
      </c>
      <c r="I223" s="1"/>
      <c r="J223" s="31">
        <v>0</v>
      </c>
      <c r="K223" s="1"/>
      <c r="L223" s="31">
        <v>0</v>
      </c>
      <c r="M223" s="22" t="s">
        <v>2859</v>
      </c>
      <c r="N223" t="s">
        <v>2859</v>
      </c>
      <c r="P223" t="s">
        <v>2435</v>
      </c>
      <c r="Q223" t="s">
        <v>2859</v>
      </c>
      <c r="R223" t="s">
        <v>2417</v>
      </c>
      <c r="X223" t="s">
        <v>701</v>
      </c>
    </row>
    <row r="224" spans="1:61" ht="18.399999999999999" customHeight="1" x14ac:dyDescent="0.15">
      <c r="A224" s="13" t="s">
        <v>1965</v>
      </c>
      <c r="B224" s="2" t="s">
        <v>2859</v>
      </c>
      <c r="C224" s="2">
        <v>0.04</v>
      </c>
      <c r="D224" s="2" t="s">
        <v>2663</v>
      </c>
      <c r="E224" s="31">
        <f t="shared" si="34"/>
        <v>256854</v>
      </c>
      <c r="F224" s="31">
        <f t="shared" si="33"/>
        <v>10274</v>
      </c>
      <c r="G224" s="31">
        <v>0</v>
      </c>
      <c r="H224" s="31"/>
      <c r="I224" s="31">
        <f>노임!D9</f>
        <v>256854</v>
      </c>
      <c r="J224" s="31">
        <f>TRUNC(I224*C224,0)</f>
        <v>10274</v>
      </c>
      <c r="K224" s="31">
        <v>0</v>
      </c>
      <c r="L224" s="31"/>
      <c r="M224" s="22" t="s">
        <v>2859</v>
      </c>
      <c r="N224" t="s">
        <v>2859</v>
      </c>
      <c r="P224" t="s">
        <v>1695</v>
      </c>
      <c r="Q224" t="s">
        <v>2859</v>
      </c>
      <c r="R224" t="s">
        <v>772</v>
      </c>
      <c r="BI224" s="34" t="str">
        <f>HYPERLINK("#노임!A9","L032 →")</f>
        <v>L032 →</v>
      </c>
    </row>
    <row r="225" spans="1:61" ht="18.399999999999999" customHeight="1" x14ac:dyDescent="0.15">
      <c r="A225" s="13" t="s">
        <v>891</v>
      </c>
      <c r="B225" s="2" t="s">
        <v>2859</v>
      </c>
      <c r="C225" s="2">
        <v>8.0000000000000002E-3</v>
      </c>
      <c r="D225" s="2" t="s">
        <v>2663</v>
      </c>
      <c r="E225" s="31">
        <f t="shared" si="34"/>
        <v>167081</v>
      </c>
      <c r="F225" s="31">
        <f t="shared" si="33"/>
        <v>1336</v>
      </c>
      <c r="G225" s="31">
        <v>0</v>
      </c>
      <c r="H225" s="31"/>
      <c r="I225" s="31">
        <f>노임!D13</f>
        <v>167081</v>
      </c>
      <c r="J225" s="31">
        <f>TRUNC(I225*C225,0)</f>
        <v>1336</v>
      </c>
      <c r="K225" s="31">
        <v>0</v>
      </c>
      <c r="L225" s="31"/>
      <c r="M225" s="22" t="s">
        <v>2859</v>
      </c>
      <c r="N225" t="s">
        <v>822</v>
      </c>
      <c r="P225" t="s">
        <v>979</v>
      </c>
      <c r="Q225" t="s">
        <v>2859</v>
      </c>
      <c r="R225" t="s">
        <v>485</v>
      </c>
      <c r="AA225" s="40" t="s">
        <v>907</v>
      </c>
      <c r="AB225" s="10">
        <f>((일위대가_호표!J224*전역변수!C34)+(일위대가_호표!J225*전역변수!C34))*0.02</f>
        <v>232.20000000000002</v>
      </c>
      <c r="AC225" s="40" t="s">
        <v>1545</v>
      </c>
      <c r="AD225" s="9">
        <f>$AB225</f>
        <v>232.20000000000002</v>
      </c>
      <c r="BI225" s="34" t="str">
        <f>HYPERLINK("#노임!A13","L085 →")</f>
        <v>L085 →</v>
      </c>
    </row>
    <row r="226" spans="1:61" ht="18.399999999999999" customHeight="1" x14ac:dyDescent="0.15">
      <c r="A226" s="13" t="s">
        <v>990</v>
      </c>
      <c r="B226" s="2" t="s">
        <v>2749</v>
      </c>
      <c r="C226" s="2">
        <v>1</v>
      </c>
      <c r="D226" s="2" t="s">
        <v>2293</v>
      </c>
      <c r="E226" s="31">
        <f t="shared" si="34"/>
        <v>0</v>
      </c>
      <c r="F226" s="31">
        <f t="shared" si="33"/>
        <v>232</v>
      </c>
      <c r="G226" s="1"/>
      <c r="H226" s="31">
        <v>0</v>
      </c>
      <c r="I226" s="1"/>
      <c r="J226" s="31">
        <v>0</v>
      </c>
      <c r="K226" s="1"/>
      <c r="L226" s="31">
        <f>TRUNC((((J224*전역변수!C34)+(J225*전역변수!C34))*0.02),0)</f>
        <v>232</v>
      </c>
      <c r="M226" s="22" t="s">
        <v>2859</v>
      </c>
      <c r="N226" t="s">
        <v>2859</v>
      </c>
      <c r="P226" t="s">
        <v>223</v>
      </c>
      <c r="Q226" t="s">
        <v>2859</v>
      </c>
      <c r="R226" t="s">
        <v>2417</v>
      </c>
      <c r="X226" t="s">
        <v>381</v>
      </c>
    </row>
    <row r="227" spans="1:61" ht="18.399999999999999" customHeight="1" x14ac:dyDescent="0.15">
      <c r="A227" s="57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58"/>
    </row>
    <row r="228" spans="1:61" ht="18.399999999999999" customHeight="1" x14ac:dyDescent="0.15">
      <c r="A228" s="13" t="s">
        <v>2389</v>
      </c>
      <c r="B228" s="2" t="s">
        <v>2825</v>
      </c>
      <c r="C228" s="2">
        <v>1</v>
      </c>
      <c r="D228" s="2" t="s">
        <v>2212</v>
      </c>
      <c r="F228" s="31">
        <f>H228+J228+L228</f>
        <v>4550</v>
      </c>
      <c r="H228" s="31">
        <f>TRUNC(H230,0)</f>
        <v>0</v>
      </c>
      <c r="J228" s="31">
        <f>TRUNC(J230,0)</f>
        <v>4550</v>
      </c>
      <c r="L228" s="31">
        <f>TRUNC(L230,0)</f>
        <v>0</v>
      </c>
      <c r="M228" s="22" t="s">
        <v>2859</v>
      </c>
      <c r="N228" t="s">
        <v>2859</v>
      </c>
      <c r="O228" t="s">
        <v>88</v>
      </c>
    </row>
    <row r="229" spans="1:61" ht="18.399999999999999" customHeight="1" x14ac:dyDescent="0.15">
      <c r="A229" s="13" t="s">
        <v>2697</v>
      </c>
      <c r="B229" s="2" t="s">
        <v>2825</v>
      </c>
      <c r="C229" s="2">
        <v>1</v>
      </c>
      <c r="D229" s="2" t="s">
        <v>2212</v>
      </c>
      <c r="E229" s="31">
        <f>G229+I229+K229</f>
        <v>91005</v>
      </c>
      <c r="F229" s="31">
        <f>H229+J229+L229</f>
        <v>91005</v>
      </c>
      <c r="G229" s="31">
        <f>자재조서!E36</f>
        <v>91005</v>
      </c>
      <c r="H229" s="31">
        <f>TRUNC(G229*C229,0)</f>
        <v>91005</v>
      </c>
      <c r="I229" s="31">
        <v>0</v>
      </c>
      <c r="J229" s="31"/>
      <c r="K229" s="31">
        <v>0</v>
      </c>
      <c r="L229" s="31"/>
      <c r="M229" s="22" t="s">
        <v>2859</v>
      </c>
      <c r="N229" t="s">
        <v>604</v>
      </c>
      <c r="P229" t="s">
        <v>322</v>
      </c>
      <c r="Q229" t="s">
        <v>1832</v>
      </c>
      <c r="R229" t="s">
        <v>1726</v>
      </c>
      <c r="AA229" s="40" t="s">
        <v>287</v>
      </c>
      <c r="AB229" s="10">
        <f>일위대가_호표!H229*5/100</f>
        <v>4550.25</v>
      </c>
      <c r="AC229" s="40" t="s">
        <v>1141</v>
      </c>
      <c r="AD229" s="9">
        <f>$AB229</f>
        <v>4550.25</v>
      </c>
      <c r="BI229" s="34" t="str">
        <f>HYPERLINK("#자재조서!A36","M1572003 →")</f>
        <v>M1572003 →</v>
      </c>
    </row>
    <row r="230" spans="1:61" ht="18.399999999999999" customHeight="1" x14ac:dyDescent="0.15">
      <c r="A230" s="13" t="s">
        <v>435</v>
      </c>
      <c r="B230" s="2" t="s">
        <v>1779</v>
      </c>
      <c r="C230" s="2">
        <v>1</v>
      </c>
      <c r="D230" s="2" t="s">
        <v>2293</v>
      </c>
      <c r="E230" s="31">
        <f>G230+I230+K230</f>
        <v>0</v>
      </c>
      <c r="F230" s="31">
        <f>H230+J230+L230</f>
        <v>4550</v>
      </c>
      <c r="G230" s="1"/>
      <c r="H230" s="31">
        <v>0</v>
      </c>
      <c r="I230" s="1"/>
      <c r="J230" s="31">
        <f>TRUNC((H229*5/100),0)</f>
        <v>4550</v>
      </c>
      <c r="K230" s="1"/>
      <c r="L230" s="31">
        <v>0</v>
      </c>
      <c r="M230" s="22" t="s">
        <v>2859</v>
      </c>
      <c r="N230" t="s">
        <v>2859</v>
      </c>
      <c r="P230" t="s">
        <v>2491</v>
      </c>
      <c r="Q230" t="s">
        <v>2859</v>
      </c>
      <c r="R230" t="s">
        <v>2417</v>
      </c>
      <c r="X230" t="s">
        <v>1987</v>
      </c>
    </row>
    <row r="231" spans="1:61" ht="18.399999999999999" customHeight="1" x14ac:dyDescent="0.15">
      <c r="A231" s="57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58"/>
    </row>
    <row r="232" spans="1:61" ht="18.399999999999999" customHeight="1" x14ac:dyDescent="0.15">
      <c r="A232" s="13" t="s">
        <v>724</v>
      </c>
      <c r="B232" s="2" t="s">
        <v>2709</v>
      </c>
      <c r="C232" s="2">
        <v>1</v>
      </c>
      <c r="D232" s="2" t="s">
        <v>1091</v>
      </c>
      <c r="F232" s="31">
        <f t="shared" ref="F232:F239" si="35">H232+J232+L232</f>
        <v>60729</v>
      </c>
      <c r="H232" s="31">
        <f>TRUNC(H234+H235+H236+H237+H238+H239,0)</f>
        <v>6657</v>
      </c>
      <c r="J232" s="31">
        <f>TRUNC(J234+J235+J236+J237+J238+J239,0)</f>
        <v>52498</v>
      </c>
      <c r="L232" s="31">
        <f>TRUNC(L234+L235+L236+L237+L238+L239,0)</f>
        <v>1574</v>
      </c>
      <c r="M232" s="22" t="s">
        <v>2859</v>
      </c>
      <c r="N232" t="s">
        <v>2859</v>
      </c>
      <c r="O232" t="s">
        <v>2163</v>
      </c>
    </row>
    <row r="233" spans="1:61" ht="18.399999999999999" customHeight="1" x14ac:dyDescent="0.15">
      <c r="A233" s="13" t="s">
        <v>1120</v>
      </c>
      <c r="B233" s="2" t="s">
        <v>2859</v>
      </c>
      <c r="C233" s="2"/>
      <c r="D233" s="2" t="s">
        <v>2859</v>
      </c>
      <c r="E233" s="31">
        <f t="shared" ref="E233:E239" si="36">G233+I233+K233</f>
        <v>0</v>
      </c>
      <c r="F233" s="31">
        <f t="shared" si="35"/>
        <v>0</v>
      </c>
      <c r="G233" s="1"/>
      <c r="H233" s="31">
        <v>0</v>
      </c>
      <c r="I233" s="1"/>
      <c r="J233" s="31">
        <v>0</v>
      </c>
      <c r="K233" s="1"/>
      <c r="L233" s="31">
        <v>0</v>
      </c>
      <c r="M233" s="22" t="s">
        <v>2859</v>
      </c>
      <c r="N233" t="s">
        <v>2859</v>
      </c>
      <c r="P233" t="s">
        <v>322</v>
      </c>
      <c r="Q233" t="s">
        <v>2859</v>
      </c>
      <c r="R233" t="s">
        <v>2859</v>
      </c>
    </row>
    <row r="234" spans="1:61" ht="18.399999999999999" customHeight="1" x14ac:dyDescent="0.15">
      <c r="A234" s="13" t="s">
        <v>960</v>
      </c>
      <c r="B234" s="2" t="s">
        <v>2116</v>
      </c>
      <c r="C234" s="2">
        <v>1.04</v>
      </c>
      <c r="D234" s="2" t="s">
        <v>1091</v>
      </c>
      <c r="E234" s="31">
        <f t="shared" si="36"/>
        <v>6000</v>
      </c>
      <c r="F234" s="31">
        <f t="shared" si="35"/>
        <v>6240</v>
      </c>
      <c r="G234" s="31">
        <f>자재조서!E49</f>
        <v>6000</v>
      </c>
      <c r="H234" s="31">
        <f>TRUNC(G234*C234,0)</f>
        <v>6240</v>
      </c>
      <c r="I234" s="31">
        <v>0</v>
      </c>
      <c r="J234" s="31"/>
      <c r="K234" s="31">
        <v>0</v>
      </c>
      <c r="L234" s="31"/>
      <c r="M234" s="22" t="s">
        <v>2859</v>
      </c>
      <c r="N234" t="s">
        <v>2859</v>
      </c>
      <c r="P234" t="s">
        <v>2491</v>
      </c>
      <c r="Q234" t="s">
        <v>2859</v>
      </c>
      <c r="R234" t="s">
        <v>1711</v>
      </c>
      <c r="BI234" s="34" t="str">
        <f>HYPERLINK("#자재조서!A49","M2064115 →")</f>
        <v>M2064115 →</v>
      </c>
    </row>
    <row r="235" spans="1:61" ht="18.399999999999999" customHeight="1" x14ac:dyDescent="0.15">
      <c r="A235" s="13" t="s">
        <v>2224</v>
      </c>
      <c r="B235" s="2" t="s">
        <v>1135</v>
      </c>
      <c r="C235" s="2">
        <v>4.2000000000000003E-2</v>
      </c>
      <c r="D235" s="2" t="s">
        <v>2831</v>
      </c>
      <c r="E235" s="31">
        <f t="shared" si="36"/>
        <v>3726</v>
      </c>
      <c r="F235" s="31">
        <f t="shared" si="35"/>
        <v>156</v>
      </c>
      <c r="G235" s="31">
        <f>자재조서!E63</f>
        <v>3726</v>
      </c>
      <c r="H235" s="31">
        <f>TRUNC(G235*C235,0)</f>
        <v>156</v>
      </c>
      <c r="I235" s="31">
        <v>0</v>
      </c>
      <c r="J235" s="31"/>
      <c r="K235" s="31">
        <v>0</v>
      </c>
      <c r="L235" s="31"/>
      <c r="M235" s="22" t="s">
        <v>2859</v>
      </c>
      <c r="N235" t="s">
        <v>2104</v>
      </c>
      <c r="P235" t="s">
        <v>1745</v>
      </c>
      <c r="Q235" t="s">
        <v>2859</v>
      </c>
      <c r="R235" t="s">
        <v>2213</v>
      </c>
      <c r="BI235" s="34" t="str">
        <f>HYPERLINK("#자재조서!A63","M9021007 →")</f>
        <v>M9021007 →</v>
      </c>
    </row>
    <row r="236" spans="1:61" ht="18.399999999999999" customHeight="1" x14ac:dyDescent="0.15">
      <c r="A236" s="13" t="s">
        <v>411</v>
      </c>
      <c r="B236" s="2" t="s">
        <v>2848</v>
      </c>
      <c r="C236" s="2">
        <v>0.21</v>
      </c>
      <c r="D236" s="2" t="s">
        <v>2831</v>
      </c>
      <c r="E236" s="31">
        <f t="shared" si="36"/>
        <v>1245</v>
      </c>
      <c r="F236" s="31">
        <f t="shared" si="35"/>
        <v>261</v>
      </c>
      <c r="G236" s="31">
        <f>자재조서!E11</f>
        <v>1245</v>
      </c>
      <c r="H236" s="31">
        <f>TRUNC(G236*C236,0)</f>
        <v>261</v>
      </c>
      <c r="I236" s="31">
        <v>0</v>
      </c>
      <c r="J236" s="31"/>
      <c r="K236" s="31">
        <v>0</v>
      </c>
      <c r="L236" s="31"/>
      <c r="M236" s="22" t="s">
        <v>2859</v>
      </c>
      <c r="N236" t="s">
        <v>2859</v>
      </c>
      <c r="P236" t="s">
        <v>1030</v>
      </c>
      <c r="Q236" t="s">
        <v>2859</v>
      </c>
      <c r="R236" t="s">
        <v>460</v>
      </c>
      <c r="BI236" s="34" t="str">
        <f>HYPERLINK("#자재조서!A11","M0144009 →")</f>
        <v>M0144009 →</v>
      </c>
    </row>
    <row r="237" spans="1:61" ht="18.399999999999999" customHeight="1" x14ac:dyDescent="0.15">
      <c r="A237" s="13" t="s">
        <v>932</v>
      </c>
      <c r="B237" s="2" t="s">
        <v>2859</v>
      </c>
      <c r="C237" s="2">
        <v>0.151</v>
      </c>
      <c r="D237" s="2" t="s">
        <v>2663</v>
      </c>
      <c r="E237" s="31">
        <f t="shared" si="36"/>
        <v>219321</v>
      </c>
      <c r="F237" s="31">
        <f t="shared" si="35"/>
        <v>33117</v>
      </c>
      <c r="G237" s="31">
        <v>0</v>
      </c>
      <c r="H237" s="31"/>
      <c r="I237" s="31">
        <f>노임!D12</f>
        <v>219321</v>
      </c>
      <c r="J237" s="31">
        <f>TRUNC(I237*C237,0)</f>
        <v>33117</v>
      </c>
      <c r="K237" s="31">
        <v>0</v>
      </c>
      <c r="L237" s="31"/>
      <c r="M237" s="22" t="s">
        <v>2859</v>
      </c>
      <c r="N237" t="s">
        <v>2859</v>
      </c>
      <c r="P237" t="s">
        <v>267</v>
      </c>
      <c r="Q237" t="s">
        <v>2859</v>
      </c>
      <c r="R237" t="s">
        <v>2035</v>
      </c>
      <c r="BI237" s="34" t="str">
        <f>HYPERLINK("#노임!A12","L084 →")</f>
        <v>L084 →</v>
      </c>
    </row>
    <row r="238" spans="1:61" ht="18.399999999999999" customHeight="1" x14ac:dyDescent="0.15">
      <c r="A238" s="13" t="s">
        <v>891</v>
      </c>
      <c r="B238" s="2" t="s">
        <v>2859</v>
      </c>
      <c r="C238" s="2">
        <v>0.11600000000000001</v>
      </c>
      <c r="D238" s="2" t="s">
        <v>2663</v>
      </c>
      <c r="E238" s="31">
        <f t="shared" si="36"/>
        <v>167081</v>
      </c>
      <c r="F238" s="31">
        <f t="shared" si="35"/>
        <v>19381</v>
      </c>
      <c r="G238" s="31">
        <v>0</v>
      </c>
      <c r="H238" s="31"/>
      <c r="I238" s="31">
        <f>노임!D13</f>
        <v>167081</v>
      </c>
      <c r="J238" s="31">
        <f>TRUNC(I238*C238,0)</f>
        <v>19381</v>
      </c>
      <c r="K238" s="31">
        <v>0</v>
      </c>
      <c r="L238" s="31"/>
      <c r="M238" s="22" t="s">
        <v>2859</v>
      </c>
      <c r="N238" t="s">
        <v>2859</v>
      </c>
      <c r="P238" t="s">
        <v>2435</v>
      </c>
      <c r="Q238" t="s">
        <v>2859</v>
      </c>
      <c r="R238" t="s">
        <v>485</v>
      </c>
      <c r="AA238" s="40" t="s">
        <v>907</v>
      </c>
      <c r="AB238" s="10">
        <f>((일위대가_호표!J237*전역변수!C34)+(일위대가_호표!J238*전역변수!C34))*0.03</f>
        <v>1574.94</v>
      </c>
      <c r="AC238" s="40" t="s">
        <v>1545</v>
      </c>
      <c r="AD238" s="9">
        <f>$AB238</f>
        <v>1574.94</v>
      </c>
      <c r="BI238" s="34" t="str">
        <f>HYPERLINK("#노임!A13","L085 →")</f>
        <v>L085 →</v>
      </c>
    </row>
    <row r="239" spans="1:61" ht="18.399999999999999" customHeight="1" x14ac:dyDescent="0.15">
      <c r="A239" s="13" t="s">
        <v>2384</v>
      </c>
      <c r="B239" s="2" t="s">
        <v>1792</v>
      </c>
      <c r="C239" s="2">
        <v>1</v>
      </c>
      <c r="D239" s="2" t="s">
        <v>2293</v>
      </c>
      <c r="E239" s="31">
        <f t="shared" si="36"/>
        <v>0</v>
      </c>
      <c r="F239" s="31">
        <f t="shared" si="35"/>
        <v>1574</v>
      </c>
      <c r="G239" s="1"/>
      <c r="H239" s="31">
        <v>0</v>
      </c>
      <c r="I239" s="1"/>
      <c r="J239" s="31">
        <v>0</v>
      </c>
      <c r="K239" s="1"/>
      <c r="L239" s="31">
        <f>TRUNC((((J237*전역변수!C34)+(J238*전역변수!C34))*0.03),0)</f>
        <v>1574</v>
      </c>
      <c r="M239" s="22" t="s">
        <v>2859</v>
      </c>
      <c r="N239" t="s">
        <v>2859</v>
      </c>
      <c r="P239" t="s">
        <v>1695</v>
      </c>
      <c r="Q239" t="s">
        <v>2859</v>
      </c>
      <c r="R239" t="s">
        <v>2417</v>
      </c>
      <c r="X239" t="s">
        <v>374</v>
      </c>
    </row>
    <row r="240" spans="1:61" ht="18.399999999999999" customHeight="1" x14ac:dyDescent="0.15">
      <c r="A240" s="57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58"/>
    </row>
    <row r="241" spans="1:61" ht="18.399999999999999" customHeight="1" x14ac:dyDescent="0.15">
      <c r="A241" s="13" t="s">
        <v>2748</v>
      </c>
      <c r="B241" s="2" t="s">
        <v>470</v>
      </c>
      <c r="C241" s="2">
        <v>1</v>
      </c>
      <c r="D241" s="2" t="s">
        <v>773</v>
      </c>
      <c r="F241" s="31">
        <f>H241+J241+L241</f>
        <v>178500</v>
      </c>
      <c r="H241" s="31">
        <f>TRUNC(H242+H243,0)</f>
        <v>170000</v>
      </c>
      <c r="J241" s="31">
        <f>TRUNC(J242+J243,0)</f>
        <v>8500</v>
      </c>
      <c r="L241" s="31">
        <f>TRUNC(L242+L243,0)</f>
        <v>0</v>
      </c>
      <c r="M241" s="22" t="s">
        <v>2859</v>
      </c>
      <c r="N241" t="s">
        <v>2859</v>
      </c>
      <c r="O241" t="s">
        <v>1475</v>
      </c>
    </row>
    <row r="242" spans="1:61" ht="18.399999999999999" customHeight="1" x14ac:dyDescent="0.15">
      <c r="A242" s="13" t="s">
        <v>1770</v>
      </c>
      <c r="B242" s="2" t="s">
        <v>470</v>
      </c>
      <c r="C242" s="2">
        <v>1</v>
      </c>
      <c r="D242" s="2" t="s">
        <v>773</v>
      </c>
      <c r="E242" s="31">
        <f>G242+I242+K242</f>
        <v>170000</v>
      </c>
      <c r="F242" s="31">
        <f>H242+J242+L242</f>
        <v>170000</v>
      </c>
      <c r="G242" s="31">
        <f>자재조서!E67</f>
        <v>170000</v>
      </c>
      <c r="H242" s="31">
        <f>TRUNC(G242*C242,0)</f>
        <v>170000</v>
      </c>
      <c r="I242" s="31">
        <v>0</v>
      </c>
      <c r="J242" s="31"/>
      <c r="K242" s="31">
        <v>0</v>
      </c>
      <c r="L242" s="31"/>
      <c r="M242" s="22" t="s">
        <v>2859</v>
      </c>
      <c r="N242" t="s">
        <v>2859</v>
      </c>
      <c r="P242" t="s">
        <v>322</v>
      </c>
      <c r="Q242" t="s">
        <v>2859</v>
      </c>
      <c r="R242" t="s">
        <v>939</v>
      </c>
      <c r="AA242" s="40" t="s">
        <v>287</v>
      </c>
      <c r="AB242" s="10">
        <f>일위대가_호표!H242*5/100</f>
        <v>8500</v>
      </c>
      <c r="AC242" s="40" t="s">
        <v>1141</v>
      </c>
      <c r="AD242" s="9">
        <f>$AB242</f>
        <v>8500</v>
      </c>
      <c r="BI242" s="34" t="str">
        <f>HYPERLINK("#자재조서!A67","MZ2001000 →")</f>
        <v>MZ2001000 →</v>
      </c>
    </row>
    <row r="243" spans="1:61" ht="18.399999999999999" customHeight="1" x14ac:dyDescent="0.15">
      <c r="A243" s="13" t="s">
        <v>435</v>
      </c>
      <c r="B243" s="2" t="s">
        <v>1779</v>
      </c>
      <c r="C243" s="2">
        <v>1</v>
      </c>
      <c r="D243" s="2" t="s">
        <v>2293</v>
      </c>
      <c r="E243" s="31">
        <f>G243+I243+K243</f>
        <v>0</v>
      </c>
      <c r="F243" s="31">
        <f>H243+J243+L243</f>
        <v>8500</v>
      </c>
      <c r="G243" s="1"/>
      <c r="H243" s="31">
        <v>0</v>
      </c>
      <c r="I243" s="1"/>
      <c r="J243" s="31">
        <f>TRUNC((H242*5/100),0)</f>
        <v>8500</v>
      </c>
      <c r="K243" s="1"/>
      <c r="L243" s="31">
        <v>0</v>
      </c>
      <c r="M243" s="22" t="s">
        <v>2859</v>
      </c>
      <c r="N243" t="s">
        <v>2859</v>
      </c>
      <c r="P243" t="s">
        <v>2491</v>
      </c>
      <c r="Q243" t="s">
        <v>2859</v>
      </c>
      <c r="R243" t="s">
        <v>2417</v>
      </c>
      <c r="X243" t="s">
        <v>1987</v>
      </c>
    </row>
    <row r="244" spans="1:61" ht="18.399999999999999" customHeight="1" x14ac:dyDescent="0.15">
      <c r="A244" s="57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58"/>
    </row>
    <row r="245" spans="1:61" ht="18.399999999999999" customHeight="1" x14ac:dyDescent="0.15">
      <c r="A245" s="13" t="s">
        <v>479</v>
      </c>
      <c r="B245" s="2" t="s">
        <v>1982</v>
      </c>
      <c r="C245" s="2">
        <v>1</v>
      </c>
      <c r="D245" s="2" t="s">
        <v>1085</v>
      </c>
      <c r="F245" s="31">
        <f t="shared" ref="F245:F250" si="37">H245+J245+L245</f>
        <v>82724</v>
      </c>
      <c r="H245" s="31">
        <f>TRUNC(H248+H250,0)</f>
        <v>0</v>
      </c>
      <c r="J245" s="31">
        <f>TRUNC(J248+J250,0)</f>
        <v>71844</v>
      </c>
      <c r="L245" s="31">
        <f>TRUNC(L248+L250,0)</f>
        <v>10880</v>
      </c>
      <c r="M245" s="22" t="s">
        <v>2859</v>
      </c>
      <c r="N245" t="s">
        <v>2859</v>
      </c>
      <c r="O245" t="s">
        <v>867</v>
      </c>
    </row>
    <row r="246" spans="1:61" ht="18.399999999999999" customHeight="1" x14ac:dyDescent="0.15">
      <c r="A246" s="13" t="s">
        <v>167</v>
      </c>
      <c r="B246" s="2" t="s">
        <v>2859</v>
      </c>
      <c r="C246" s="2"/>
      <c r="D246" s="2" t="s">
        <v>2859</v>
      </c>
      <c r="E246" s="31">
        <f>G246+I246+K246</f>
        <v>0</v>
      </c>
      <c r="F246" s="31">
        <f t="shared" si="37"/>
        <v>0</v>
      </c>
      <c r="G246" s="1"/>
      <c r="H246" s="31">
        <v>0</v>
      </c>
      <c r="I246" s="1"/>
      <c r="J246" s="31">
        <v>0</v>
      </c>
      <c r="K246" s="1"/>
      <c r="L246" s="31">
        <v>0</v>
      </c>
      <c r="M246" s="22" t="s">
        <v>2859</v>
      </c>
      <c r="N246" t="s">
        <v>2859</v>
      </c>
      <c r="P246" t="s">
        <v>919</v>
      </c>
      <c r="Q246" t="s">
        <v>2859</v>
      </c>
      <c r="R246" t="s">
        <v>2859</v>
      </c>
    </row>
    <row r="247" spans="1:61" ht="18.399999999999999" customHeight="1" x14ac:dyDescent="0.15">
      <c r="A247" s="13" t="s">
        <v>1468</v>
      </c>
      <c r="B247" s="2" t="s">
        <v>2236</v>
      </c>
      <c r="C247" s="2">
        <v>680</v>
      </c>
      <c r="D247" s="2" t="s">
        <v>2831</v>
      </c>
      <c r="E247" s="31">
        <f>G247+I247+K247</f>
        <v>7545</v>
      </c>
      <c r="F247" s="31">
        <f t="shared" si="37"/>
        <v>5130600</v>
      </c>
      <c r="G247" s="31">
        <f>TRUNC(자재조서!E16*V247/U247,0)</f>
        <v>7545</v>
      </c>
      <c r="H247" s="31">
        <f>TRUNC(G247*C247,0)</f>
        <v>5130600</v>
      </c>
      <c r="I247" s="31">
        <v>0</v>
      </c>
      <c r="J247" s="31"/>
      <c r="K247" s="31">
        <v>0</v>
      </c>
      <c r="L247" s="31"/>
      <c r="M247" s="22" t="s">
        <v>2020</v>
      </c>
      <c r="N247" t="s">
        <v>170</v>
      </c>
      <c r="P247" t="s">
        <v>322</v>
      </c>
      <c r="Q247" t="s">
        <v>2859</v>
      </c>
      <c r="R247" t="s">
        <v>2183</v>
      </c>
      <c r="U247">
        <v>1</v>
      </c>
      <c r="V247">
        <v>1</v>
      </c>
      <c r="W247" t="s">
        <v>2020</v>
      </c>
      <c r="BI247" s="34" t="str">
        <f>HYPERLINK("#자재조서!A16","M0747003 →")</f>
        <v>M0747003 →</v>
      </c>
    </row>
    <row r="248" spans="1:61" ht="18.399999999999999" customHeight="1" x14ac:dyDescent="0.15">
      <c r="A248" s="13" t="s">
        <v>2272</v>
      </c>
      <c r="B248" s="2" t="s">
        <v>2859</v>
      </c>
      <c r="C248" s="2">
        <v>680</v>
      </c>
      <c r="D248" s="2" t="s">
        <v>2831</v>
      </c>
      <c r="E248" s="31">
        <f>G248+I248+K248</f>
        <v>16</v>
      </c>
      <c r="F248" s="31">
        <f t="shared" si="37"/>
        <v>10880</v>
      </c>
      <c r="G248" s="31">
        <f>일위대가목록!F33</f>
        <v>0</v>
      </c>
      <c r="H248" s="31">
        <f>TRUNC(G248*C248,0)</f>
        <v>0</v>
      </c>
      <c r="I248" s="31">
        <f>일위대가목록!G33</f>
        <v>0</v>
      </c>
      <c r="J248" s="31">
        <f>TRUNC(I248*C248,0)</f>
        <v>0</v>
      </c>
      <c r="K248" s="31">
        <f>일위대가목록!H33</f>
        <v>16</v>
      </c>
      <c r="L248" s="31">
        <f>TRUNC(K248*C248,0)</f>
        <v>10880</v>
      </c>
      <c r="M248" s="22" t="s">
        <v>2859</v>
      </c>
      <c r="N248" t="s">
        <v>2859</v>
      </c>
      <c r="P248" t="s">
        <v>2491</v>
      </c>
      <c r="Q248" t="s">
        <v>2859</v>
      </c>
      <c r="R248" t="s">
        <v>1798</v>
      </c>
      <c r="T248" t="s">
        <v>1314</v>
      </c>
      <c r="BI248" s="34" t="str">
        <f>HYPERLINK("#일위대가목록!A33","K7011750 →")</f>
        <v>K7011750 →</v>
      </c>
    </row>
    <row r="249" spans="1:61" ht="18.399999999999999" customHeight="1" x14ac:dyDescent="0.15">
      <c r="A249" s="13" t="s">
        <v>1330</v>
      </c>
      <c r="B249" s="2" t="s">
        <v>417</v>
      </c>
      <c r="C249" s="2">
        <v>0.98</v>
      </c>
      <c r="D249" s="2" t="s">
        <v>1085</v>
      </c>
      <c r="E249" s="31">
        <f>G249+I249+K249</f>
        <v>37000</v>
      </c>
      <c r="F249" s="31">
        <f t="shared" si="37"/>
        <v>36260</v>
      </c>
      <c r="G249" s="31">
        <f>자재조서!E13</f>
        <v>37000</v>
      </c>
      <c r="H249" s="31">
        <f>TRUNC(G249*C249,0)</f>
        <v>36260</v>
      </c>
      <c r="I249" s="31">
        <v>0</v>
      </c>
      <c r="J249" s="31"/>
      <c r="K249" s="31">
        <v>0</v>
      </c>
      <c r="L249" s="31"/>
      <c r="M249" s="22" t="s">
        <v>2020</v>
      </c>
      <c r="N249" t="s">
        <v>2859</v>
      </c>
      <c r="P249" t="s">
        <v>1745</v>
      </c>
      <c r="Q249" t="s">
        <v>2859</v>
      </c>
      <c r="R249" t="s">
        <v>1940</v>
      </c>
      <c r="W249" t="s">
        <v>2020</v>
      </c>
      <c r="BI249" s="34" t="str">
        <f>HYPERLINK("#자재조서!A13","M0717007 →")</f>
        <v>M0717007 →</v>
      </c>
    </row>
    <row r="250" spans="1:61" ht="18.399999999999999" customHeight="1" x14ac:dyDescent="0.15">
      <c r="A250" s="13" t="s">
        <v>891</v>
      </c>
      <c r="B250" s="2" t="s">
        <v>2859</v>
      </c>
      <c r="C250" s="2">
        <v>0.43</v>
      </c>
      <c r="D250" s="2" t="s">
        <v>2663</v>
      </c>
      <c r="E250" s="31">
        <f>G250+I250+K250</f>
        <v>167081</v>
      </c>
      <c r="F250" s="31">
        <f t="shared" si="37"/>
        <v>71844</v>
      </c>
      <c r="G250" s="31">
        <v>0</v>
      </c>
      <c r="H250" s="31"/>
      <c r="I250" s="31">
        <f>노임!D13</f>
        <v>167081</v>
      </c>
      <c r="J250" s="31">
        <f>TRUNC(I250*C250,0)</f>
        <v>71844</v>
      </c>
      <c r="K250" s="31">
        <v>0</v>
      </c>
      <c r="L250" s="31"/>
      <c r="M250" s="22" t="s">
        <v>2859</v>
      </c>
      <c r="N250" t="s">
        <v>2859</v>
      </c>
      <c r="P250" t="s">
        <v>1030</v>
      </c>
      <c r="Q250" t="s">
        <v>2859</v>
      </c>
      <c r="R250" t="s">
        <v>485</v>
      </c>
      <c r="BI250" s="34" t="str">
        <f>HYPERLINK("#노임!A13","L085 →")</f>
        <v>L085 →</v>
      </c>
    </row>
    <row r="251" spans="1:61" ht="18.399999999999999" customHeight="1" x14ac:dyDescent="0.15">
      <c r="A251" s="57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58"/>
    </row>
    <row r="252" spans="1:61" ht="18.399999999999999" customHeight="1" x14ac:dyDescent="0.15">
      <c r="A252" s="13" t="s">
        <v>1588</v>
      </c>
      <c r="B252" s="2" t="s">
        <v>629</v>
      </c>
      <c r="C252" s="2">
        <v>1</v>
      </c>
      <c r="D252" s="2" t="s">
        <v>1790</v>
      </c>
      <c r="F252" s="31">
        <f>H252+J252+L252</f>
        <v>367500</v>
      </c>
      <c r="H252" s="31">
        <f>TRUNC(H253+H254,0)</f>
        <v>350000</v>
      </c>
      <c r="J252" s="31">
        <f>TRUNC(J253+J254,0)</f>
        <v>17500</v>
      </c>
      <c r="L252" s="31">
        <f>TRUNC(L253+L254,0)</f>
        <v>0</v>
      </c>
      <c r="M252" s="22" t="s">
        <v>2859</v>
      </c>
      <c r="N252" t="s">
        <v>2859</v>
      </c>
      <c r="O252" t="s">
        <v>431</v>
      </c>
    </row>
    <row r="253" spans="1:61" ht="18.399999999999999" customHeight="1" x14ac:dyDescent="0.15">
      <c r="A253" s="13" t="s">
        <v>1733</v>
      </c>
      <c r="B253" s="2" t="s">
        <v>975</v>
      </c>
      <c r="C253" s="2">
        <v>1</v>
      </c>
      <c r="D253" s="2" t="s">
        <v>1321</v>
      </c>
      <c r="E253" s="31">
        <f>G253+I253+K253</f>
        <v>350000</v>
      </c>
      <c r="F253" s="31">
        <f>H253+J253+L253</f>
        <v>350000</v>
      </c>
      <c r="G253" s="31">
        <f>자재조서!E35</f>
        <v>350000</v>
      </c>
      <c r="H253" s="31">
        <f>TRUNC(G253*C253,0)</f>
        <v>350000</v>
      </c>
      <c r="I253" s="31">
        <v>0</v>
      </c>
      <c r="J253" s="31"/>
      <c r="K253" s="31">
        <v>0</v>
      </c>
      <c r="L253" s="31"/>
      <c r="M253" s="22" t="s">
        <v>2859</v>
      </c>
      <c r="N253" t="s">
        <v>2502</v>
      </c>
      <c r="P253" t="s">
        <v>322</v>
      </c>
      <c r="Q253" t="s">
        <v>2859</v>
      </c>
      <c r="R253" t="s">
        <v>192</v>
      </c>
      <c r="AA253" s="40" t="s">
        <v>287</v>
      </c>
      <c r="AB253" s="10">
        <f>일위대가_호표!H253*5/100</f>
        <v>17500</v>
      </c>
      <c r="AC253" s="40" t="s">
        <v>1141</v>
      </c>
      <c r="AD253" s="9">
        <f>$AB253</f>
        <v>17500</v>
      </c>
      <c r="BI253" s="34" t="str">
        <f>HYPERLINK("#자재조서!A35","M1536009 →")</f>
        <v>M1536009 →</v>
      </c>
    </row>
    <row r="254" spans="1:61" ht="18.399999999999999" customHeight="1" x14ac:dyDescent="0.15">
      <c r="A254" s="13" t="s">
        <v>435</v>
      </c>
      <c r="B254" s="2" t="s">
        <v>1779</v>
      </c>
      <c r="C254" s="2">
        <v>1</v>
      </c>
      <c r="D254" s="2" t="s">
        <v>2293</v>
      </c>
      <c r="E254" s="31">
        <f>G254+I254+K254</f>
        <v>0</v>
      </c>
      <c r="F254" s="31">
        <f>H254+J254+L254</f>
        <v>17500</v>
      </c>
      <c r="G254" s="1"/>
      <c r="H254" s="31">
        <v>0</v>
      </c>
      <c r="I254" s="1"/>
      <c r="J254" s="31">
        <f>TRUNC((H253*5/100),0)</f>
        <v>17500</v>
      </c>
      <c r="K254" s="1"/>
      <c r="L254" s="31">
        <v>0</v>
      </c>
      <c r="M254" s="22" t="s">
        <v>2859</v>
      </c>
      <c r="N254" t="s">
        <v>2859</v>
      </c>
      <c r="P254" t="s">
        <v>2491</v>
      </c>
      <c r="Q254" t="s">
        <v>2859</v>
      </c>
      <c r="R254" t="s">
        <v>2417</v>
      </c>
      <c r="X254" t="s">
        <v>1987</v>
      </c>
    </row>
    <row r="255" spans="1:61" ht="18.399999999999999" customHeight="1" x14ac:dyDescent="0.15">
      <c r="A255" s="57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58"/>
    </row>
    <row r="256" spans="1:61" ht="18.399999999999999" customHeight="1" x14ac:dyDescent="0.15">
      <c r="A256" s="13" t="s">
        <v>362</v>
      </c>
      <c r="B256" s="2" t="s">
        <v>2859</v>
      </c>
      <c r="C256" s="2">
        <v>1</v>
      </c>
      <c r="D256" s="2" t="s">
        <v>773</v>
      </c>
      <c r="F256" s="31">
        <f>H256+J256+L256</f>
        <v>330</v>
      </c>
      <c r="H256" s="31">
        <f>TRUNC(H257+H258,0)</f>
        <v>315</v>
      </c>
      <c r="J256" s="31">
        <f>TRUNC(J257+J258,0)</f>
        <v>15</v>
      </c>
      <c r="L256" s="31">
        <f>TRUNC(L257+L258,0)</f>
        <v>0</v>
      </c>
      <c r="M256" s="22" t="s">
        <v>2859</v>
      </c>
      <c r="N256" t="s">
        <v>2859</v>
      </c>
      <c r="O256" t="s">
        <v>2594</v>
      </c>
    </row>
    <row r="257" spans="1:61" ht="18.399999999999999" customHeight="1" x14ac:dyDescent="0.15">
      <c r="A257" s="13" t="s">
        <v>510</v>
      </c>
      <c r="B257" s="2" t="s">
        <v>2859</v>
      </c>
      <c r="C257" s="2">
        <v>1</v>
      </c>
      <c r="D257" s="2" t="s">
        <v>773</v>
      </c>
      <c r="E257" s="31">
        <f>G257+I257+K257</f>
        <v>315</v>
      </c>
      <c r="F257" s="31">
        <f>H257+J257+L257</f>
        <v>315</v>
      </c>
      <c r="G257" s="31">
        <f>자재조서!E23</f>
        <v>315</v>
      </c>
      <c r="H257" s="31">
        <f>TRUNC(G257*C257,0)</f>
        <v>315</v>
      </c>
      <c r="I257" s="31">
        <v>0</v>
      </c>
      <c r="J257" s="31"/>
      <c r="K257" s="31">
        <v>0</v>
      </c>
      <c r="L257" s="31"/>
      <c r="M257" s="22" t="s">
        <v>2859</v>
      </c>
      <c r="N257" t="s">
        <v>2859</v>
      </c>
      <c r="P257" t="s">
        <v>322</v>
      </c>
      <c r="Q257" t="s">
        <v>2859</v>
      </c>
      <c r="R257" t="s">
        <v>1156</v>
      </c>
      <c r="AA257" s="40" t="s">
        <v>287</v>
      </c>
      <c r="AB257" s="10">
        <f>일위대가_호표!H257*5/100</f>
        <v>15.75</v>
      </c>
      <c r="AC257" s="40" t="s">
        <v>1141</v>
      </c>
      <c r="AD257" s="9">
        <f>$AB257</f>
        <v>15.75</v>
      </c>
      <c r="BI257" s="34" t="str">
        <f>HYPERLINK("#자재조서!A23","M11450010 →")</f>
        <v>M11450010 →</v>
      </c>
    </row>
    <row r="258" spans="1:61" ht="18.399999999999999" customHeight="1" x14ac:dyDescent="0.15">
      <c r="A258" s="13" t="s">
        <v>435</v>
      </c>
      <c r="B258" s="2" t="s">
        <v>1779</v>
      </c>
      <c r="C258" s="2">
        <v>1</v>
      </c>
      <c r="D258" s="2" t="s">
        <v>2293</v>
      </c>
      <c r="E258" s="31">
        <f>G258+I258+K258</f>
        <v>0</v>
      </c>
      <c r="F258" s="31">
        <f>H258+J258+L258</f>
        <v>15</v>
      </c>
      <c r="G258" s="1"/>
      <c r="H258" s="31">
        <v>0</v>
      </c>
      <c r="I258" s="1"/>
      <c r="J258" s="31">
        <f>TRUNC((H257*5/100),0)</f>
        <v>15</v>
      </c>
      <c r="K258" s="1"/>
      <c r="L258" s="31">
        <v>0</v>
      </c>
      <c r="M258" s="22" t="s">
        <v>2859</v>
      </c>
      <c r="N258" t="s">
        <v>2859</v>
      </c>
      <c r="P258" t="s">
        <v>2491</v>
      </c>
      <c r="Q258" t="s">
        <v>2859</v>
      </c>
      <c r="R258" t="s">
        <v>2417</v>
      </c>
      <c r="X258" t="s">
        <v>1987</v>
      </c>
    </row>
    <row r="259" spans="1:61" ht="18.399999999999999" customHeight="1" x14ac:dyDescent="0.15">
      <c r="A259" s="57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58"/>
    </row>
    <row r="260" spans="1:61" ht="18.399999999999999" customHeight="1" x14ac:dyDescent="0.15">
      <c r="A260" s="13" t="s">
        <v>2111</v>
      </c>
      <c r="B260" s="2" t="s">
        <v>494</v>
      </c>
      <c r="C260" s="2">
        <v>1</v>
      </c>
      <c r="D260" s="2" t="s">
        <v>773</v>
      </c>
      <c r="F260" s="31">
        <f>H260+J260+L260</f>
        <v>220</v>
      </c>
      <c r="H260" s="31">
        <f>TRUNC(H261,0)</f>
        <v>220</v>
      </c>
      <c r="J260" s="31">
        <f>TRUNC(J261,0)</f>
        <v>0</v>
      </c>
      <c r="L260" s="31">
        <f>TRUNC(L261,0)</f>
        <v>0</v>
      </c>
      <c r="M260" s="22" t="s">
        <v>2859</v>
      </c>
      <c r="N260" t="s">
        <v>2859</v>
      </c>
      <c r="O260" t="s">
        <v>2857</v>
      </c>
    </row>
    <row r="261" spans="1:61" ht="18.399999999999999" customHeight="1" x14ac:dyDescent="0.15">
      <c r="A261" s="13" t="s">
        <v>320</v>
      </c>
      <c r="B261" s="2" t="s">
        <v>653</v>
      </c>
      <c r="C261" s="2">
        <v>1</v>
      </c>
      <c r="D261" s="2" t="s">
        <v>773</v>
      </c>
      <c r="E261" s="31">
        <f>G261+I261+K261</f>
        <v>220</v>
      </c>
      <c r="F261" s="31">
        <f>H261+J261+L261</f>
        <v>220</v>
      </c>
      <c r="G261" s="31">
        <f>자재조서!E22</f>
        <v>220</v>
      </c>
      <c r="H261" s="31">
        <f>TRUNC(G261*C261,0)</f>
        <v>220</v>
      </c>
      <c r="I261" s="31">
        <v>0</v>
      </c>
      <c r="J261" s="31"/>
      <c r="K261" s="31">
        <v>0</v>
      </c>
      <c r="L261" s="31"/>
      <c r="M261" s="22" t="s">
        <v>2859</v>
      </c>
      <c r="N261" t="s">
        <v>2859</v>
      </c>
      <c r="P261" t="s">
        <v>322</v>
      </c>
      <c r="Q261" t="s">
        <v>2859</v>
      </c>
      <c r="R261" t="s">
        <v>514</v>
      </c>
      <c r="BI261" s="34" t="str">
        <f>HYPERLINK("#자재조서!A22","M1143066 →")</f>
        <v>M1143066 →</v>
      </c>
    </row>
    <row r="262" spans="1:61" ht="18.399999999999999" customHeight="1" x14ac:dyDescent="0.15">
      <c r="A262" s="57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58"/>
    </row>
    <row r="263" spans="1:61" ht="18.399999999999999" customHeight="1" x14ac:dyDescent="0.15">
      <c r="A263" s="13" t="s">
        <v>1540</v>
      </c>
      <c r="B263" s="2" t="s">
        <v>2859</v>
      </c>
      <c r="C263" s="2">
        <v>1</v>
      </c>
      <c r="D263" s="2" t="s">
        <v>2212</v>
      </c>
      <c r="F263" s="31">
        <f>H263+J263+L263</f>
        <v>30548</v>
      </c>
      <c r="H263" s="31">
        <f>TRUNC(H265+H266+H267,0)</f>
        <v>0</v>
      </c>
      <c r="J263" s="31">
        <f>TRUNC(J265+J266+J267,0)</f>
        <v>29659</v>
      </c>
      <c r="L263" s="31">
        <f>TRUNC(L265+L266+L267,0)</f>
        <v>889</v>
      </c>
      <c r="M263" s="22" t="s">
        <v>2859</v>
      </c>
      <c r="N263" t="s">
        <v>2859</v>
      </c>
      <c r="O263" t="s">
        <v>1360</v>
      </c>
    </row>
    <row r="264" spans="1:61" ht="18.399999999999999" customHeight="1" x14ac:dyDescent="0.15">
      <c r="A264" s="13" t="s">
        <v>497</v>
      </c>
      <c r="B264" s="2" t="s">
        <v>2859</v>
      </c>
      <c r="C264" s="2"/>
      <c r="D264" s="2" t="s">
        <v>2859</v>
      </c>
      <c r="E264" s="31">
        <f>G264+I264+K264</f>
        <v>0</v>
      </c>
      <c r="F264" s="31">
        <f>H264+J264+L264</f>
        <v>0</v>
      </c>
      <c r="G264" s="1"/>
      <c r="H264" s="31">
        <v>0</v>
      </c>
      <c r="I264" s="1"/>
      <c r="J264" s="31">
        <v>0</v>
      </c>
      <c r="K264" s="1"/>
      <c r="L264" s="31">
        <v>0</v>
      </c>
      <c r="M264" s="22" t="s">
        <v>2859</v>
      </c>
      <c r="N264" t="s">
        <v>2859</v>
      </c>
      <c r="P264" t="s">
        <v>322</v>
      </c>
      <c r="Q264" t="s">
        <v>2859</v>
      </c>
      <c r="R264" t="s">
        <v>2859</v>
      </c>
    </row>
    <row r="265" spans="1:61" ht="18.399999999999999" customHeight="1" x14ac:dyDescent="0.15">
      <c r="A265" s="13" t="s">
        <v>932</v>
      </c>
      <c r="B265" s="2" t="s">
        <v>2859</v>
      </c>
      <c r="C265" s="2">
        <v>0.12</v>
      </c>
      <c r="D265" s="2" t="s">
        <v>2663</v>
      </c>
      <c r="E265" s="31">
        <f>G265+I265+K265</f>
        <v>219321</v>
      </c>
      <c r="F265" s="31">
        <f>H265+J265+L265</f>
        <v>26318</v>
      </c>
      <c r="G265" s="31">
        <v>0</v>
      </c>
      <c r="H265" s="31"/>
      <c r="I265" s="31">
        <f>노임!D12</f>
        <v>219321</v>
      </c>
      <c r="J265" s="31">
        <f>TRUNC(I265*C265,0)</f>
        <v>26318</v>
      </c>
      <c r="K265" s="31">
        <v>0</v>
      </c>
      <c r="L265" s="31"/>
      <c r="M265" s="22" t="s">
        <v>2859</v>
      </c>
      <c r="N265" t="s">
        <v>2859</v>
      </c>
      <c r="P265" t="s">
        <v>2491</v>
      </c>
      <c r="Q265" t="s">
        <v>2859</v>
      </c>
      <c r="R265" t="s">
        <v>2035</v>
      </c>
      <c r="BI265" s="34" t="str">
        <f>HYPERLINK("#노임!A12","L084 →")</f>
        <v>L084 →</v>
      </c>
    </row>
    <row r="266" spans="1:61" ht="18.399999999999999" customHeight="1" x14ac:dyDescent="0.15">
      <c r="A266" s="13" t="s">
        <v>891</v>
      </c>
      <c r="B266" s="2" t="s">
        <v>2859</v>
      </c>
      <c r="C266" s="2">
        <v>0.02</v>
      </c>
      <c r="D266" s="2" t="s">
        <v>2663</v>
      </c>
      <c r="E266" s="31">
        <f>G266+I266+K266</f>
        <v>167081</v>
      </c>
      <c r="F266" s="31">
        <f>H266+J266+L266</f>
        <v>3341</v>
      </c>
      <c r="G266" s="31">
        <v>0</v>
      </c>
      <c r="H266" s="31"/>
      <c r="I266" s="31">
        <f>노임!D13</f>
        <v>167081</v>
      </c>
      <c r="J266" s="31">
        <f>TRUNC(I266*C266,0)</f>
        <v>3341</v>
      </c>
      <c r="K266" s="31">
        <v>0</v>
      </c>
      <c r="L266" s="31"/>
      <c r="M266" s="22" t="s">
        <v>2859</v>
      </c>
      <c r="N266" t="s">
        <v>2859</v>
      </c>
      <c r="P266" t="s">
        <v>1745</v>
      </c>
      <c r="Q266" t="s">
        <v>2859</v>
      </c>
      <c r="R266" t="s">
        <v>485</v>
      </c>
      <c r="AA266" s="40" t="s">
        <v>907</v>
      </c>
      <c r="AB266" s="10">
        <f>((일위대가_호표!J265*전역변수!C34)+(일위대가_호표!J266*전역변수!C34))*0.03</f>
        <v>889.77</v>
      </c>
      <c r="AC266" s="40" t="s">
        <v>1545</v>
      </c>
      <c r="AD266" s="9">
        <f>$AB266</f>
        <v>889.77</v>
      </c>
      <c r="BI266" s="34" t="str">
        <f>HYPERLINK("#노임!A13","L085 →")</f>
        <v>L085 →</v>
      </c>
    </row>
    <row r="267" spans="1:61" ht="18.399999999999999" customHeight="1" x14ac:dyDescent="0.15">
      <c r="A267" s="13" t="s">
        <v>2384</v>
      </c>
      <c r="B267" s="2" t="s">
        <v>1864</v>
      </c>
      <c r="C267" s="2">
        <v>1</v>
      </c>
      <c r="D267" s="2" t="s">
        <v>2293</v>
      </c>
      <c r="E267" s="31">
        <f>G267+I267+K267</f>
        <v>0</v>
      </c>
      <c r="F267" s="31">
        <f>H267+J267+L267</f>
        <v>889</v>
      </c>
      <c r="G267" s="1"/>
      <c r="H267" s="31">
        <v>0</v>
      </c>
      <c r="I267" s="1"/>
      <c r="J267" s="31">
        <v>0</v>
      </c>
      <c r="K267" s="1"/>
      <c r="L267" s="31">
        <f>TRUNC((((J265*전역변수!C34)+(J266*전역변수!C34))*0.03),0)</f>
        <v>889</v>
      </c>
      <c r="M267" s="22" t="s">
        <v>2859</v>
      </c>
      <c r="N267" t="s">
        <v>2859</v>
      </c>
      <c r="P267" t="s">
        <v>1030</v>
      </c>
      <c r="Q267" t="s">
        <v>2859</v>
      </c>
      <c r="R267" t="s">
        <v>2417</v>
      </c>
      <c r="X267" t="s">
        <v>741</v>
      </c>
    </row>
    <row r="268" spans="1:61" ht="18.399999999999999" customHeight="1" x14ac:dyDescent="0.15">
      <c r="A268" s="57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58"/>
    </row>
    <row r="269" spans="1:61" ht="18.399999999999999" customHeight="1" x14ac:dyDescent="0.15">
      <c r="A269" s="13" t="s">
        <v>1264</v>
      </c>
      <c r="B269" s="2" t="s">
        <v>2859</v>
      </c>
      <c r="C269" s="2">
        <v>1</v>
      </c>
      <c r="D269" s="2" t="s">
        <v>2212</v>
      </c>
      <c r="F269" s="31">
        <f>H269+J269+L269</f>
        <v>2835</v>
      </c>
      <c r="H269" s="31">
        <f>TRUNC(H270+H271,0)</f>
        <v>2700</v>
      </c>
      <c r="J269" s="31">
        <f>TRUNC(J270+J271,0)</f>
        <v>135</v>
      </c>
      <c r="L269" s="31">
        <f>TRUNC(L270+L271,0)</f>
        <v>0</v>
      </c>
      <c r="M269" s="22" t="s">
        <v>2859</v>
      </c>
      <c r="N269" t="s">
        <v>2859</v>
      </c>
      <c r="O269" t="s">
        <v>2562</v>
      </c>
    </row>
    <row r="270" spans="1:61" ht="18.399999999999999" customHeight="1" x14ac:dyDescent="0.15">
      <c r="A270" s="13" t="s">
        <v>813</v>
      </c>
      <c r="B270" s="2" t="s">
        <v>2824</v>
      </c>
      <c r="C270" s="2">
        <v>1</v>
      </c>
      <c r="D270" s="2" t="s">
        <v>2212</v>
      </c>
      <c r="E270" s="31">
        <f>G270+I270+K270</f>
        <v>2700</v>
      </c>
      <c r="F270" s="31">
        <f>H270+J270+L270</f>
        <v>2700</v>
      </c>
      <c r="G270" s="31">
        <f>자재조서!E34</f>
        <v>2700</v>
      </c>
      <c r="H270" s="31">
        <f>TRUNC(G270*C270,0)</f>
        <v>2700</v>
      </c>
      <c r="I270" s="31">
        <v>0</v>
      </c>
      <c r="J270" s="31"/>
      <c r="K270" s="31">
        <v>0</v>
      </c>
      <c r="L270" s="31"/>
      <c r="M270" s="22" t="s">
        <v>2859</v>
      </c>
      <c r="N270" t="s">
        <v>2859</v>
      </c>
      <c r="P270" t="s">
        <v>322</v>
      </c>
      <c r="Q270" t="s">
        <v>2859</v>
      </c>
      <c r="R270" t="s">
        <v>1807</v>
      </c>
      <c r="AA270" s="40" t="s">
        <v>287</v>
      </c>
      <c r="AB270" s="10">
        <f>일위대가_호표!H270*5/100</f>
        <v>135</v>
      </c>
      <c r="AC270" s="40" t="s">
        <v>1141</v>
      </c>
      <c r="AD270" s="9">
        <f>$AB270</f>
        <v>135</v>
      </c>
      <c r="BI270" s="34" t="str">
        <f>HYPERLINK("#자재조서!A34","M1503036 →")</f>
        <v>M1503036 →</v>
      </c>
    </row>
    <row r="271" spans="1:61" ht="18.399999999999999" customHeight="1" x14ac:dyDescent="0.15">
      <c r="A271" s="13" t="s">
        <v>435</v>
      </c>
      <c r="B271" s="2" t="s">
        <v>1779</v>
      </c>
      <c r="C271" s="2">
        <v>1</v>
      </c>
      <c r="D271" s="2" t="s">
        <v>2293</v>
      </c>
      <c r="E271" s="31">
        <f>G271+I271+K271</f>
        <v>0</v>
      </c>
      <c r="F271" s="31">
        <f>H271+J271+L271</f>
        <v>135</v>
      </c>
      <c r="G271" s="1"/>
      <c r="H271" s="31">
        <v>0</v>
      </c>
      <c r="I271" s="1"/>
      <c r="J271" s="31">
        <f>TRUNC((H270*5/100),0)</f>
        <v>135</v>
      </c>
      <c r="K271" s="1"/>
      <c r="L271" s="31">
        <v>0</v>
      </c>
      <c r="M271" s="22" t="s">
        <v>2859</v>
      </c>
      <c r="N271" t="s">
        <v>2859</v>
      </c>
      <c r="P271" t="s">
        <v>2491</v>
      </c>
      <c r="Q271" t="s">
        <v>2859</v>
      </c>
      <c r="R271" t="s">
        <v>2417</v>
      </c>
      <c r="X271" t="s">
        <v>1987</v>
      </c>
    </row>
    <row r="272" spans="1:61" ht="18.399999999999999" customHeight="1" x14ac:dyDescent="0.15">
      <c r="A272" s="57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58"/>
    </row>
    <row r="273" spans="1:61" ht="18.399999999999999" customHeight="1" x14ac:dyDescent="0.15">
      <c r="A273" s="13" t="s">
        <v>1983</v>
      </c>
      <c r="B273" s="2" t="s">
        <v>2859</v>
      </c>
      <c r="C273" s="2">
        <v>1</v>
      </c>
      <c r="D273" s="2" t="s">
        <v>1085</v>
      </c>
      <c r="F273" s="31">
        <f>H273+J273+L273</f>
        <v>4375350</v>
      </c>
      <c r="H273" s="31">
        <f>TRUNC(H274+H275,0)</f>
        <v>4167000</v>
      </c>
      <c r="J273" s="31">
        <f>TRUNC(J274+J275,0)</f>
        <v>208350</v>
      </c>
      <c r="L273" s="31">
        <f>TRUNC(L274+L275,0)</f>
        <v>0</v>
      </c>
      <c r="M273" s="22" t="s">
        <v>2859</v>
      </c>
      <c r="N273" t="s">
        <v>2859</v>
      </c>
      <c r="O273" t="s">
        <v>920</v>
      </c>
    </row>
    <row r="274" spans="1:61" ht="18.399999999999999" customHeight="1" x14ac:dyDescent="0.15">
      <c r="A274" s="13" t="s">
        <v>2073</v>
      </c>
      <c r="B274" s="2" t="s">
        <v>2859</v>
      </c>
      <c r="C274" s="2">
        <v>1000</v>
      </c>
      <c r="D274" s="2" t="s">
        <v>2831</v>
      </c>
      <c r="E274" s="31">
        <f>G274+I274+K274</f>
        <v>4167</v>
      </c>
      <c r="F274" s="31">
        <f>H274+J274+L274</f>
        <v>4167000</v>
      </c>
      <c r="G274" s="31">
        <f>자재조서!E50</f>
        <v>4167</v>
      </c>
      <c r="H274" s="31">
        <f>TRUNC(G274*C274,0)</f>
        <v>4167000</v>
      </c>
      <c r="I274" s="31">
        <v>0</v>
      </c>
      <c r="J274" s="31"/>
      <c r="K274" s="31">
        <v>0</v>
      </c>
      <c r="L274" s="31"/>
      <c r="M274" s="22" t="s">
        <v>2859</v>
      </c>
      <c r="N274" t="s">
        <v>1365</v>
      </c>
      <c r="P274" t="s">
        <v>322</v>
      </c>
      <c r="Q274" t="s">
        <v>2859</v>
      </c>
      <c r="R274" t="s">
        <v>2051</v>
      </c>
      <c r="AA274" s="40" t="s">
        <v>287</v>
      </c>
      <c r="AB274" s="10">
        <f>일위대가_호표!H274*5/100</f>
        <v>208350</v>
      </c>
      <c r="AC274" s="40" t="s">
        <v>1141</v>
      </c>
      <c r="AD274" s="9">
        <f>$AB274</f>
        <v>208350</v>
      </c>
      <c r="BI274" s="34" t="str">
        <f>HYPERLINK("#자재조서!A50","M3114005-1 →")</f>
        <v>M3114005-1 →</v>
      </c>
    </row>
    <row r="275" spans="1:61" ht="18.399999999999999" customHeight="1" x14ac:dyDescent="0.15">
      <c r="A275" s="13" t="s">
        <v>435</v>
      </c>
      <c r="B275" s="2" t="s">
        <v>1779</v>
      </c>
      <c r="C275" s="2">
        <v>1</v>
      </c>
      <c r="D275" s="2" t="s">
        <v>2293</v>
      </c>
      <c r="E275" s="31">
        <f>G275+I275+K275</f>
        <v>0</v>
      </c>
      <c r="F275" s="31">
        <f>H275+J275+L275</f>
        <v>208350</v>
      </c>
      <c r="G275" s="1"/>
      <c r="H275" s="31">
        <v>0</v>
      </c>
      <c r="I275" s="1"/>
      <c r="J275" s="31">
        <f>TRUNC((H274*5/100),0)</f>
        <v>208350</v>
      </c>
      <c r="K275" s="1"/>
      <c r="L275" s="31">
        <v>0</v>
      </c>
      <c r="M275" s="22" t="s">
        <v>2859</v>
      </c>
      <c r="N275" t="s">
        <v>2859</v>
      </c>
      <c r="P275" t="s">
        <v>2491</v>
      </c>
      <c r="Q275" t="s">
        <v>2859</v>
      </c>
      <c r="R275" t="s">
        <v>2417</v>
      </c>
      <c r="X275" t="s">
        <v>1987</v>
      </c>
    </row>
    <row r="276" spans="1:61" ht="18.399999999999999" customHeight="1" x14ac:dyDescent="0.15">
      <c r="A276" s="57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58"/>
    </row>
    <row r="277" spans="1:61" ht="18.399999999999999" customHeight="1" x14ac:dyDescent="0.15">
      <c r="A277" s="13" t="s">
        <v>1032</v>
      </c>
      <c r="B277" s="2" t="s">
        <v>2859</v>
      </c>
      <c r="C277" s="2">
        <v>1</v>
      </c>
      <c r="D277" s="2" t="s">
        <v>1091</v>
      </c>
      <c r="F277" s="31">
        <f>H277+J277+L277</f>
        <v>150</v>
      </c>
      <c r="H277" s="31">
        <f>TRUNC(H278,0)</f>
        <v>150</v>
      </c>
      <c r="J277" s="31">
        <f>TRUNC(J278,0)</f>
        <v>0</v>
      </c>
      <c r="L277" s="31">
        <f>TRUNC(L278,0)</f>
        <v>0</v>
      </c>
      <c r="M277" s="22" t="s">
        <v>2859</v>
      </c>
      <c r="N277" t="s">
        <v>2859</v>
      </c>
      <c r="O277" t="s">
        <v>2545</v>
      </c>
    </row>
    <row r="278" spans="1:61" ht="18.399999999999999" customHeight="1" x14ac:dyDescent="0.15">
      <c r="A278" s="13" t="s">
        <v>873</v>
      </c>
      <c r="B278" s="2" t="s">
        <v>1758</v>
      </c>
      <c r="C278" s="2">
        <v>1</v>
      </c>
      <c r="D278" s="2" t="s">
        <v>1678</v>
      </c>
      <c r="E278" s="31">
        <f>G278+I278+K278</f>
        <v>150</v>
      </c>
      <c r="F278" s="31">
        <f>H278+J278+L278</f>
        <v>150</v>
      </c>
      <c r="G278" s="31">
        <f>자재조서!E65</f>
        <v>150</v>
      </c>
      <c r="H278" s="31">
        <f>TRUNC(G278*C278,0)</f>
        <v>150</v>
      </c>
      <c r="I278" s="31">
        <v>0</v>
      </c>
      <c r="J278" s="31"/>
      <c r="K278" s="31">
        <v>0</v>
      </c>
      <c r="L278" s="31"/>
      <c r="M278" s="22" t="s">
        <v>2859</v>
      </c>
      <c r="N278" t="s">
        <v>2859</v>
      </c>
      <c r="P278" t="s">
        <v>322</v>
      </c>
      <c r="Q278" t="s">
        <v>2859</v>
      </c>
      <c r="R278" t="s">
        <v>883</v>
      </c>
      <c r="BI278" s="34" t="str">
        <f>HYPERLINK("#자재조서!A65","MHJ0170 →")</f>
        <v>MHJ0170 →</v>
      </c>
    </row>
    <row r="279" spans="1:61" ht="18.399999999999999" customHeight="1" x14ac:dyDescent="0.15">
      <c r="A279" s="57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58"/>
    </row>
    <row r="280" spans="1:61" ht="18.399999999999999" customHeight="1" x14ac:dyDescent="0.15">
      <c r="A280" s="13" t="s">
        <v>985</v>
      </c>
      <c r="B280" s="2" t="s">
        <v>2859</v>
      </c>
      <c r="C280" s="2">
        <v>1</v>
      </c>
      <c r="D280" s="2" t="s">
        <v>773</v>
      </c>
      <c r="F280" s="31">
        <f>H280+J280+L280</f>
        <v>190909</v>
      </c>
      <c r="H280" s="31">
        <f>TRUNC(H282,0)</f>
        <v>0</v>
      </c>
      <c r="J280" s="31">
        <f>TRUNC(J282,0)</f>
        <v>190909</v>
      </c>
      <c r="L280" s="31">
        <f>TRUNC(L282,0)</f>
        <v>0</v>
      </c>
      <c r="M280" s="22" t="s">
        <v>2859</v>
      </c>
      <c r="N280" t="s">
        <v>2859</v>
      </c>
      <c r="O280" t="s">
        <v>92</v>
      </c>
    </row>
    <row r="281" spans="1:61" ht="18.399999999999999" customHeight="1" x14ac:dyDescent="0.15">
      <c r="A281" s="13" t="s">
        <v>1959</v>
      </c>
      <c r="B281" s="2" t="s">
        <v>1169</v>
      </c>
      <c r="C281" s="2">
        <v>1</v>
      </c>
      <c r="D281" s="2" t="s">
        <v>773</v>
      </c>
      <c r="E281" s="31">
        <f>G281+I281+K281</f>
        <v>4200000</v>
      </c>
      <c r="F281" s="31">
        <f>H281+J281+L281</f>
        <v>4200000</v>
      </c>
      <c r="G281" s="31">
        <f>자재조서!E74</f>
        <v>4200000</v>
      </c>
      <c r="H281" s="31">
        <f>TRUNC(G281*C281,0)</f>
        <v>4200000</v>
      </c>
      <c r="I281" s="31">
        <v>0</v>
      </c>
      <c r="J281" s="31"/>
      <c r="K281" s="31">
        <v>0</v>
      </c>
      <c r="L281" s="31"/>
      <c r="M281" s="22" t="s">
        <v>2859</v>
      </c>
      <c r="N281" t="s">
        <v>2859</v>
      </c>
      <c r="P281" t="s">
        <v>322</v>
      </c>
      <c r="Q281" t="s">
        <v>1832</v>
      </c>
      <c r="R281" t="s">
        <v>99</v>
      </c>
      <c r="AA281" s="40" t="s">
        <v>287</v>
      </c>
      <c r="AB281" s="10">
        <f>일위대가_호표!H281/1.1*5/100</f>
        <v>190909.09090909091</v>
      </c>
      <c r="AC281" s="40" t="s">
        <v>1141</v>
      </c>
      <c r="AD281" s="9">
        <f>$AB281</f>
        <v>190909.09090909091</v>
      </c>
      <c r="BI281" s="34" t="str">
        <f>HYPERLINK("#자재조서!A74","MZZ007000 →")</f>
        <v>MZZ007000 →</v>
      </c>
    </row>
    <row r="282" spans="1:61" ht="18.399999999999999" customHeight="1" x14ac:dyDescent="0.15">
      <c r="A282" s="13" t="s">
        <v>435</v>
      </c>
      <c r="B282" s="2" t="s">
        <v>1779</v>
      </c>
      <c r="C282" s="2">
        <v>1</v>
      </c>
      <c r="D282" s="2" t="s">
        <v>2293</v>
      </c>
      <c r="E282" s="31">
        <f>G282+I282+K282</f>
        <v>0</v>
      </c>
      <c r="F282" s="31">
        <f>H282+J282+L282</f>
        <v>190909</v>
      </c>
      <c r="G282" s="1"/>
      <c r="H282" s="31">
        <v>0</v>
      </c>
      <c r="I282" s="1"/>
      <c r="J282" s="31">
        <f>TRUNC((H281/1.1*5/100),0)</f>
        <v>190909</v>
      </c>
      <c r="K282" s="1"/>
      <c r="L282" s="31">
        <v>0</v>
      </c>
      <c r="M282" s="22" t="s">
        <v>2859</v>
      </c>
      <c r="N282" t="s">
        <v>2859</v>
      </c>
      <c r="P282" t="s">
        <v>2491</v>
      </c>
      <c r="Q282" t="s">
        <v>2859</v>
      </c>
      <c r="R282" t="s">
        <v>2417</v>
      </c>
      <c r="X282" t="s">
        <v>257</v>
      </c>
    </row>
    <row r="283" spans="1:61" ht="18.399999999999999" customHeight="1" x14ac:dyDescent="0.15">
      <c r="A283" s="57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58"/>
    </row>
    <row r="284" spans="1:61" ht="18.399999999999999" customHeight="1" x14ac:dyDescent="0.15">
      <c r="A284" s="13" t="s">
        <v>1118</v>
      </c>
      <c r="B284" s="2" t="s">
        <v>2152</v>
      </c>
      <c r="C284" s="2">
        <v>1</v>
      </c>
      <c r="D284" s="2" t="s">
        <v>1085</v>
      </c>
      <c r="F284" s="31">
        <f t="shared" ref="F284:F292" si="38">H284+J284+L284</f>
        <v>47150</v>
      </c>
      <c r="H284" s="31">
        <f>TRUNC(H285+H286+H287+H288+H289+H290+H291+H292,0)</f>
        <v>30756</v>
      </c>
      <c r="J284" s="31">
        <f>TRUNC(J285+J286+J287+J288+J289+J290+J291+J292,0)</f>
        <v>13761</v>
      </c>
      <c r="L284" s="31">
        <f>TRUNC(L285+L286+L287+L288+L289+L290+L291+L292,0)</f>
        <v>2633</v>
      </c>
      <c r="M284" s="22" t="s">
        <v>2859</v>
      </c>
      <c r="N284" t="s">
        <v>2859</v>
      </c>
      <c r="O284" t="s">
        <v>2018</v>
      </c>
    </row>
    <row r="285" spans="1:61" ht="18.399999999999999" customHeight="1" x14ac:dyDescent="0.15">
      <c r="A285" s="13" t="s">
        <v>292</v>
      </c>
      <c r="B285" s="2" t="s">
        <v>550</v>
      </c>
      <c r="C285" s="2">
        <f>일위대가_별표!$AD740</f>
        <v>1.1126</v>
      </c>
      <c r="D285" s="2" t="s">
        <v>1085</v>
      </c>
      <c r="E285" s="31">
        <f t="shared" ref="E285:E292" si="39">G285+I285+K285</f>
        <v>25000</v>
      </c>
      <c r="F285" s="31">
        <f t="shared" si="38"/>
        <v>27815</v>
      </c>
      <c r="G285" s="31">
        <f>자재조서!E14</f>
        <v>25000</v>
      </c>
      <c r="H285" s="31">
        <f>TRUNC(G285*C285,0)</f>
        <v>27815</v>
      </c>
      <c r="I285" s="31">
        <v>0</v>
      </c>
      <c r="J285" s="31"/>
      <c r="K285" s="31">
        <v>0</v>
      </c>
      <c r="L285" s="31"/>
      <c r="M285" s="22" t="s">
        <v>2859</v>
      </c>
      <c r="N285" t="s">
        <v>2859</v>
      </c>
      <c r="P285" t="s">
        <v>1624</v>
      </c>
      <c r="Q285" t="s">
        <v>2859</v>
      </c>
      <c r="R285" t="s">
        <v>1645</v>
      </c>
      <c r="BI285" s="34" t="str">
        <f>HYPERLINK("#자재조서!A14","M0723004 →")</f>
        <v>M0723004 →</v>
      </c>
    </row>
    <row r="286" spans="1:61" ht="18.399999999999999" customHeight="1" x14ac:dyDescent="0.15">
      <c r="A286" s="13" t="s">
        <v>1682</v>
      </c>
      <c r="B286" s="2" t="s">
        <v>53</v>
      </c>
      <c r="C286" s="2">
        <f>일위대가_별표!$AD759</f>
        <v>1.0800000000000001E-2</v>
      </c>
      <c r="D286" s="2" t="s">
        <v>2380</v>
      </c>
      <c r="E286" s="31">
        <f t="shared" si="39"/>
        <v>99711</v>
      </c>
      <c r="F286" s="31">
        <f t="shared" si="38"/>
        <v>1075</v>
      </c>
      <c r="G286" s="31">
        <f>중기사용료목록!E14</f>
        <v>19615</v>
      </c>
      <c r="H286" s="31">
        <f>TRUNC(G286*C286,0)</f>
        <v>211</v>
      </c>
      <c r="I286" s="31">
        <f>중기사용료목록!F14</f>
        <v>56874</v>
      </c>
      <c r="J286" s="31">
        <f t="shared" ref="J286:J292" si="40">TRUNC(I286*C286,0)</f>
        <v>614</v>
      </c>
      <c r="K286" s="31">
        <f>중기사용료목록!G14</f>
        <v>23222</v>
      </c>
      <c r="L286" s="31">
        <f>TRUNC(K286*C286,0)</f>
        <v>250</v>
      </c>
      <c r="M286" s="22" t="s">
        <v>2859</v>
      </c>
      <c r="N286" t="s">
        <v>2859</v>
      </c>
      <c r="P286" t="s">
        <v>2491</v>
      </c>
      <c r="Q286" t="s">
        <v>2859</v>
      </c>
      <c r="R286" t="s">
        <v>334</v>
      </c>
      <c r="BI286" s="34" t="str">
        <f>HYPERLINK("#중기사용료목록!A14","E0003020172 →")</f>
        <v>E0003020172 →</v>
      </c>
    </row>
    <row r="287" spans="1:61" ht="18.399999999999999" customHeight="1" x14ac:dyDescent="0.15">
      <c r="A287" s="13" t="s">
        <v>2855</v>
      </c>
      <c r="B287" s="2" t="s">
        <v>1505</v>
      </c>
      <c r="C287" s="2">
        <f>일위대가_별표!$AD786</f>
        <v>3.39E-2</v>
      </c>
      <c r="D287" s="2" t="s">
        <v>2380</v>
      </c>
      <c r="E287" s="31">
        <f t="shared" si="39"/>
        <v>107004</v>
      </c>
      <c r="F287" s="31">
        <f t="shared" si="38"/>
        <v>3626</v>
      </c>
      <c r="G287" s="31">
        <f>중기사용료목록!E17</f>
        <v>30499</v>
      </c>
      <c r="H287" s="31">
        <f>TRUNC(G287*C287,0)</f>
        <v>1033</v>
      </c>
      <c r="I287" s="31">
        <f>중기사용료목록!F17</f>
        <v>56874</v>
      </c>
      <c r="J287" s="31">
        <f t="shared" si="40"/>
        <v>1928</v>
      </c>
      <c r="K287" s="31">
        <f>중기사용료목록!G17</f>
        <v>19631</v>
      </c>
      <c r="L287" s="31">
        <f>TRUNC(K287*C287,0)</f>
        <v>665</v>
      </c>
      <c r="M287" s="22" t="s">
        <v>2859</v>
      </c>
      <c r="N287" t="s">
        <v>2859</v>
      </c>
      <c r="P287" t="s">
        <v>1745</v>
      </c>
      <c r="Q287" t="s">
        <v>2859</v>
      </c>
      <c r="R287" t="s">
        <v>221</v>
      </c>
      <c r="BI287" s="34" t="str">
        <f>HYPERLINK("#중기사용료목록!A17","E0006020150 →")</f>
        <v>E0006020150 →</v>
      </c>
    </row>
    <row r="288" spans="1:61" ht="18.399999999999999" customHeight="1" x14ac:dyDescent="0.15">
      <c r="A288" s="13" t="s">
        <v>2652</v>
      </c>
      <c r="B288" s="2" t="s">
        <v>2859</v>
      </c>
      <c r="C288" s="2">
        <f>일위대가_별표!$AD793</f>
        <v>1.3299999999999999E-2</v>
      </c>
      <c r="D288" s="2" t="s">
        <v>2663</v>
      </c>
      <c r="E288" s="31">
        <f t="shared" si="39"/>
        <v>211355</v>
      </c>
      <c r="F288" s="31">
        <f t="shared" si="38"/>
        <v>2811</v>
      </c>
      <c r="G288" s="31">
        <v>0</v>
      </c>
      <c r="H288" s="31"/>
      <c r="I288" s="31">
        <f>노임!D11</f>
        <v>211355</v>
      </c>
      <c r="J288" s="31">
        <f t="shared" si="40"/>
        <v>2811</v>
      </c>
      <c r="K288" s="31">
        <v>0</v>
      </c>
      <c r="L288" s="31"/>
      <c r="M288" s="22" t="s">
        <v>2859</v>
      </c>
      <c r="N288" t="s">
        <v>2859</v>
      </c>
      <c r="P288" t="s">
        <v>194</v>
      </c>
      <c r="Q288" t="s">
        <v>2859</v>
      </c>
      <c r="R288" t="s">
        <v>1452</v>
      </c>
      <c r="BI288" s="34" t="str">
        <f>HYPERLINK("#노임!A11","L042 →")</f>
        <v>L042 →</v>
      </c>
    </row>
    <row r="289" spans="1:61" ht="18.399999999999999" customHeight="1" x14ac:dyDescent="0.15">
      <c r="A289" s="13" t="s">
        <v>891</v>
      </c>
      <c r="B289" s="2" t="s">
        <v>2859</v>
      </c>
      <c r="C289" s="2">
        <f>일위대가_별표!$AD796</f>
        <v>1.3299999999999999E-2</v>
      </c>
      <c r="D289" s="2" t="s">
        <v>2663</v>
      </c>
      <c r="E289" s="31">
        <f t="shared" si="39"/>
        <v>167081</v>
      </c>
      <c r="F289" s="31">
        <f t="shared" si="38"/>
        <v>2222</v>
      </c>
      <c r="G289" s="31">
        <v>0</v>
      </c>
      <c r="H289" s="31"/>
      <c r="I289" s="31">
        <f>노임!D13</f>
        <v>167081</v>
      </c>
      <c r="J289" s="31">
        <f t="shared" si="40"/>
        <v>2222</v>
      </c>
      <c r="K289" s="31">
        <v>0</v>
      </c>
      <c r="L289" s="31"/>
      <c r="M289" s="22" t="s">
        <v>2859</v>
      </c>
      <c r="N289" t="s">
        <v>2859</v>
      </c>
      <c r="P289" t="s">
        <v>1030</v>
      </c>
      <c r="Q289" t="s">
        <v>2859</v>
      </c>
      <c r="R289" t="s">
        <v>485</v>
      </c>
      <c r="BI289" s="34" t="str">
        <f>HYPERLINK("#노임!A13","L085 →")</f>
        <v>L085 →</v>
      </c>
    </row>
    <row r="290" spans="1:61" ht="18.399999999999999" customHeight="1" x14ac:dyDescent="0.15">
      <c r="A290" s="13" t="s">
        <v>15</v>
      </c>
      <c r="B290" s="2" t="s">
        <v>981</v>
      </c>
      <c r="C290" s="2">
        <f>일위대가_별표!$AD802</f>
        <v>5.33E-2</v>
      </c>
      <c r="D290" s="2" t="s">
        <v>2380</v>
      </c>
      <c r="E290" s="31">
        <f t="shared" si="39"/>
        <v>102547</v>
      </c>
      <c r="F290" s="31">
        <f t="shared" si="38"/>
        <v>5464</v>
      </c>
      <c r="G290" s="31">
        <f>중기사용료목록!E10</f>
        <v>19993</v>
      </c>
      <c r="H290" s="31">
        <f>TRUNC(G290*C290,0)</f>
        <v>1065</v>
      </c>
      <c r="I290" s="31">
        <f>중기사용료목록!F10</f>
        <v>56874</v>
      </c>
      <c r="J290" s="31">
        <f t="shared" si="40"/>
        <v>3031</v>
      </c>
      <c r="K290" s="31">
        <f>중기사용료목록!G10</f>
        <v>25680</v>
      </c>
      <c r="L290" s="31">
        <f>TRUNC(K290*C290,0)</f>
        <v>1368</v>
      </c>
      <c r="M290" s="22" t="s">
        <v>2859</v>
      </c>
      <c r="N290" t="s">
        <v>2859</v>
      </c>
      <c r="P290" t="s">
        <v>267</v>
      </c>
      <c r="Q290" t="s">
        <v>2859</v>
      </c>
      <c r="R290" t="s">
        <v>1482</v>
      </c>
      <c r="BI290" s="34" t="str">
        <f>HYPERLINK("#중기사용료목록!A10","E0002110060 →")</f>
        <v>E0002110060 →</v>
      </c>
    </row>
    <row r="291" spans="1:61" ht="18.399999999999999" customHeight="1" x14ac:dyDescent="0.15">
      <c r="A291" s="13" t="s">
        <v>734</v>
      </c>
      <c r="B291" s="2" t="s">
        <v>912</v>
      </c>
      <c r="C291" s="2">
        <f>일위대가_별표!$AD808</f>
        <v>5.33E-2</v>
      </c>
      <c r="D291" s="2" t="s">
        <v>2380</v>
      </c>
      <c r="E291" s="31">
        <f t="shared" si="39"/>
        <v>40104</v>
      </c>
      <c r="F291" s="31">
        <f t="shared" si="38"/>
        <v>2136</v>
      </c>
      <c r="G291" s="31">
        <f>중기사용료목록!E20</f>
        <v>3455</v>
      </c>
      <c r="H291" s="31">
        <f>TRUNC(G291*C291,0)</f>
        <v>184</v>
      </c>
      <c r="I291" s="31">
        <f>중기사용료목록!F20</f>
        <v>34803</v>
      </c>
      <c r="J291" s="31">
        <f t="shared" si="40"/>
        <v>1854</v>
      </c>
      <c r="K291" s="31">
        <f>중기사용료목록!G20</f>
        <v>1846</v>
      </c>
      <c r="L291" s="31">
        <f>TRUNC(K291*C291,0)</f>
        <v>98</v>
      </c>
      <c r="M291" s="22" t="s">
        <v>2859</v>
      </c>
      <c r="N291" t="s">
        <v>2859</v>
      </c>
      <c r="P291" t="s">
        <v>2435</v>
      </c>
      <c r="Q291" t="s">
        <v>2859</v>
      </c>
      <c r="R291" t="s">
        <v>2688</v>
      </c>
      <c r="BI291" s="34" t="str">
        <f>HYPERLINK("#중기사용료목록!A20","E0013050007 →")</f>
        <v>E0013050007 →</v>
      </c>
    </row>
    <row r="292" spans="1:61" ht="18.399999999999999" customHeight="1" x14ac:dyDescent="0.15">
      <c r="A292" s="13" t="s">
        <v>1508</v>
      </c>
      <c r="B292" s="2" t="s">
        <v>1170</v>
      </c>
      <c r="C292" s="2">
        <f>일위대가_별표!$AD814</f>
        <v>2.6700000000000002E-2</v>
      </c>
      <c r="D292" s="2" t="s">
        <v>2380</v>
      </c>
      <c r="E292" s="31">
        <f t="shared" si="39"/>
        <v>75016</v>
      </c>
      <c r="F292" s="31">
        <f t="shared" si="38"/>
        <v>2001</v>
      </c>
      <c r="G292" s="31">
        <f>중기사용료목록!E38</f>
        <v>16805</v>
      </c>
      <c r="H292" s="31">
        <f>TRUNC(G292*C292,0)</f>
        <v>448</v>
      </c>
      <c r="I292" s="31">
        <f>중기사용료목록!F38</f>
        <v>48741</v>
      </c>
      <c r="J292" s="31">
        <f t="shared" si="40"/>
        <v>1301</v>
      </c>
      <c r="K292" s="31">
        <f>중기사용료목록!G38</f>
        <v>9470</v>
      </c>
      <c r="L292" s="31">
        <f>TRUNC(K292*C292,0)</f>
        <v>252</v>
      </c>
      <c r="M292" s="22" t="s">
        <v>2859</v>
      </c>
      <c r="N292" t="s">
        <v>2859</v>
      </c>
      <c r="P292" t="s">
        <v>1695</v>
      </c>
      <c r="Q292" t="s">
        <v>2859</v>
      </c>
      <c r="R292" t="s">
        <v>42</v>
      </c>
      <c r="BI292" s="34" t="str">
        <f>HYPERLINK("#중기사용료목록!A38","E0072040055 →")</f>
        <v>E0072040055 →</v>
      </c>
    </row>
    <row r="293" spans="1:61" ht="18.399999999999999" customHeight="1" x14ac:dyDescent="0.15">
      <c r="A293" s="57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58"/>
    </row>
    <row r="294" spans="1:61" ht="18.399999999999999" customHeight="1" x14ac:dyDescent="0.15">
      <c r="A294" s="13" t="s">
        <v>1971</v>
      </c>
      <c r="B294" s="2" t="s">
        <v>1978</v>
      </c>
      <c r="C294" s="2">
        <v>1</v>
      </c>
      <c r="D294" s="2" t="s">
        <v>2212</v>
      </c>
      <c r="F294" s="31">
        <f t="shared" ref="F294:F302" si="41">H294+J294+L294</f>
        <v>957</v>
      </c>
      <c r="H294" s="31">
        <f>TRUNC(H296+H297+H298+H299+H300+H301+H302,0)</f>
        <v>111</v>
      </c>
      <c r="J294" s="31">
        <f>TRUNC(J296+J297+J298+J299+J300+J301+J302,0)</f>
        <v>668</v>
      </c>
      <c r="L294" s="31">
        <f>TRUNC(L296+L297+L298+L299+L300+L301+L302,0)</f>
        <v>178</v>
      </c>
      <c r="M294" s="22" t="s">
        <v>2859</v>
      </c>
      <c r="N294" t="s">
        <v>2859</v>
      </c>
      <c r="O294" t="s">
        <v>1639</v>
      </c>
    </row>
    <row r="295" spans="1:61" ht="18.399999999999999" customHeight="1" x14ac:dyDescent="0.15">
      <c r="A295" s="13" t="s">
        <v>807</v>
      </c>
      <c r="B295" s="2" t="s">
        <v>2164</v>
      </c>
      <c r="C295" s="2">
        <f>일위대가_별표!$AD827</f>
        <v>0.11990000000000001</v>
      </c>
      <c r="D295" s="2" t="s">
        <v>2471</v>
      </c>
      <c r="E295" s="31">
        <f t="shared" ref="E295:E302" si="42">G295+I295+K295</f>
        <v>100940</v>
      </c>
      <c r="F295" s="31">
        <f t="shared" si="41"/>
        <v>12102</v>
      </c>
      <c r="G295" s="31">
        <f>자재조서!E26</f>
        <v>100940</v>
      </c>
      <c r="H295" s="31">
        <f>TRUNC(G295*C295,0)</f>
        <v>12102</v>
      </c>
      <c r="I295" s="31">
        <v>0</v>
      </c>
      <c r="J295" s="31"/>
      <c r="K295" s="31">
        <v>0</v>
      </c>
      <c r="L295" s="31"/>
      <c r="M295" s="22" t="s">
        <v>2020</v>
      </c>
      <c r="N295" t="s">
        <v>1074</v>
      </c>
      <c r="P295" t="s">
        <v>322</v>
      </c>
      <c r="Q295" t="s">
        <v>1832</v>
      </c>
      <c r="R295" t="s">
        <v>2667</v>
      </c>
      <c r="W295" t="s">
        <v>2020</v>
      </c>
      <c r="BI295" s="34" t="str">
        <f>HYPERLINK("#자재조서!A26","M1155009-1 →")</f>
        <v>M1155009-1 →</v>
      </c>
    </row>
    <row r="296" spans="1:61" ht="18.399999999999999" customHeight="1" x14ac:dyDescent="0.15">
      <c r="A296" s="13" t="s">
        <v>1718</v>
      </c>
      <c r="B296" s="2" t="s">
        <v>1901</v>
      </c>
      <c r="C296" s="2">
        <f>일위대가_별표!$AD833</f>
        <v>1.6999999999999999E-3</v>
      </c>
      <c r="D296" s="2" t="s">
        <v>2380</v>
      </c>
      <c r="E296" s="31">
        <f t="shared" si="42"/>
        <v>129748</v>
      </c>
      <c r="F296" s="31">
        <f t="shared" si="41"/>
        <v>219</v>
      </c>
      <c r="G296" s="31">
        <f>중기사용료목록!E33</f>
        <v>19334</v>
      </c>
      <c r="H296" s="31">
        <f>TRUNC(G296*C296,0)</f>
        <v>32</v>
      </c>
      <c r="I296" s="31">
        <f>중기사용료목록!F33</f>
        <v>56874</v>
      </c>
      <c r="J296" s="31">
        <f t="shared" ref="J296:J302" si="43">TRUNC(I296*C296,0)</f>
        <v>96</v>
      </c>
      <c r="K296" s="31">
        <f>중기사용료목록!G33</f>
        <v>53540</v>
      </c>
      <c r="L296" s="31">
        <f>TRUNC(K296*C296,0)</f>
        <v>91</v>
      </c>
      <c r="M296" s="22" t="s">
        <v>2859</v>
      </c>
      <c r="N296" t="s">
        <v>2859</v>
      </c>
      <c r="P296" t="s">
        <v>1624</v>
      </c>
      <c r="Q296" t="s">
        <v>2859</v>
      </c>
      <c r="R296" t="s">
        <v>2843</v>
      </c>
      <c r="BI296" s="34" t="str">
        <f>HYPERLINK("#중기사용료목록!A33","E0032010003 →")</f>
        <v>E0032010003 →</v>
      </c>
    </row>
    <row r="297" spans="1:61" ht="18.399999999999999" customHeight="1" x14ac:dyDescent="0.15">
      <c r="A297" s="13" t="s">
        <v>518</v>
      </c>
      <c r="B297" s="2" t="s">
        <v>2859</v>
      </c>
      <c r="C297" s="2">
        <f>일위대가_별표!$AD839</f>
        <v>8.0000000000000004E-4</v>
      </c>
      <c r="D297" s="2" t="s">
        <v>2663</v>
      </c>
      <c r="E297" s="31">
        <f t="shared" si="42"/>
        <v>266931</v>
      </c>
      <c r="F297" s="31">
        <f t="shared" si="41"/>
        <v>213</v>
      </c>
      <c r="G297" s="31">
        <v>0</v>
      </c>
      <c r="H297" s="31"/>
      <c r="I297" s="31">
        <f>노임!D10</f>
        <v>266931</v>
      </c>
      <c r="J297" s="31">
        <f t="shared" si="43"/>
        <v>213</v>
      </c>
      <c r="K297" s="31">
        <v>0</v>
      </c>
      <c r="L297" s="31"/>
      <c r="M297" s="22" t="s">
        <v>2859</v>
      </c>
      <c r="N297" t="s">
        <v>2859</v>
      </c>
      <c r="P297" t="s">
        <v>2491</v>
      </c>
      <c r="Q297" t="s">
        <v>2859</v>
      </c>
      <c r="R297" t="s">
        <v>627</v>
      </c>
      <c r="BI297" s="34" t="str">
        <f>HYPERLINK("#노임!A10","L041 →")</f>
        <v>L041 →</v>
      </c>
    </row>
    <row r="298" spans="1:61" ht="18.399999999999999" customHeight="1" x14ac:dyDescent="0.15">
      <c r="A298" s="13" t="s">
        <v>891</v>
      </c>
      <c r="B298" s="2" t="s">
        <v>2859</v>
      </c>
      <c r="C298" s="2">
        <f>일위대가_별표!$AD843</f>
        <v>2.0000000000000001E-4</v>
      </c>
      <c r="D298" s="2" t="s">
        <v>2663</v>
      </c>
      <c r="E298" s="31">
        <f t="shared" si="42"/>
        <v>167081</v>
      </c>
      <c r="F298" s="31">
        <f t="shared" si="41"/>
        <v>33</v>
      </c>
      <c r="G298" s="31">
        <v>0</v>
      </c>
      <c r="H298" s="31"/>
      <c r="I298" s="31">
        <f>노임!D13</f>
        <v>167081</v>
      </c>
      <c r="J298" s="31">
        <f t="shared" si="43"/>
        <v>33</v>
      </c>
      <c r="K298" s="31">
        <v>0</v>
      </c>
      <c r="L298" s="31"/>
      <c r="M298" s="22" t="s">
        <v>2859</v>
      </c>
      <c r="N298" t="s">
        <v>2859</v>
      </c>
      <c r="P298" t="s">
        <v>1745</v>
      </c>
      <c r="Q298" t="s">
        <v>2859</v>
      </c>
      <c r="R298" t="s">
        <v>485</v>
      </c>
      <c r="BI298" s="34" t="str">
        <f>HYPERLINK("#노임!A13","L085 →")</f>
        <v>L085 →</v>
      </c>
    </row>
    <row r="299" spans="1:61" ht="18.399999999999999" customHeight="1" x14ac:dyDescent="0.15">
      <c r="A299" s="13" t="s">
        <v>370</v>
      </c>
      <c r="B299" s="2" t="s">
        <v>1</v>
      </c>
      <c r="C299" s="2">
        <f>일위대가_별표!$AD849</f>
        <v>1.6999999999999999E-3</v>
      </c>
      <c r="D299" s="2" t="s">
        <v>2380</v>
      </c>
      <c r="E299" s="31">
        <f t="shared" si="42"/>
        <v>84229</v>
      </c>
      <c r="F299" s="31">
        <f t="shared" si="41"/>
        <v>141</v>
      </c>
      <c r="G299" s="31">
        <f>중기사용료목록!E18</f>
        <v>15253</v>
      </c>
      <c r="H299" s="31">
        <f>TRUNC(G299*C299,0)</f>
        <v>25</v>
      </c>
      <c r="I299" s="31">
        <f>중기사용료목록!F18</f>
        <v>56874</v>
      </c>
      <c r="J299" s="31">
        <f t="shared" si="43"/>
        <v>96</v>
      </c>
      <c r="K299" s="31">
        <f>중기사용료목록!G18</f>
        <v>12102</v>
      </c>
      <c r="L299" s="31">
        <f>TRUNC(K299*C299,0)</f>
        <v>20</v>
      </c>
      <c r="M299" s="22" t="s">
        <v>2859</v>
      </c>
      <c r="N299" t="s">
        <v>2859</v>
      </c>
      <c r="P299" t="s">
        <v>267</v>
      </c>
      <c r="Q299" t="s">
        <v>2859</v>
      </c>
      <c r="R299" t="s">
        <v>2434</v>
      </c>
      <c r="BI299" s="34" t="str">
        <f>HYPERLINK("#중기사용료목록!A18","E0011060012 →")</f>
        <v>E0011060012 →</v>
      </c>
    </row>
    <row r="300" spans="1:61" ht="18.399999999999999" customHeight="1" x14ac:dyDescent="0.15">
      <c r="A300" s="13" t="s">
        <v>1852</v>
      </c>
      <c r="B300" s="2" t="s">
        <v>1102</v>
      </c>
      <c r="C300" s="2">
        <f>일위대가_별표!$AD855</f>
        <v>1.6999999999999999E-3</v>
      </c>
      <c r="D300" s="2" t="s">
        <v>2380</v>
      </c>
      <c r="E300" s="31">
        <f t="shared" si="42"/>
        <v>93661</v>
      </c>
      <c r="F300" s="31">
        <f t="shared" si="41"/>
        <v>158</v>
      </c>
      <c r="G300" s="31">
        <f>중기사용료목록!E23</f>
        <v>13677</v>
      </c>
      <c r="H300" s="31">
        <f>TRUNC(G300*C300,0)</f>
        <v>23</v>
      </c>
      <c r="I300" s="31">
        <f>중기사용료목록!F23</f>
        <v>56874</v>
      </c>
      <c r="J300" s="31">
        <f t="shared" si="43"/>
        <v>96</v>
      </c>
      <c r="K300" s="31">
        <f>중기사용료목록!G23</f>
        <v>23110</v>
      </c>
      <c r="L300" s="31">
        <f>TRUNC(K300*C300,0)</f>
        <v>39</v>
      </c>
      <c r="M300" s="22" t="s">
        <v>2859</v>
      </c>
      <c r="N300" t="s">
        <v>2859</v>
      </c>
      <c r="P300" t="s">
        <v>2435</v>
      </c>
      <c r="Q300" t="s">
        <v>2859</v>
      </c>
      <c r="R300" t="s">
        <v>2495</v>
      </c>
      <c r="BI300" s="34" t="str">
        <f>HYPERLINK("#중기사용료목록!A23","E0014060015 →")</f>
        <v>E0014060015 →</v>
      </c>
    </row>
    <row r="301" spans="1:61" ht="18.399999999999999" customHeight="1" x14ac:dyDescent="0.15">
      <c r="A301" s="13" t="s">
        <v>637</v>
      </c>
      <c r="B301" s="2" t="s">
        <v>2036</v>
      </c>
      <c r="C301" s="2">
        <f>일위대가_별표!$AD861</f>
        <v>1.6999999999999999E-3</v>
      </c>
      <c r="D301" s="2" t="s">
        <v>2380</v>
      </c>
      <c r="E301" s="31">
        <f t="shared" si="42"/>
        <v>73600</v>
      </c>
      <c r="F301" s="31">
        <f t="shared" si="41"/>
        <v>123</v>
      </c>
      <c r="G301" s="31">
        <f>중기사용료목록!E19</f>
        <v>8201</v>
      </c>
      <c r="H301" s="31">
        <f>TRUNC(G301*C301,0)</f>
        <v>13</v>
      </c>
      <c r="I301" s="31">
        <f>중기사용료목록!F19</f>
        <v>56874</v>
      </c>
      <c r="J301" s="31">
        <f t="shared" si="43"/>
        <v>96</v>
      </c>
      <c r="K301" s="31">
        <f>중기사용료목록!G19</f>
        <v>8525</v>
      </c>
      <c r="L301" s="31">
        <f>TRUNC(K301*C301,0)</f>
        <v>14</v>
      </c>
      <c r="M301" s="22" t="s">
        <v>2859</v>
      </c>
      <c r="N301" t="s">
        <v>2859</v>
      </c>
      <c r="P301" t="s">
        <v>1695</v>
      </c>
      <c r="Q301" t="s">
        <v>2859</v>
      </c>
      <c r="R301" t="s">
        <v>291</v>
      </c>
      <c r="BI301" s="34" t="str">
        <f>HYPERLINK("#중기사용료목록!A19","E0012060008 →")</f>
        <v>E0012060008 →</v>
      </c>
    </row>
    <row r="302" spans="1:61" ht="18.399999999999999" customHeight="1" x14ac:dyDescent="0.15">
      <c r="A302" s="13" t="s">
        <v>1405</v>
      </c>
      <c r="B302" s="2" t="s">
        <v>1378</v>
      </c>
      <c r="C302" s="2">
        <f>일위대가_별표!$AD867</f>
        <v>8.0000000000000004E-4</v>
      </c>
      <c r="D302" s="2" t="s">
        <v>2380</v>
      </c>
      <c r="E302" s="31">
        <f t="shared" si="42"/>
        <v>90214</v>
      </c>
      <c r="F302" s="31">
        <f t="shared" si="41"/>
        <v>70</v>
      </c>
      <c r="G302" s="31">
        <f>중기사용료목록!E39</f>
        <v>23310</v>
      </c>
      <c r="H302" s="31">
        <f>TRUNC(G302*C302,0)</f>
        <v>18</v>
      </c>
      <c r="I302" s="31">
        <f>중기사용료목록!F39</f>
        <v>48741</v>
      </c>
      <c r="J302" s="31">
        <f t="shared" si="43"/>
        <v>38</v>
      </c>
      <c r="K302" s="31">
        <f>중기사용료목록!G39</f>
        <v>18163</v>
      </c>
      <c r="L302" s="31">
        <f>TRUNC(K302*C302,0)</f>
        <v>14</v>
      </c>
      <c r="M302" s="22" t="s">
        <v>2859</v>
      </c>
      <c r="N302" t="s">
        <v>2859</v>
      </c>
      <c r="P302" t="s">
        <v>979</v>
      </c>
      <c r="Q302" t="s">
        <v>2859</v>
      </c>
      <c r="R302" t="s">
        <v>1439</v>
      </c>
      <c r="BI302" s="34" t="str">
        <f>HYPERLINK("#중기사용료목록!A39","E0072040160 →")</f>
        <v>E0072040160 →</v>
      </c>
    </row>
    <row r="303" spans="1:61" ht="18.399999999999999" customHeight="1" x14ac:dyDescent="0.15">
      <c r="A303" s="57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58"/>
    </row>
    <row r="304" spans="1:61" ht="18.399999999999999" customHeight="1" x14ac:dyDescent="0.15">
      <c r="A304" s="13" t="s">
        <v>2740</v>
      </c>
      <c r="B304" s="2" t="s">
        <v>1998</v>
      </c>
      <c r="C304" s="2">
        <v>1</v>
      </c>
      <c r="D304" s="2" t="s">
        <v>2212</v>
      </c>
      <c r="F304" s="31">
        <f t="shared" ref="F304:F312" si="44">H304+J304+L304</f>
        <v>1032</v>
      </c>
      <c r="H304" s="31">
        <f>TRUNC(H306+H307+H308+H309+H310+H311+H312,0)</f>
        <v>119</v>
      </c>
      <c r="J304" s="31">
        <f>TRUNC(J306+J307+J308+J309+J310+J311+J312,0)</f>
        <v>724</v>
      </c>
      <c r="L304" s="31">
        <f>TRUNC(L306+L307+L308+L309+L310+L311+L312,0)</f>
        <v>189</v>
      </c>
      <c r="M304" s="22" t="s">
        <v>2859</v>
      </c>
      <c r="N304" t="s">
        <v>2859</v>
      </c>
      <c r="O304" t="s">
        <v>2033</v>
      </c>
    </row>
    <row r="305" spans="1:61" ht="18.399999999999999" customHeight="1" x14ac:dyDescent="0.15">
      <c r="A305" s="13" t="s">
        <v>807</v>
      </c>
      <c r="B305" s="2" t="s">
        <v>2515</v>
      </c>
      <c r="C305" s="2">
        <f>일위대가_별표!$AD880</f>
        <v>0.2397</v>
      </c>
      <c r="D305" s="2" t="s">
        <v>2471</v>
      </c>
      <c r="E305" s="31">
        <f t="shared" ref="E305:E312" si="45">G305+I305+K305</f>
        <v>79870</v>
      </c>
      <c r="F305" s="31">
        <f t="shared" si="44"/>
        <v>19144</v>
      </c>
      <c r="G305" s="31">
        <f>자재조서!E27</f>
        <v>79870</v>
      </c>
      <c r="H305" s="31">
        <f>TRUNC(G305*C305,0)</f>
        <v>19144</v>
      </c>
      <c r="I305" s="31">
        <v>0</v>
      </c>
      <c r="J305" s="31"/>
      <c r="K305" s="31">
        <v>0</v>
      </c>
      <c r="L305" s="31"/>
      <c r="M305" s="22" t="s">
        <v>2020</v>
      </c>
      <c r="N305" t="s">
        <v>2846</v>
      </c>
      <c r="P305" t="s">
        <v>322</v>
      </c>
      <c r="Q305" t="s">
        <v>1832</v>
      </c>
      <c r="R305" t="s">
        <v>2579</v>
      </c>
      <c r="W305" t="s">
        <v>2020</v>
      </c>
      <c r="BI305" s="34" t="str">
        <f>HYPERLINK("#자재조서!A27","M1158003-1 →")</f>
        <v>M1158003-1 →</v>
      </c>
    </row>
    <row r="306" spans="1:61" ht="18.399999999999999" customHeight="1" x14ac:dyDescent="0.15">
      <c r="A306" s="13" t="s">
        <v>1718</v>
      </c>
      <c r="B306" s="2" t="s">
        <v>1901</v>
      </c>
      <c r="C306" s="2">
        <f>일위대가_별표!$AD886</f>
        <v>1.8E-3</v>
      </c>
      <c r="D306" s="2" t="s">
        <v>2380</v>
      </c>
      <c r="E306" s="31">
        <f t="shared" si="45"/>
        <v>129748</v>
      </c>
      <c r="F306" s="31">
        <f t="shared" si="44"/>
        <v>232</v>
      </c>
      <c r="G306" s="31">
        <f>중기사용료목록!E33</f>
        <v>19334</v>
      </c>
      <c r="H306" s="31">
        <f>TRUNC(G306*C306,0)</f>
        <v>34</v>
      </c>
      <c r="I306" s="31">
        <f>중기사용료목록!F33</f>
        <v>56874</v>
      </c>
      <c r="J306" s="31">
        <f t="shared" ref="J306:J312" si="46">TRUNC(I306*C306,0)</f>
        <v>102</v>
      </c>
      <c r="K306" s="31">
        <f>중기사용료목록!G33</f>
        <v>53540</v>
      </c>
      <c r="L306" s="31">
        <f>TRUNC(K306*C306,0)</f>
        <v>96</v>
      </c>
      <c r="M306" s="22" t="s">
        <v>2859</v>
      </c>
      <c r="N306" t="s">
        <v>2859</v>
      </c>
      <c r="P306" t="s">
        <v>1624</v>
      </c>
      <c r="Q306" t="s">
        <v>2859</v>
      </c>
      <c r="R306" t="s">
        <v>2843</v>
      </c>
      <c r="BI306" s="34" t="str">
        <f>HYPERLINK("#중기사용료목록!A33","E0032010003 →")</f>
        <v>E0032010003 →</v>
      </c>
    </row>
    <row r="307" spans="1:61" ht="18.399999999999999" customHeight="1" x14ac:dyDescent="0.15">
      <c r="A307" s="13" t="s">
        <v>518</v>
      </c>
      <c r="B307" s="2" t="s">
        <v>2859</v>
      </c>
      <c r="C307" s="2">
        <f>일위대가_별표!$AD892</f>
        <v>8.9999999999999998E-4</v>
      </c>
      <c r="D307" s="2" t="s">
        <v>2663</v>
      </c>
      <c r="E307" s="31">
        <f t="shared" si="45"/>
        <v>266931</v>
      </c>
      <c r="F307" s="31">
        <f t="shared" si="44"/>
        <v>240</v>
      </c>
      <c r="G307" s="31">
        <v>0</v>
      </c>
      <c r="H307" s="31"/>
      <c r="I307" s="31">
        <f>노임!D10</f>
        <v>266931</v>
      </c>
      <c r="J307" s="31">
        <f t="shared" si="46"/>
        <v>240</v>
      </c>
      <c r="K307" s="31">
        <v>0</v>
      </c>
      <c r="L307" s="31"/>
      <c r="M307" s="22" t="s">
        <v>2859</v>
      </c>
      <c r="N307" t="s">
        <v>2859</v>
      </c>
      <c r="P307" t="s">
        <v>2491</v>
      </c>
      <c r="Q307" t="s">
        <v>2859</v>
      </c>
      <c r="R307" t="s">
        <v>627</v>
      </c>
      <c r="BI307" s="34" t="str">
        <f>HYPERLINK("#노임!A10","L041 →")</f>
        <v>L041 →</v>
      </c>
    </row>
    <row r="308" spans="1:61" ht="18.399999999999999" customHeight="1" x14ac:dyDescent="0.15">
      <c r="A308" s="13" t="s">
        <v>891</v>
      </c>
      <c r="B308" s="2" t="s">
        <v>2859</v>
      </c>
      <c r="C308" s="2">
        <f>일위대가_별표!$AD895</f>
        <v>2.0000000000000001E-4</v>
      </c>
      <c r="D308" s="2" t="s">
        <v>2663</v>
      </c>
      <c r="E308" s="31">
        <f t="shared" si="45"/>
        <v>167081</v>
      </c>
      <c r="F308" s="31">
        <f t="shared" si="44"/>
        <v>33</v>
      </c>
      <c r="G308" s="31">
        <v>0</v>
      </c>
      <c r="H308" s="31"/>
      <c r="I308" s="31">
        <f>노임!D13</f>
        <v>167081</v>
      </c>
      <c r="J308" s="31">
        <f t="shared" si="46"/>
        <v>33</v>
      </c>
      <c r="K308" s="31">
        <v>0</v>
      </c>
      <c r="L308" s="31"/>
      <c r="M308" s="22" t="s">
        <v>2859</v>
      </c>
      <c r="N308" t="s">
        <v>2859</v>
      </c>
      <c r="P308" t="s">
        <v>1745</v>
      </c>
      <c r="Q308" t="s">
        <v>2859</v>
      </c>
      <c r="R308" t="s">
        <v>485</v>
      </c>
      <c r="BI308" s="34" t="str">
        <f>HYPERLINK("#노임!A13","L085 →")</f>
        <v>L085 →</v>
      </c>
    </row>
    <row r="309" spans="1:61" ht="18.399999999999999" customHeight="1" x14ac:dyDescent="0.15">
      <c r="A309" s="13" t="s">
        <v>307</v>
      </c>
      <c r="B309" s="2" t="s">
        <v>1</v>
      </c>
      <c r="C309" s="2">
        <f>일위대가_별표!$AD901</f>
        <v>1.8E-3</v>
      </c>
      <c r="D309" s="2" t="s">
        <v>2380</v>
      </c>
      <c r="E309" s="31">
        <f t="shared" si="45"/>
        <v>84229</v>
      </c>
      <c r="F309" s="31">
        <f t="shared" si="44"/>
        <v>150</v>
      </c>
      <c r="G309" s="31">
        <f>중기사용료목록!E18</f>
        <v>15253</v>
      </c>
      <c r="H309" s="31">
        <f>TRUNC(G309*C309,0)</f>
        <v>27</v>
      </c>
      <c r="I309" s="31">
        <f>중기사용료목록!F18</f>
        <v>56874</v>
      </c>
      <c r="J309" s="31">
        <f t="shared" si="46"/>
        <v>102</v>
      </c>
      <c r="K309" s="31">
        <f>중기사용료목록!G18</f>
        <v>12102</v>
      </c>
      <c r="L309" s="31">
        <f>TRUNC(K309*C309,0)</f>
        <v>21</v>
      </c>
      <c r="M309" s="22" t="s">
        <v>2859</v>
      </c>
      <c r="N309" t="s">
        <v>2859</v>
      </c>
      <c r="P309" t="s">
        <v>267</v>
      </c>
      <c r="Q309" t="s">
        <v>2859</v>
      </c>
      <c r="R309" t="s">
        <v>2434</v>
      </c>
      <c r="BI309" s="34" t="str">
        <f>HYPERLINK("#중기사용료목록!A18","E0011060012 →")</f>
        <v>E0011060012 →</v>
      </c>
    </row>
    <row r="310" spans="1:61" ht="18.399999999999999" customHeight="1" x14ac:dyDescent="0.15">
      <c r="A310" s="13" t="s">
        <v>1852</v>
      </c>
      <c r="B310" s="2" t="s">
        <v>130</v>
      </c>
      <c r="C310" s="2">
        <f>일위대가_별표!$AD907</f>
        <v>1.8E-3</v>
      </c>
      <c r="D310" s="2" t="s">
        <v>2380</v>
      </c>
      <c r="E310" s="31">
        <f t="shared" si="45"/>
        <v>93661</v>
      </c>
      <c r="F310" s="31">
        <f t="shared" si="44"/>
        <v>167</v>
      </c>
      <c r="G310" s="31">
        <f>중기사용료목록!E23</f>
        <v>13677</v>
      </c>
      <c r="H310" s="31">
        <f>TRUNC(G310*C310,0)</f>
        <v>24</v>
      </c>
      <c r="I310" s="31">
        <f>중기사용료목록!F23</f>
        <v>56874</v>
      </c>
      <c r="J310" s="31">
        <f t="shared" si="46"/>
        <v>102</v>
      </c>
      <c r="K310" s="31">
        <f>중기사용료목록!G23</f>
        <v>23110</v>
      </c>
      <c r="L310" s="31">
        <f>TRUNC(K310*C310,0)</f>
        <v>41</v>
      </c>
      <c r="M310" s="22" t="s">
        <v>2859</v>
      </c>
      <c r="N310" t="s">
        <v>2859</v>
      </c>
      <c r="P310" t="s">
        <v>2435</v>
      </c>
      <c r="Q310" t="s">
        <v>2859</v>
      </c>
      <c r="R310" t="s">
        <v>2495</v>
      </c>
      <c r="BI310" s="34" t="str">
        <f>HYPERLINK("#중기사용료목록!A23","E0014060015 →")</f>
        <v>E0014060015 →</v>
      </c>
    </row>
    <row r="311" spans="1:61" ht="18.399999999999999" customHeight="1" x14ac:dyDescent="0.15">
      <c r="A311" s="13" t="s">
        <v>2611</v>
      </c>
      <c r="B311" s="2" t="s">
        <v>2036</v>
      </c>
      <c r="C311" s="2">
        <f>일위대가_별표!$AD913</f>
        <v>1.8E-3</v>
      </c>
      <c r="D311" s="2" t="s">
        <v>2380</v>
      </c>
      <c r="E311" s="31">
        <f t="shared" si="45"/>
        <v>73600</v>
      </c>
      <c r="F311" s="31">
        <f t="shared" si="44"/>
        <v>131</v>
      </c>
      <c r="G311" s="31">
        <f>중기사용료목록!E19</f>
        <v>8201</v>
      </c>
      <c r="H311" s="31">
        <f>TRUNC(G311*C311,0)</f>
        <v>14</v>
      </c>
      <c r="I311" s="31">
        <f>중기사용료목록!F19</f>
        <v>56874</v>
      </c>
      <c r="J311" s="31">
        <f t="shared" si="46"/>
        <v>102</v>
      </c>
      <c r="K311" s="31">
        <f>중기사용료목록!G19</f>
        <v>8525</v>
      </c>
      <c r="L311" s="31">
        <f>TRUNC(K311*C311,0)</f>
        <v>15</v>
      </c>
      <c r="M311" s="22" t="s">
        <v>2859</v>
      </c>
      <c r="N311" t="s">
        <v>2859</v>
      </c>
      <c r="P311" t="s">
        <v>1695</v>
      </c>
      <c r="Q311" t="s">
        <v>2859</v>
      </c>
      <c r="R311" t="s">
        <v>291</v>
      </c>
      <c r="BI311" s="34" t="str">
        <f>HYPERLINK("#중기사용료목록!A19","E0012060008 →")</f>
        <v>E0012060008 →</v>
      </c>
    </row>
    <row r="312" spans="1:61" ht="18.399999999999999" customHeight="1" x14ac:dyDescent="0.15">
      <c r="A312" s="13" t="s">
        <v>1960</v>
      </c>
      <c r="B312" s="2" t="s">
        <v>1378</v>
      </c>
      <c r="C312" s="2">
        <f>일위대가_별표!$AD919</f>
        <v>8.9999999999999998E-4</v>
      </c>
      <c r="D312" s="2" t="s">
        <v>2380</v>
      </c>
      <c r="E312" s="31">
        <f t="shared" si="45"/>
        <v>90214</v>
      </c>
      <c r="F312" s="31">
        <f t="shared" si="44"/>
        <v>79</v>
      </c>
      <c r="G312" s="31">
        <f>중기사용료목록!E39</f>
        <v>23310</v>
      </c>
      <c r="H312" s="31">
        <f>TRUNC(G312*C312,0)</f>
        <v>20</v>
      </c>
      <c r="I312" s="31">
        <f>중기사용료목록!F39</f>
        <v>48741</v>
      </c>
      <c r="J312" s="31">
        <f t="shared" si="46"/>
        <v>43</v>
      </c>
      <c r="K312" s="31">
        <f>중기사용료목록!G39</f>
        <v>18163</v>
      </c>
      <c r="L312" s="31">
        <f>TRUNC(K312*C312,0)</f>
        <v>16</v>
      </c>
      <c r="M312" s="22" t="s">
        <v>2859</v>
      </c>
      <c r="N312" t="s">
        <v>2859</v>
      </c>
      <c r="P312" t="s">
        <v>979</v>
      </c>
      <c r="Q312" t="s">
        <v>2859</v>
      </c>
      <c r="R312" t="s">
        <v>1439</v>
      </c>
      <c r="BI312" s="34" t="str">
        <f>HYPERLINK("#중기사용료목록!A39","E0072040160 →")</f>
        <v>E0072040160 →</v>
      </c>
    </row>
    <row r="313" spans="1:61" ht="18.399999999999999" customHeight="1" x14ac:dyDescent="0.15">
      <c r="A313" s="57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58"/>
    </row>
    <row r="314" spans="1:61" ht="18.399999999999999" customHeight="1" x14ac:dyDescent="0.15">
      <c r="A314" s="13" t="s">
        <v>466</v>
      </c>
      <c r="B314" s="2" t="s">
        <v>2500</v>
      </c>
      <c r="C314" s="2">
        <v>1</v>
      </c>
      <c r="D314" s="2" t="s">
        <v>2212</v>
      </c>
      <c r="F314" s="31">
        <f>H314+J314+L314</f>
        <v>475</v>
      </c>
      <c r="H314" s="31">
        <f>TRUNC(H315+H316+H317+H318,0)</f>
        <v>391</v>
      </c>
      <c r="J314" s="31">
        <f>TRUNC(J315+J316+J317+J318,0)</f>
        <v>84</v>
      </c>
      <c r="L314" s="31">
        <f>TRUNC(L315+L316+L317+L318,0)</f>
        <v>0</v>
      </c>
      <c r="M314" s="22" t="s">
        <v>2859</v>
      </c>
      <c r="N314" t="s">
        <v>2859</v>
      </c>
      <c r="O314" t="s">
        <v>2107</v>
      </c>
    </row>
    <row r="315" spans="1:61" ht="18.399999999999999" customHeight="1" x14ac:dyDescent="0.15">
      <c r="A315" s="13" t="s">
        <v>2368</v>
      </c>
      <c r="B315" s="2" t="s">
        <v>796</v>
      </c>
      <c r="C315" s="2">
        <f>일위대가_별표!$AD932</f>
        <v>0.309</v>
      </c>
      <c r="D315" s="2" t="s">
        <v>2218</v>
      </c>
      <c r="E315" s="31">
        <f>G315+I315+K315</f>
        <v>1150</v>
      </c>
      <c r="F315" s="31">
        <f>H315+J315+L315</f>
        <v>355</v>
      </c>
      <c r="G315" s="31">
        <f>자재조서!E24</f>
        <v>1150</v>
      </c>
      <c r="H315" s="31">
        <f>TRUNC(G315*C315,0)</f>
        <v>355</v>
      </c>
      <c r="I315" s="31">
        <v>0</v>
      </c>
      <c r="J315" s="31"/>
      <c r="K315" s="31">
        <v>0</v>
      </c>
      <c r="L315" s="31"/>
      <c r="M315" s="22" t="s">
        <v>2859</v>
      </c>
      <c r="N315" t="s">
        <v>2245</v>
      </c>
      <c r="P315" t="s">
        <v>322</v>
      </c>
      <c r="Q315" t="s">
        <v>2859</v>
      </c>
      <c r="R315" t="s">
        <v>1052</v>
      </c>
      <c r="AA315" s="40" t="s">
        <v>2113</v>
      </c>
      <c r="AB315" s="10">
        <f>일위대가_호표!H315*0.1</f>
        <v>35.5</v>
      </c>
      <c r="AC315" s="40" t="s">
        <v>2372</v>
      </c>
      <c r="AD315" s="9">
        <f>$AB315</f>
        <v>35.5</v>
      </c>
      <c r="BI315" s="34" t="str">
        <f>HYPERLINK("#자재조서!A24","M1149003 →")</f>
        <v>M1149003 →</v>
      </c>
    </row>
    <row r="316" spans="1:61" ht="18.399999999999999" customHeight="1" x14ac:dyDescent="0.15">
      <c r="A316" s="13" t="s">
        <v>2792</v>
      </c>
      <c r="B316" s="2" t="s">
        <v>1301</v>
      </c>
      <c r="C316" s="2">
        <v>1</v>
      </c>
      <c r="D316" s="2" t="s">
        <v>2293</v>
      </c>
      <c r="E316" s="31">
        <f>G316+I316+K316</f>
        <v>0</v>
      </c>
      <c r="F316" s="31">
        <f>H316+J316+L316</f>
        <v>35</v>
      </c>
      <c r="G316" s="1"/>
      <c r="H316" s="31">
        <f>TRUNC((H315*0.1),0)</f>
        <v>35</v>
      </c>
      <c r="I316" s="1"/>
      <c r="J316" s="31">
        <v>0</v>
      </c>
      <c r="K316" s="1"/>
      <c r="L316" s="31">
        <v>0</v>
      </c>
      <c r="M316" s="22" t="s">
        <v>2859</v>
      </c>
      <c r="N316" t="s">
        <v>2859</v>
      </c>
      <c r="P316" t="s">
        <v>2491</v>
      </c>
      <c r="Q316" t="s">
        <v>2859</v>
      </c>
      <c r="R316" t="s">
        <v>2417</v>
      </c>
      <c r="X316" t="s">
        <v>2691</v>
      </c>
    </row>
    <row r="317" spans="1:61" ht="18.399999999999999" customHeight="1" x14ac:dyDescent="0.15">
      <c r="A317" s="13" t="s">
        <v>891</v>
      </c>
      <c r="B317" s="2" t="s">
        <v>2859</v>
      </c>
      <c r="C317" s="2">
        <f>일위대가_별표!$AD943</f>
        <v>2.9999999999999997E-4</v>
      </c>
      <c r="D317" s="2" t="s">
        <v>2663</v>
      </c>
      <c r="E317" s="31">
        <f>G317+I317+K317</f>
        <v>167081</v>
      </c>
      <c r="F317" s="31">
        <f>H317+J317+L317</f>
        <v>50</v>
      </c>
      <c r="G317" s="31">
        <v>0</v>
      </c>
      <c r="H317" s="31"/>
      <c r="I317" s="31">
        <f>노임!D13</f>
        <v>167081</v>
      </c>
      <c r="J317" s="31">
        <f>TRUNC(I317*C317,0)</f>
        <v>50</v>
      </c>
      <c r="K317" s="31">
        <v>0</v>
      </c>
      <c r="L317" s="31"/>
      <c r="M317" s="22" t="s">
        <v>2859</v>
      </c>
      <c r="N317" t="s">
        <v>2859</v>
      </c>
      <c r="P317" t="s">
        <v>1745</v>
      </c>
      <c r="Q317" t="s">
        <v>2859</v>
      </c>
      <c r="R317" t="s">
        <v>485</v>
      </c>
      <c r="BI317" s="34" t="str">
        <f>HYPERLINK("#노임!A13","L085 →")</f>
        <v>L085 →</v>
      </c>
    </row>
    <row r="318" spans="1:61" ht="18.399999999999999" customHeight="1" x14ac:dyDescent="0.15">
      <c r="A318" s="13" t="s">
        <v>509</v>
      </c>
      <c r="B318" s="2" t="s">
        <v>1575</v>
      </c>
      <c r="C318" s="2">
        <f>일위대가_별표!$AD949</f>
        <v>1E-3</v>
      </c>
      <c r="D318" s="2" t="s">
        <v>2380</v>
      </c>
      <c r="E318" s="31">
        <f>G318+I318+K318</f>
        <v>37502</v>
      </c>
      <c r="F318" s="31">
        <f>H318+J318+L318</f>
        <v>35</v>
      </c>
      <c r="G318" s="31">
        <f>중기사용료목록!E34</f>
        <v>1956</v>
      </c>
      <c r="H318" s="31">
        <f>TRUNC(G318*C318,0)</f>
        <v>1</v>
      </c>
      <c r="I318" s="31">
        <f>중기사용료목록!F34</f>
        <v>34803</v>
      </c>
      <c r="J318" s="31">
        <f>TRUNC(I318*C318,0)</f>
        <v>34</v>
      </c>
      <c r="K318" s="31">
        <f>중기사용료목록!G34</f>
        <v>743</v>
      </c>
      <c r="L318" s="31">
        <f>TRUNC(K318*C318,0)</f>
        <v>0</v>
      </c>
      <c r="M318" s="22" t="s">
        <v>2859</v>
      </c>
      <c r="N318" t="s">
        <v>2859</v>
      </c>
      <c r="P318" t="s">
        <v>1030</v>
      </c>
      <c r="Q318" t="s">
        <v>2859</v>
      </c>
      <c r="R318" t="s">
        <v>2092</v>
      </c>
      <c r="BI318" s="34" t="str">
        <f>HYPERLINK("#중기사용료목록!A34","E0034300400 →")</f>
        <v>E0034300400 →</v>
      </c>
    </row>
    <row r="319" spans="1:61" ht="18.399999999999999" customHeight="1" x14ac:dyDescent="0.15">
      <c r="A319" s="57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58"/>
    </row>
    <row r="320" spans="1:61" ht="18.399999999999999" customHeight="1" x14ac:dyDescent="0.15">
      <c r="A320" s="13" t="s">
        <v>2567</v>
      </c>
      <c r="B320" s="2" t="s">
        <v>2500</v>
      </c>
      <c r="C320" s="2">
        <v>1</v>
      </c>
      <c r="D320" s="2" t="s">
        <v>2212</v>
      </c>
      <c r="F320" s="31">
        <f>H320+J320+L320</f>
        <v>1698</v>
      </c>
      <c r="H320" s="31">
        <f>TRUNC(H321+H322+H323+H324,0)</f>
        <v>1614</v>
      </c>
      <c r="J320" s="31">
        <f>TRUNC(J321+J322+J323+J324,0)</f>
        <v>84</v>
      </c>
      <c r="L320" s="31">
        <f>TRUNC(L321+L322+L323+L324,0)</f>
        <v>0</v>
      </c>
      <c r="M320" s="22" t="s">
        <v>2859</v>
      </c>
      <c r="N320" t="s">
        <v>2859</v>
      </c>
      <c r="O320" t="s">
        <v>1425</v>
      </c>
    </row>
    <row r="321" spans="1:61" ht="18.399999999999999" customHeight="1" x14ac:dyDescent="0.15">
      <c r="A321" s="13" t="s">
        <v>2368</v>
      </c>
      <c r="B321" s="2" t="s">
        <v>1592</v>
      </c>
      <c r="C321" s="2">
        <f>일위대가_별표!$AD962</f>
        <v>0.77249999999999996</v>
      </c>
      <c r="D321" s="2" t="s">
        <v>2218</v>
      </c>
      <c r="E321" s="31">
        <f>G321+I321+K321</f>
        <v>1900</v>
      </c>
      <c r="F321" s="31">
        <f>H321+J321+L321</f>
        <v>1467</v>
      </c>
      <c r="G321" s="31">
        <f>자재조서!E25</f>
        <v>1900</v>
      </c>
      <c r="H321" s="31">
        <f>TRUNC(G321*C321,0)</f>
        <v>1467</v>
      </c>
      <c r="I321" s="31">
        <v>0</v>
      </c>
      <c r="J321" s="31"/>
      <c r="K321" s="31">
        <v>0</v>
      </c>
      <c r="L321" s="31"/>
      <c r="M321" s="22" t="s">
        <v>2859</v>
      </c>
      <c r="N321" t="s">
        <v>1571</v>
      </c>
      <c r="P321" t="s">
        <v>322</v>
      </c>
      <c r="Q321" t="s">
        <v>2859</v>
      </c>
      <c r="R321" t="s">
        <v>2357</v>
      </c>
      <c r="AA321" s="40" t="s">
        <v>2113</v>
      </c>
      <c r="AB321" s="10">
        <f>일위대가_호표!H321*0.1</f>
        <v>146.70000000000002</v>
      </c>
      <c r="AC321" s="40" t="s">
        <v>2372</v>
      </c>
      <c r="AD321" s="9">
        <f>$AB321</f>
        <v>146.70000000000002</v>
      </c>
      <c r="BI321" s="34" t="str">
        <f>HYPERLINK("#자재조서!A25","M1149006 →")</f>
        <v>M1149006 →</v>
      </c>
    </row>
    <row r="322" spans="1:61" ht="18.399999999999999" customHeight="1" x14ac:dyDescent="0.15">
      <c r="A322" s="13" t="s">
        <v>2855</v>
      </c>
      <c r="B322" s="2" t="s">
        <v>1301</v>
      </c>
      <c r="C322" s="2">
        <v>1</v>
      </c>
      <c r="D322" s="2" t="s">
        <v>2293</v>
      </c>
      <c r="E322" s="31">
        <f>G322+I322+K322</f>
        <v>0</v>
      </c>
      <c r="F322" s="31">
        <f>H322+J322+L322</f>
        <v>146</v>
      </c>
      <c r="G322" s="1"/>
      <c r="H322" s="31">
        <f>TRUNC((H321*0.1),0)</f>
        <v>146</v>
      </c>
      <c r="I322" s="1"/>
      <c r="J322" s="31">
        <v>0</v>
      </c>
      <c r="K322" s="1"/>
      <c r="L322" s="31">
        <v>0</v>
      </c>
      <c r="M322" s="22" t="s">
        <v>2859</v>
      </c>
      <c r="N322" t="s">
        <v>2859</v>
      </c>
      <c r="P322" t="s">
        <v>2491</v>
      </c>
      <c r="Q322" t="s">
        <v>2859</v>
      </c>
      <c r="R322" t="s">
        <v>2417</v>
      </c>
      <c r="X322" t="s">
        <v>2691</v>
      </c>
    </row>
    <row r="323" spans="1:61" ht="18.399999999999999" customHeight="1" x14ac:dyDescent="0.15">
      <c r="A323" s="13" t="s">
        <v>891</v>
      </c>
      <c r="B323" s="2" t="s">
        <v>2859</v>
      </c>
      <c r="C323" s="2">
        <f>일위대가_별표!$AD973</f>
        <v>2.9999999999999997E-4</v>
      </c>
      <c r="D323" s="2" t="s">
        <v>2663</v>
      </c>
      <c r="E323" s="31">
        <f>G323+I323+K323</f>
        <v>167081</v>
      </c>
      <c r="F323" s="31">
        <f>H323+J323+L323</f>
        <v>50</v>
      </c>
      <c r="G323" s="31">
        <v>0</v>
      </c>
      <c r="H323" s="31"/>
      <c r="I323" s="31">
        <f>노임!D13</f>
        <v>167081</v>
      </c>
      <c r="J323" s="31">
        <f>TRUNC(I323*C323,0)</f>
        <v>50</v>
      </c>
      <c r="K323" s="31">
        <v>0</v>
      </c>
      <c r="L323" s="31"/>
      <c r="M323" s="22" t="s">
        <v>2859</v>
      </c>
      <c r="N323" t="s">
        <v>2859</v>
      </c>
      <c r="P323" t="s">
        <v>1745</v>
      </c>
      <c r="Q323" t="s">
        <v>2859</v>
      </c>
      <c r="R323" t="s">
        <v>485</v>
      </c>
      <c r="BI323" s="34" t="str">
        <f>HYPERLINK("#노임!A13","L085 →")</f>
        <v>L085 →</v>
      </c>
    </row>
    <row r="324" spans="1:61" ht="18.399999999999999" customHeight="1" x14ac:dyDescent="0.15">
      <c r="A324" s="13" t="s">
        <v>509</v>
      </c>
      <c r="B324" s="2" t="s">
        <v>1575</v>
      </c>
      <c r="C324" s="2">
        <f>일위대가_별표!$AD979</f>
        <v>1E-3</v>
      </c>
      <c r="D324" s="2" t="s">
        <v>2380</v>
      </c>
      <c r="E324" s="31">
        <f>G324+I324+K324</f>
        <v>37502</v>
      </c>
      <c r="F324" s="31">
        <f>H324+J324+L324</f>
        <v>35</v>
      </c>
      <c r="G324" s="31">
        <f>중기사용료목록!E34</f>
        <v>1956</v>
      </c>
      <c r="H324" s="31">
        <f>TRUNC(G324*C324,0)</f>
        <v>1</v>
      </c>
      <c r="I324" s="31">
        <f>중기사용료목록!F34</f>
        <v>34803</v>
      </c>
      <c r="J324" s="31">
        <f>TRUNC(I324*C324,0)</f>
        <v>34</v>
      </c>
      <c r="K324" s="31">
        <f>중기사용료목록!G34</f>
        <v>743</v>
      </c>
      <c r="L324" s="31">
        <f>TRUNC(K324*C324,0)</f>
        <v>0</v>
      </c>
      <c r="M324" s="22" t="s">
        <v>2859</v>
      </c>
      <c r="N324" t="s">
        <v>2859</v>
      </c>
      <c r="P324" t="s">
        <v>267</v>
      </c>
      <c r="Q324" t="s">
        <v>2859</v>
      </c>
      <c r="R324" t="s">
        <v>2092</v>
      </c>
      <c r="BI324" s="34" t="str">
        <f>HYPERLINK("#중기사용료목록!A34","E0034300400 →")</f>
        <v>E0034300400 →</v>
      </c>
    </row>
    <row r="325" spans="1:61" ht="18.399999999999999" customHeight="1" x14ac:dyDescent="0.15">
      <c r="A325" s="57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58"/>
    </row>
    <row r="326" spans="1:61" ht="18.399999999999999" customHeight="1" x14ac:dyDescent="0.15">
      <c r="A326" s="13" t="s">
        <v>2309</v>
      </c>
      <c r="B326" s="2" t="s">
        <v>1338</v>
      </c>
      <c r="C326" s="2">
        <v>1</v>
      </c>
      <c r="D326" s="2" t="s">
        <v>2212</v>
      </c>
      <c r="F326" s="31">
        <f>H326+J326+L326</f>
        <v>3103</v>
      </c>
      <c r="H326" s="31">
        <f>TRUNC(H327+H328,0)</f>
        <v>2101</v>
      </c>
      <c r="J326" s="31">
        <f>TRUNC(J327+J328,0)</f>
        <v>1002</v>
      </c>
      <c r="L326" s="31">
        <f>TRUNC(L327+L328,0)</f>
        <v>0</v>
      </c>
      <c r="M326" s="22" t="s">
        <v>2859</v>
      </c>
      <c r="N326" t="s">
        <v>2859</v>
      </c>
      <c r="O326" t="s">
        <v>889</v>
      </c>
    </row>
    <row r="327" spans="1:61" ht="18.399999999999999" customHeight="1" x14ac:dyDescent="0.15">
      <c r="A327" s="13" t="s">
        <v>576</v>
      </c>
      <c r="B327" s="2" t="s">
        <v>1338</v>
      </c>
      <c r="C327" s="2">
        <v>1</v>
      </c>
      <c r="D327" s="2" t="s">
        <v>2212</v>
      </c>
      <c r="E327" s="31">
        <f>G327+I327+K327</f>
        <v>2101</v>
      </c>
      <c r="F327" s="31">
        <f>H327+J327+L327</f>
        <v>2101</v>
      </c>
      <c r="G327" s="31">
        <f>자재조서!E48</f>
        <v>2101</v>
      </c>
      <c r="H327" s="31">
        <f>TRUNC(G327*C327,0)</f>
        <v>2101</v>
      </c>
      <c r="I327" s="31">
        <v>0</v>
      </c>
      <c r="J327" s="31"/>
      <c r="K327" s="31">
        <v>0</v>
      </c>
      <c r="L327" s="31"/>
      <c r="M327" s="22" t="s">
        <v>2859</v>
      </c>
      <c r="N327" t="s">
        <v>2859</v>
      </c>
      <c r="P327" t="s">
        <v>322</v>
      </c>
      <c r="Q327" t="s">
        <v>2859</v>
      </c>
      <c r="R327" t="s">
        <v>2729</v>
      </c>
      <c r="BI327" s="34" t="str">
        <f>HYPERLINK("#자재조서!A48","M20100010 →")</f>
        <v>M20100010 →</v>
      </c>
    </row>
    <row r="328" spans="1:61" ht="18.399999999999999" customHeight="1" x14ac:dyDescent="0.15">
      <c r="A328" s="13" t="s">
        <v>891</v>
      </c>
      <c r="B328" s="2" t="s">
        <v>2859</v>
      </c>
      <c r="C328" s="2">
        <v>6.0000000000000001E-3</v>
      </c>
      <c r="D328" s="2" t="s">
        <v>2663</v>
      </c>
      <c r="E328" s="31">
        <f>G328+I328+K328</f>
        <v>167081</v>
      </c>
      <c r="F328" s="31">
        <f>H328+J328+L328</f>
        <v>1002</v>
      </c>
      <c r="G328" s="31">
        <v>0</v>
      </c>
      <c r="H328" s="31"/>
      <c r="I328" s="31">
        <f>노임!D13</f>
        <v>167081</v>
      </c>
      <c r="J328" s="31">
        <f>TRUNC(I328*C328,0)</f>
        <v>1002</v>
      </c>
      <c r="K328" s="31">
        <v>0</v>
      </c>
      <c r="L328" s="31"/>
      <c r="M328" s="22" t="s">
        <v>2859</v>
      </c>
      <c r="N328" t="s">
        <v>822</v>
      </c>
      <c r="P328" t="s">
        <v>2491</v>
      </c>
      <c r="Q328" t="s">
        <v>2859</v>
      </c>
      <c r="R328" t="s">
        <v>485</v>
      </c>
      <c r="BI328" s="34" t="str">
        <f>HYPERLINK("#노임!A13","L085 →")</f>
        <v>L085 →</v>
      </c>
    </row>
    <row r="329" spans="1:61" ht="18.399999999999999" customHeight="1" x14ac:dyDescent="0.15">
      <c r="A329" s="57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58"/>
    </row>
    <row r="330" spans="1:61" ht="18.399999999999999" customHeight="1" x14ac:dyDescent="0.15">
      <c r="A330" s="13" t="s">
        <v>1917</v>
      </c>
      <c r="B330" s="2" t="s">
        <v>2390</v>
      </c>
      <c r="C330" s="2">
        <v>1</v>
      </c>
      <c r="D330" s="2" t="s">
        <v>1212</v>
      </c>
      <c r="F330" s="31">
        <f t="shared" ref="F330:F338" si="47">H330+J330+L330</f>
        <v>16383</v>
      </c>
      <c r="H330" s="31">
        <f>TRUNC(H331+H332+H333+H334+H335+H336+H338,0)</f>
        <v>4980</v>
      </c>
      <c r="J330" s="31">
        <f>TRUNC(J331+J332+J333+J334+J335+J336+J338,0)</f>
        <v>10370</v>
      </c>
      <c r="L330" s="31">
        <f>TRUNC(L331+L332+L333+L334+L335+L336+L338,0)</f>
        <v>1033</v>
      </c>
      <c r="M330" s="22" t="s">
        <v>2859</v>
      </c>
      <c r="N330" t="s">
        <v>2859</v>
      </c>
      <c r="O330" t="s">
        <v>121</v>
      </c>
    </row>
    <row r="331" spans="1:61" ht="18.399999999999999" customHeight="1" x14ac:dyDescent="0.15">
      <c r="A331" s="13" t="s">
        <v>1179</v>
      </c>
      <c r="B331" s="2" t="s">
        <v>553</v>
      </c>
      <c r="C331" s="2">
        <v>0.22</v>
      </c>
      <c r="D331" s="2" t="s">
        <v>2822</v>
      </c>
      <c r="E331" s="31">
        <f t="shared" ref="E331:E338" si="48">G331+I331+K331</f>
        <v>5002</v>
      </c>
      <c r="F331" s="31">
        <f t="shared" si="47"/>
        <v>1099</v>
      </c>
      <c r="G331" s="31">
        <f>일위대가목록!F34</f>
        <v>299</v>
      </c>
      <c r="H331" s="31">
        <f t="shared" ref="H331:H338" si="49">TRUNC(G331*C331,0)</f>
        <v>65</v>
      </c>
      <c r="I331" s="31">
        <f>일위대가목록!G34</f>
        <v>4324</v>
      </c>
      <c r="J331" s="31">
        <f>TRUNC(I331*C331,0)</f>
        <v>951</v>
      </c>
      <c r="K331" s="31">
        <f>일위대가목록!H34</f>
        <v>379</v>
      </c>
      <c r="L331" s="31">
        <f>TRUNC(K331*C331,0)</f>
        <v>83</v>
      </c>
      <c r="M331" s="22" t="s">
        <v>2859</v>
      </c>
      <c r="N331" t="s">
        <v>2859</v>
      </c>
      <c r="P331" t="s">
        <v>322</v>
      </c>
      <c r="Q331" t="s">
        <v>2859</v>
      </c>
      <c r="R331" t="s">
        <v>2262</v>
      </c>
      <c r="T331" t="s">
        <v>1314</v>
      </c>
      <c r="BI331" s="34" t="str">
        <f>HYPERLINK("#일위대가목록!A34","N1070-2 →")</f>
        <v>N1070-2 →</v>
      </c>
    </row>
    <row r="332" spans="1:61" ht="18.399999999999999" customHeight="1" x14ac:dyDescent="0.15">
      <c r="A332" s="13" t="s">
        <v>1126</v>
      </c>
      <c r="B332" s="2" t="s">
        <v>2436</v>
      </c>
      <c r="C332" s="2">
        <v>0.22</v>
      </c>
      <c r="D332" s="2" t="s">
        <v>2822</v>
      </c>
      <c r="E332" s="31">
        <f t="shared" si="48"/>
        <v>1585</v>
      </c>
      <c r="F332" s="31">
        <f t="shared" si="47"/>
        <v>347</v>
      </c>
      <c r="G332" s="31">
        <f>일위대가목록!F35</f>
        <v>285</v>
      </c>
      <c r="H332" s="31">
        <f t="shared" si="49"/>
        <v>62</v>
      </c>
      <c r="I332" s="31">
        <f>일위대가목록!G35</f>
        <v>938</v>
      </c>
      <c r="J332" s="31">
        <f>TRUNC(I332*C332,0)</f>
        <v>206</v>
      </c>
      <c r="K332" s="31">
        <f>일위대가목록!H35</f>
        <v>362</v>
      </c>
      <c r="L332" s="31">
        <f>TRUNC(K332*C332,0)</f>
        <v>79</v>
      </c>
      <c r="M332" s="22" t="s">
        <v>2859</v>
      </c>
      <c r="N332" t="s">
        <v>2859</v>
      </c>
      <c r="P332" t="s">
        <v>2491</v>
      </c>
      <c r="Q332" t="s">
        <v>2859</v>
      </c>
      <c r="R332" t="s">
        <v>2277</v>
      </c>
      <c r="T332" t="s">
        <v>1314</v>
      </c>
      <c r="BI332" s="34" t="str">
        <f>HYPERLINK("#일위대가목록!A35","N0860-2 →")</f>
        <v>N0860-2 →</v>
      </c>
    </row>
    <row r="333" spans="1:61" ht="18.399999999999999" customHeight="1" x14ac:dyDescent="0.15">
      <c r="A333" s="13" t="s">
        <v>469</v>
      </c>
      <c r="B333" s="2" t="s">
        <v>1190</v>
      </c>
      <c r="C333" s="2">
        <v>1</v>
      </c>
      <c r="D333" s="2" t="s">
        <v>1212</v>
      </c>
      <c r="E333" s="31">
        <f t="shared" si="48"/>
        <v>414</v>
      </c>
      <c r="F333" s="31">
        <f t="shared" si="47"/>
        <v>414</v>
      </c>
      <c r="G333" s="31">
        <f>일위대가목록!F36</f>
        <v>20</v>
      </c>
      <c r="H333" s="31">
        <f t="shared" si="49"/>
        <v>20</v>
      </c>
      <c r="I333" s="31">
        <f>일위대가목록!G36</f>
        <v>386</v>
      </c>
      <c r="J333" s="31">
        <f>TRUNC(I333*C333,0)</f>
        <v>386</v>
      </c>
      <c r="K333" s="31">
        <f>일위대가목록!H36</f>
        <v>8</v>
      </c>
      <c r="L333" s="31">
        <f>TRUNC(K333*C333,0)</f>
        <v>8</v>
      </c>
      <c r="M333" s="22" t="s">
        <v>2859</v>
      </c>
      <c r="N333" t="s">
        <v>2859</v>
      </c>
      <c r="P333" t="s">
        <v>1745</v>
      </c>
      <c r="Q333" t="s">
        <v>2859</v>
      </c>
      <c r="R333" t="s">
        <v>180</v>
      </c>
      <c r="T333" t="s">
        <v>1314</v>
      </c>
      <c r="BI333" s="34" t="str">
        <f>HYPERLINK("#일위대가목록!A36","N0800-2 →")</f>
        <v>N0800-2 →</v>
      </c>
    </row>
    <row r="334" spans="1:61" ht="18.399999999999999" customHeight="1" x14ac:dyDescent="0.15">
      <c r="A334" s="13" t="s">
        <v>292</v>
      </c>
      <c r="B334" s="2" t="s">
        <v>550</v>
      </c>
      <c r="C334" s="2">
        <v>0.104</v>
      </c>
      <c r="D334" s="2" t="s">
        <v>1085</v>
      </c>
      <c r="E334" s="31">
        <f t="shared" si="48"/>
        <v>25000</v>
      </c>
      <c r="F334" s="31">
        <f t="shared" si="47"/>
        <v>2600</v>
      </c>
      <c r="G334" s="31">
        <f>자재조서!E14</f>
        <v>25000</v>
      </c>
      <c r="H334" s="31">
        <f t="shared" si="49"/>
        <v>2600</v>
      </c>
      <c r="I334" s="31">
        <v>0</v>
      </c>
      <c r="J334" s="31"/>
      <c r="K334" s="31">
        <v>0</v>
      </c>
      <c r="L334" s="31"/>
      <c r="M334" s="22" t="s">
        <v>2859</v>
      </c>
      <c r="N334" t="s">
        <v>2859</v>
      </c>
      <c r="P334" t="s">
        <v>1695</v>
      </c>
      <c r="Q334" t="s">
        <v>2859</v>
      </c>
      <c r="R334" t="s">
        <v>1645</v>
      </c>
      <c r="BI334" s="34" t="str">
        <f>HYPERLINK("#자재조서!A14","M0723004 →")</f>
        <v>M0723004 →</v>
      </c>
    </row>
    <row r="335" spans="1:61" ht="18.399999999999999" customHeight="1" x14ac:dyDescent="0.15">
      <c r="A335" s="13" t="s">
        <v>456</v>
      </c>
      <c r="B335" s="2" t="s">
        <v>1990</v>
      </c>
      <c r="C335" s="2">
        <v>0.1</v>
      </c>
      <c r="D335" s="2" t="s">
        <v>2822</v>
      </c>
      <c r="E335" s="31">
        <f t="shared" si="48"/>
        <v>14311</v>
      </c>
      <c r="F335" s="31">
        <f t="shared" si="47"/>
        <v>1430</v>
      </c>
      <c r="G335" s="31">
        <f>일위대가목록!F73</f>
        <v>1554</v>
      </c>
      <c r="H335" s="31">
        <f t="shared" si="49"/>
        <v>155</v>
      </c>
      <c r="I335" s="31">
        <f>일위대가목록!G73</f>
        <v>11235</v>
      </c>
      <c r="J335" s="31">
        <f>TRUNC(I335*C335,0)</f>
        <v>1123</v>
      </c>
      <c r="K335" s="31">
        <f>일위대가목록!H73</f>
        <v>1522</v>
      </c>
      <c r="L335" s="31">
        <f>TRUNC(K335*C335,0)</f>
        <v>152</v>
      </c>
      <c r="M335" s="22" t="s">
        <v>2859</v>
      </c>
      <c r="N335" t="s">
        <v>2859</v>
      </c>
      <c r="P335" t="s">
        <v>979</v>
      </c>
      <c r="Q335" t="s">
        <v>2859</v>
      </c>
      <c r="R335" t="s">
        <v>783</v>
      </c>
      <c r="T335" t="s">
        <v>1773</v>
      </c>
      <c r="BI335" s="34" t="str">
        <f>HYPERLINK("#일위대가목록!A73","N0303 →")</f>
        <v>N0303 →</v>
      </c>
    </row>
    <row r="336" spans="1:61" ht="18.399999999999999" customHeight="1" x14ac:dyDescent="0.15">
      <c r="A336" s="13" t="s">
        <v>1330</v>
      </c>
      <c r="B336" s="2" t="s">
        <v>417</v>
      </c>
      <c r="C336" s="2">
        <v>4.24E-2</v>
      </c>
      <c r="D336" s="2" t="s">
        <v>1085</v>
      </c>
      <c r="E336" s="31">
        <f t="shared" si="48"/>
        <v>37000</v>
      </c>
      <c r="F336" s="31">
        <f t="shared" si="47"/>
        <v>1568</v>
      </c>
      <c r="G336" s="31">
        <f>자재조서!E13</f>
        <v>37000</v>
      </c>
      <c r="H336" s="31">
        <f t="shared" si="49"/>
        <v>1568</v>
      </c>
      <c r="I336" s="31">
        <v>0</v>
      </c>
      <c r="J336" s="31"/>
      <c r="K336" s="31">
        <v>0</v>
      </c>
      <c r="L336" s="31"/>
      <c r="M336" s="22" t="s">
        <v>2859</v>
      </c>
      <c r="N336" t="s">
        <v>2859</v>
      </c>
      <c r="P336" t="s">
        <v>223</v>
      </c>
      <c r="Q336" t="s">
        <v>2859</v>
      </c>
      <c r="R336" t="s">
        <v>1940</v>
      </c>
      <c r="BI336" s="34" t="str">
        <f>HYPERLINK("#자재조서!A13","M0717007 →")</f>
        <v>M0717007 →</v>
      </c>
    </row>
    <row r="337" spans="1:61" ht="18.399999999999999" customHeight="1" x14ac:dyDescent="0.15">
      <c r="A337" s="13" t="s">
        <v>573</v>
      </c>
      <c r="B337" s="2" t="s">
        <v>2390</v>
      </c>
      <c r="C337" s="2">
        <v>1.04</v>
      </c>
      <c r="D337" s="2" t="s">
        <v>1212</v>
      </c>
      <c r="E337" s="31">
        <f t="shared" si="48"/>
        <v>36000</v>
      </c>
      <c r="F337" s="31">
        <f t="shared" si="47"/>
        <v>37440</v>
      </c>
      <c r="G337" s="31">
        <f>자재조서!E66</f>
        <v>36000</v>
      </c>
      <c r="H337" s="31">
        <f t="shared" si="49"/>
        <v>37440</v>
      </c>
      <c r="I337" s="31">
        <v>0</v>
      </c>
      <c r="J337" s="31"/>
      <c r="K337" s="31">
        <v>0</v>
      </c>
      <c r="L337" s="31"/>
      <c r="M337" s="22" t="s">
        <v>1614</v>
      </c>
      <c r="N337" t="s">
        <v>2859</v>
      </c>
      <c r="P337" t="s">
        <v>2527</v>
      </c>
      <c r="Q337" t="s">
        <v>1832</v>
      </c>
      <c r="R337" t="s">
        <v>526</v>
      </c>
      <c r="W337" t="s">
        <v>1614</v>
      </c>
      <c r="BI337" s="34" t="str">
        <f>HYPERLINK("#자재조서!A66","MP-T70 →")</f>
        <v>MP-T70 →</v>
      </c>
    </row>
    <row r="338" spans="1:61" ht="18.399999999999999" customHeight="1" x14ac:dyDescent="0.15">
      <c r="A338" s="13" t="s">
        <v>2626</v>
      </c>
      <c r="B338" s="2" t="s">
        <v>951</v>
      </c>
      <c r="C338" s="2">
        <v>1</v>
      </c>
      <c r="D338" s="2" t="s">
        <v>1212</v>
      </c>
      <c r="E338" s="31">
        <f t="shared" si="48"/>
        <v>8925</v>
      </c>
      <c r="F338" s="31">
        <f t="shared" si="47"/>
        <v>8925</v>
      </c>
      <c r="G338" s="31">
        <f>일위대가목록!F74</f>
        <v>510</v>
      </c>
      <c r="H338" s="31">
        <f t="shared" si="49"/>
        <v>510</v>
      </c>
      <c r="I338" s="31">
        <f>일위대가목록!G74</f>
        <v>7704</v>
      </c>
      <c r="J338" s="31">
        <f>TRUNC(I338*C338,0)</f>
        <v>7704</v>
      </c>
      <c r="K338" s="31">
        <f>일위대가목록!H74</f>
        <v>711</v>
      </c>
      <c r="L338" s="31">
        <f>TRUNC(K338*C338,0)</f>
        <v>711</v>
      </c>
      <c r="M338" s="22" t="s">
        <v>2859</v>
      </c>
      <c r="N338" t="s">
        <v>2859</v>
      </c>
      <c r="P338" t="s">
        <v>306</v>
      </c>
      <c r="Q338" t="s">
        <v>2859</v>
      </c>
      <c r="R338" t="s">
        <v>131</v>
      </c>
      <c r="T338" t="s">
        <v>1773</v>
      </c>
      <c r="BI338" s="34" t="str">
        <f>HYPERLINK("#일위대가목록!A74","N6030-24 →")</f>
        <v>N6030-24 →</v>
      </c>
    </row>
    <row r="339" spans="1:61" ht="18.399999999999999" customHeight="1" x14ac:dyDescent="0.15">
      <c r="A339" s="57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58"/>
    </row>
    <row r="340" spans="1:61" ht="18.399999999999999" customHeight="1" x14ac:dyDescent="0.15">
      <c r="A340" s="13" t="s">
        <v>688</v>
      </c>
      <c r="B340" s="2" t="s">
        <v>582</v>
      </c>
      <c r="C340" s="2">
        <v>1</v>
      </c>
      <c r="D340" s="2" t="s">
        <v>773</v>
      </c>
      <c r="F340" s="31">
        <f t="shared" ref="F340:F345" si="50">H340+J340+L340</f>
        <v>57058</v>
      </c>
      <c r="H340" s="31">
        <f>TRUNC(H342+H343+H344+H345,0)</f>
        <v>50000</v>
      </c>
      <c r="J340" s="31">
        <f>TRUNC(J342+J343+J344+J345,0)</f>
        <v>6722</v>
      </c>
      <c r="L340" s="31">
        <f>TRUNC(L342+L343+L344+L345,0)</f>
        <v>336</v>
      </c>
      <c r="M340" s="22" t="s">
        <v>2859</v>
      </c>
      <c r="N340" t="s">
        <v>2859</v>
      </c>
      <c r="O340" t="s">
        <v>531</v>
      </c>
    </row>
    <row r="341" spans="1:61" ht="18.399999999999999" customHeight="1" x14ac:dyDescent="0.15">
      <c r="A341" s="13" t="s">
        <v>34</v>
      </c>
      <c r="B341" s="2" t="s">
        <v>2859</v>
      </c>
      <c r="C341" s="2"/>
      <c r="D341" s="2" t="s">
        <v>2859</v>
      </c>
      <c r="E341" s="31">
        <f>G341+I341+K341</f>
        <v>0</v>
      </c>
      <c r="F341" s="31">
        <f t="shared" si="50"/>
        <v>0</v>
      </c>
      <c r="G341" s="1"/>
      <c r="H341" s="31">
        <v>0</v>
      </c>
      <c r="I341" s="1"/>
      <c r="J341" s="31">
        <v>0</v>
      </c>
      <c r="K341" s="1"/>
      <c r="L341" s="31">
        <v>0</v>
      </c>
      <c r="M341" s="22" t="s">
        <v>2859</v>
      </c>
      <c r="N341" t="s">
        <v>2859</v>
      </c>
      <c r="P341" t="s">
        <v>919</v>
      </c>
      <c r="Q341" t="s">
        <v>2859</v>
      </c>
      <c r="R341" t="s">
        <v>2859</v>
      </c>
    </row>
    <row r="342" spans="1:61" ht="18.399999999999999" customHeight="1" x14ac:dyDescent="0.15">
      <c r="A342" s="13" t="s">
        <v>503</v>
      </c>
      <c r="B342" s="2" t="s">
        <v>582</v>
      </c>
      <c r="C342" s="2">
        <v>1</v>
      </c>
      <c r="D342" s="2" t="s">
        <v>773</v>
      </c>
      <c r="E342" s="31">
        <f>G342+I342+K342</f>
        <v>50000</v>
      </c>
      <c r="F342" s="31">
        <f t="shared" si="50"/>
        <v>50000</v>
      </c>
      <c r="G342" s="31">
        <f>자재조서!E68</f>
        <v>50000</v>
      </c>
      <c r="H342" s="31">
        <f>TRUNC(G342*C342,0)</f>
        <v>50000</v>
      </c>
      <c r="I342" s="31">
        <v>0</v>
      </c>
      <c r="J342" s="31"/>
      <c r="K342" s="31">
        <v>0</v>
      </c>
      <c r="L342" s="31"/>
      <c r="M342" s="22" t="s">
        <v>2859</v>
      </c>
      <c r="N342" t="s">
        <v>2859</v>
      </c>
      <c r="P342" t="s">
        <v>322</v>
      </c>
      <c r="Q342" t="s">
        <v>2859</v>
      </c>
      <c r="R342" t="s">
        <v>2034</v>
      </c>
      <c r="BI342" s="34" t="str">
        <f>HYPERLINK("#자재조서!A68","MZ2100002 →")</f>
        <v>MZ2100002 →</v>
      </c>
    </row>
    <row r="343" spans="1:61" ht="18.399999999999999" customHeight="1" x14ac:dyDescent="0.15">
      <c r="A343" s="13" t="s">
        <v>932</v>
      </c>
      <c r="B343" s="2" t="s">
        <v>774</v>
      </c>
      <c r="C343" s="2">
        <v>2.2200000000000001E-2</v>
      </c>
      <c r="D343" s="2" t="s">
        <v>2663</v>
      </c>
      <c r="E343" s="31">
        <f>G343+I343+K343</f>
        <v>219321</v>
      </c>
      <c r="F343" s="31">
        <f t="shared" si="50"/>
        <v>4868</v>
      </c>
      <c r="G343" s="31">
        <v>0</v>
      </c>
      <c r="H343" s="31"/>
      <c r="I343" s="31">
        <f>노임!D12</f>
        <v>219321</v>
      </c>
      <c r="J343" s="31">
        <f>TRUNC(I343*C343,0)</f>
        <v>4868</v>
      </c>
      <c r="K343" s="31">
        <v>0</v>
      </c>
      <c r="L343" s="31"/>
      <c r="M343" s="22" t="s">
        <v>2859</v>
      </c>
      <c r="N343" t="s">
        <v>2859</v>
      </c>
      <c r="P343" t="s">
        <v>2491</v>
      </c>
      <c r="Q343" t="s">
        <v>2859</v>
      </c>
      <c r="R343" t="s">
        <v>2035</v>
      </c>
      <c r="BI343" s="34" t="str">
        <f>HYPERLINK("#노임!A12","L084 →")</f>
        <v>L084 →</v>
      </c>
    </row>
    <row r="344" spans="1:61" ht="18.399999999999999" customHeight="1" x14ac:dyDescent="0.15">
      <c r="A344" s="13" t="s">
        <v>891</v>
      </c>
      <c r="B344" s="2" t="s">
        <v>774</v>
      </c>
      <c r="C344" s="2">
        <v>1.11E-2</v>
      </c>
      <c r="D344" s="2" t="s">
        <v>2663</v>
      </c>
      <c r="E344" s="31">
        <f>G344+I344+K344</f>
        <v>167081</v>
      </c>
      <c r="F344" s="31">
        <f t="shared" si="50"/>
        <v>1854</v>
      </c>
      <c r="G344" s="31">
        <v>0</v>
      </c>
      <c r="H344" s="31"/>
      <c r="I344" s="31">
        <f>노임!D13</f>
        <v>167081</v>
      </c>
      <c r="J344" s="31">
        <f>TRUNC(I344*C344,0)</f>
        <v>1854</v>
      </c>
      <c r="K344" s="31">
        <v>0</v>
      </c>
      <c r="L344" s="31"/>
      <c r="M344" s="22" t="s">
        <v>2859</v>
      </c>
      <c r="N344" t="s">
        <v>2859</v>
      </c>
      <c r="P344" t="s">
        <v>1745</v>
      </c>
      <c r="Q344" t="s">
        <v>2859</v>
      </c>
      <c r="R344" t="s">
        <v>485</v>
      </c>
      <c r="AA344" s="40" t="s">
        <v>907</v>
      </c>
      <c r="AB344" s="10">
        <f>((일위대가_호표!J343*전역변수!C34)+(일위대가_호표!J344*전역변수!C34))*0.05</f>
        <v>336.1</v>
      </c>
      <c r="AC344" s="40" t="s">
        <v>1545</v>
      </c>
      <c r="AD344" s="9">
        <f>$AB344</f>
        <v>336.1</v>
      </c>
      <c r="BI344" s="34" t="str">
        <f>HYPERLINK("#노임!A13","L085 →")</f>
        <v>L085 →</v>
      </c>
    </row>
    <row r="345" spans="1:61" ht="18.399999999999999" customHeight="1" x14ac:dyDescent="0.15">
      <c r="A345" s="13" t="s">
        <v>1345</v>
      </c>
      <c r="B345" s="2" t="s">
        <v>1323</v>
      </c>
      <c r="C345" s="2">
        <v>1</v>
      </c>
      <c r="D345" s="2" t="s">
        <v>2293</v>
      </c>
      <c r="E345" s="31">
        <f>G345+I345+K345</f>
        <v>0</v>
      </c>
      <c r="F345" s="31">
        <f t="shared" si="50"/>
        <v>336</v>
      </c>
      <c r="G345" s="1"/>
      <c r="H345" s="31">
        <v>0</v>
      </c>
      <c r="I345" s="1"/>
      <c r="J345" s="31">
        <v>0</v>
      </c>
      <c r="K345" s="1"/>
      <c r="L345" s="31">
        <f>TRUNC((((J343*전역변수!C34)+(J344*전역변수!C34))*0.05),0)</f>
        <v>336</v>
      </c>
      <c r="M345" s="22" t="s">
        <v>2859</v>
      </c>
      <c r="N345" t="s">
        <v>2859</v>
      </c>
      <c r="P345" t="s">
        <v>1030</v>
      </c>
      <c r="Q345" t="s">
        <v>2859</v>
      </c>
      <c r="R345" t="s">
        <v>2417</v>
      </c>
      <c r="X345" t="s">
        <v>1343</v>
      </c>
    </row>
    <row r="346" spans="1:61" ht="18.399999999999999" customHeight="1" x14ac:dyDescent="0.15">
      <c r="A346" s="57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58"/>
    </row>
    <row r="347" spans="1:61" ht="18.399999999999999" customHeight="1" x14ac:dyDescent="0.15">
      <c r="A347" s="13" t="s">
        <v>1018</v>
      </c>
      <c r="B347" s="2" t="s">
        <v>1961</v>
      </c>
      <c r="C347" s="2">
        <v>1</v>
      </c>
      <c r="D347" s="2" t="s">
        <v>1091</v>
      </c>
      <c r="F347" s="31">
        <f>H347+J347+L347</f>
        <v>45313</v>
      </c>
      <c r="H347" s="31">
        <f>TRUNC(H348+H349+H350+H351,0)</f>
        <v>30935</v>
      </c>
      <c r="J347" s="31">
        <f>TRUNC(J348+J349+J350+J351,0)</f>
        <v>13490</v>
      </c>
      <c r="L347" s="31">
        <f>TRUNC(L348+L349+L350+L351,0)</f>
        <v>888</v>
      </c>
      <c r="M347" s="22" t="s">
        <v>2859</v>
      </c>
      <c r="N347" t="s">
        <v>2859</v>
      </c>
      <c r="O347" t="s">
        <v>2823</v>
      </c>
    </row>
    <row r="348" spans="1:61" ht="18.399999999999999" customHeight="1" x14ac:dyDescent="0.15">
      <c r="A348" s="13" t="s">
        <v>657</v>
      </c>
      <c r="B348" s="2" t="s">
        <v>589</v>
      </c>
      <c r="C348" s="2">
        <f>일위대가_별표!$AD990</f>
        <v>1.03</v>
      </c>
      <c r="D348" s="2" t="s">
        <v>773</v>
      </c>
      <c r="E348" s="31">
        <f>G348+I348+K348</f>
        <v>29300</v>
      </c>
      <c r="F348" s="31">
        <f>H348+J348+L348</f>
        <v>30179</v>
      </c>
      <c r="G348" s="31">
        <f>자재조서!E28</f>
        <v>29300</v>
      </c>
      <c r="H348" s="31">
        <f>TRUNC(G348*C348,0)</f>
        <v>30179</v>
      </c>
      <c r="I348" s="31">
        <v>0</v>
      </c>
      <c r="J348" s="31"/>
      <c r="K348" s="31">
        <v>0</v>
      </c>
      <c r="L348" s="31"/>
      <c r="M348" s="22" t="s">
        <v>2859</v>
      </c>
      <c r="N348" t="s">
        <v>2835</v>
      </c>
      <c r="P348" t="s">
        <v>322</v>
      </c>
      <c r="Q348" t="s">
        <v>2859</v>
      </c>
      <c r="R348" t="s">
        <v>777</v>
      </c>
      <c r="BI348" s="34" t="str">
        <f>HYPERLINK("#자재조서!A28","M1209015 →")</f>
        <v>M1209015 →</v>
      </c>
    </row>
    <row r="349" spans="1:61" ht="18.399999999999999" customHeight="1" x14ac:dyDescent="0.15">
      <c r="A349" s="13" t="s">
        <v>891</v>
      </c>
      <c r="B349" s="2" t="s">
        <v>2859</v>
      </c>
      <c r="C349" s="2">
        <f>일위대가_별표!$AD998</f>
        <v>1.11E-2</v>
      </c>
      <c r="D349" s="2" t="s">
        <v>2663</v>
      </c>
      <c r="E349" s="31">
        <f>G349+I349+K349</f>
        <v>167081</v>
      </c>
      <c r="F349" s="31">
        <f>H349+J349+L349</f>
        <v>1854</v>
      </c>
      <c r="G349" s="31">
        <v>0</v>
      </c>
      <c r="H349" s="31"/>
      <c r="I349" s="31">
        <f>노임!D13</f>
        <v>167081</v>
      </c>
      <c r="J349" s="31">
        <f>TRUNC(I349*C349,0)</f>
        <v>1854</v>
      </c>
      <c r="K349" s="31">
        <v>0</v>
      </c>
      <c r="L349" s="31"/>
      <c r="M349" s="22" t="s">
        <v>2859</v>
      </c>
      <c r="N349" t="s">
        <v>2859</v>
      </c>
      <c r="P349" t="s">
        <v>2491</v>
      </c>
      <c r="Q349" t="s">
        <v>2859</v>
      </c>
      <c r="R349" t="s">
        <v>485</v>
      </c>
      <c r="BI349" s="34" t="str">
        <f>HYPERLINK("#노임!A13","L085 →")</f>
        <v>L085 →</v>
      </c>
    </row>
    <row r="350" spans="1:61" ht="18.399999999999999" customHeight="1" x14ac:dyDescent="0.15">
      <c r="A350" s="13" t="s">
        <v>932</v>
      </c>
      <c r="B350" s="2" t="s">
        <v>2859</v>
      </c>
      <c r="C350" s="2">
        <f>일위대가_별표!$AD1003</f>
        <v>3.3300000000000003E-2</v>
      </c>
      <c r="D350" s="2" t="s">
        <v>2663</v>
      </c>
      <c r="E350" s="31">
        <f>G350+I350+K350</f>
        <v>219321</v>
      </c>
      <c r="F350" s="31">
        <f>H350+J350+L350</f>
        <v>7303</v>
      </c>
      <c r="G350" s="31">
        <v>0</v>
      </c>
      <c r="H350" s="31"/>
      <c r="I350" s="31">
        <f>노임!D12</f>
        <v>219321</v>
      </c>
      <c r="J350" s="31">
        <f>TRUNC(I350*C350,0)</f>
        <v>7303</v>
      </c>
      <c r="K350" s="31">
        <v>0</v>
      </c>
      <c r="L350" s="31"/>
      <c r="M350" s="22" t="s">
        <v>2859</v>
      </c>
      <c r="N350" t="s">
        <v>2859</v>
      </c>
      <c r="P350" t="s">
        <v>1745</v>
      </c>
      <c r="Q350" t="s">
        <v>2859</v>
      </c>
      <c r="R350" t="s">
        <v>2035</v>
      </c>
      <c r="BI350" s="34" t="str">
        <f>HYPERLINK("#노임!A12","L084 →")</f>
        <v>L084 →</v>
      </c>
    </row>
    <row r="351" spans="1:61" ht="18.399999999999999" customHeight="1" x14ac:dyDescent="0.15">
      <c r="A351" s="13" t="s">
        <v>1521</v>
      </c>
      <c r="B351" s="2" t="s">
        <v>288</v>
      </c>
      <c r="C351" s="2">
        <f>일위대가_별표!$AD1009</f>
        <v>8.8900000000000007E-2</v>
      </c>
      <c r="D351" s="2" t="s">
        <v>2380</v>
      </c>
      <c r="E351" s="31">
        <f>G351+I351+K351</f>
        <v>67241</v>
      </c>
      <c r="F351" s="31">
        <f>H351+J351+L351</f>
        <v>5977</v>
      </c>
      <c r="G351" s="31">
        <f>중기사용료목록!E28</f>
        <v>8506</v>
      </c>
      <c r="H351" s="31">
        <f>TRUNC(G351*C351,0)</f>
        <v>756</v>
      </c>
      <c r="I351" s="31">
        <f>중기사용료목록!F28</f>
        <v>48741</v>
      </c>
      <c r="J351" s="31">
        <f>TRUNC(I351*C351,0)</f>
        <v>4333</v>
      </c>
      <c r="K351" s="31">
        <f>중기사용료목록!G28</f>
        <v>9994</v>
      </c>
      <c r="L351" s="31">
        <f>TRUNC(K351*C351,0)</f>
        <v>888</v>
      </c>
      <c r="M351" s="22" t="s">
        <v>2859</v>
      </c>
      <c r="N351" t="s">
        <v>2859</v>
      </c>
      <c r="P351" t="s">
        <v>1030</v>
      </c>
      <c r="Q351" t="s">
        <v>2859</v>
      </c>
      <c r="R351" t="s">
        <v>84</v>
      </c>
      <c r="BI351" s="34" t="str">
        <f>HYPERLINK("#중기사용료목록!A28","E0021050005 →")</f>
        <v>E0021050005 →</v>
      </c>
    </row>
    <row r="352" spans="1:61" ht="18.399999999999999" customHeight="1" x14ac:dyDescent="0.15">
      <c r="A352" s="57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58"/>
    </row>
    <row r="353" spans="1:61" ht="18.399999999999999" customHeight="1" x14ac:dyDescent="0.15">
      <c r="A353" s="13" t="s">
        <v>1975</v>
      </c>
      <c r="B353" s="2" t="s">
        <v>1961</v>
      </c>
      <c r="C353" s="2">
        <v>1</v>
      </c>
      <c r="D353" s="2" t="s">
        <v>1091</v>
      </c>
      <c r="F353" s="31">
        <f>H353+J353+L353</f>
        <v>69812</v>
      </c>
      <c r="H353" s="31">
        <f>TRUNC(H354+H355+H356+H357,0)</f>
        <v>53627</v>
      </c>
      <c r="J353" s="31">
        <f>TRUNC(J354+J355+J356+J357,0)</f>
        <v>15186</v>
      </c>
      <c r="L353" s="31">
        <f>TRUNC(L354+L355+L356+L357,0)</f>
        <v>999</v>
      </c>
      <c r="M353" s="22" t="s">
        <v>2859</v>
      </c>
      <c r="N353" t="s">
        <v>2859</v>
      </c>
      <c r="O353" t="s">
        <v>687</v>
      </c>
    </row>
    <row r="354" spans="1:61" ht="18.399999999999999" customHeight="1" x14ac:dyDescent="0.15">
      <c r="A354" s="13" t="s">
        <v>657</v>
      </c>
      <c r="B354" s="2" t="s">
        <v>538</v>
      </c>
      <c r="C354" s="2">
        <f>일위대가_별표!$AD1020</f>
        <v>1.03</v>
      </c>
      <c r="D354" s="2" t="s">
        <v>773</v>
      </c>
      <c r="E354" s="31">
        <f>G354+I354+K354</f>
        <v>51240</v>
      </c>
      <c r="F354" s="31">
        <f>H354+J354+L354</f>
        <v>52777</v>
      </c>
      <c r="G354" s="31">
        <f>자재조서!E29</f>
        <v>51240</v>
      </c>
      <c r="H354" s="31">
        <f>TRUNC(G354*C354,0)</f>
        <v>52777</v>
      </c>
      <c r="I354" s="31">
        <v>0</v>
      </c>
      <c r="J354" s="31"/>
      <c r="K354" s="31">
        <v>0</v>
      </c>
      <c r="L354" s="31"/>
      <c r="M354" s="22" t="s">
        <v>2859</v>
      </c>
      <c r="N354" t="s">
        <v>677</v>
      </c>
      <c r="P354" t="s">
        <v>322</v>
      </c>
      <c r="Q354" t="s">
        <v>2859</v>
      </c>
      <c r="R354" t="s">
        <v>199</v>
      </c>
      <c r="BI354" s="34" t="str">
        <f>HYPERLINK("#자재조서!A29","M1209024 →")</f>
        <v>M1209024 →</v>
      </c>
    </row>
    <row r="355" spans="1:61" ht="18.399999999999999" customHeight="1" x14ac:dyDescent="0.15">
      <c r="A355" s="13" t="s">
        <v>891</v>
      </c>
      <c r="B355" s="2" t="s">
        <v>2859</v>
      </c>
      <c r="C355" s="2">
        <f>일위대가_별표!$AD1028</f>
        <v>1.2500000000000001E-2</v>
      </c>
      <c r="D355" s="2" t="s">
        <v>2663</v>
      </c>
      <c r="E355" s="31">
        <f>G355+I355+K355</f>
        <v>167081</v>
      </c>
      <c r="F355" s="31">
        <f>H355+J355+L355</f>
        <v>2088</v>
      </c>
      <c r="G355" s="31">
        <v>0</v>
      </c>
      <c r="H355" s="31"/>
      <c r="I355" s="31">
        <f>노임!D13</f>
        <v>167081</v>
      </c>
      <c r="J355" s="31">
        <f>TRUNC(I355*C355,0)</f>
        <v>2088</v>
      </c>
      <c r="K355" s="31">
        <v>0</v>
      </c>
      <c r="L355" s="31"/>
      <c r="M355" s="22" t="s">
        <v>2859</v>
      </c>
      <c r="N355" t="s">
        <v>2859</v>
      </c>
      <c r="P355" t="s">
        <v>2491</v>
      </c>
      <c r="Q355" t="s">
        <v>2859</v>
      </c>
      <c r="R355" t="s">
        <v>485</v>
      </c>
      <c r="BI355" s="34" t="str">
        <f>HYPERLINK("#노임!A13","L085 →")</f>
        <v>L085 →</v>
      </c>
    </row>
    <row r="356" spans="1:61" ht="18.399999999999999" customHeight="1" x14ac:dyDescent="0.15">
      <c r="A356" s="13" t="s">
        <v>932</v>
      </c>
      <c r="B356" s="2" t="s">
        <v>2859</v>
      </c>
      <c r="C356" s="2">
        <f>일위대가_별표!$AD1033</f>
        <v>3.7499999999999999E-2</v>
      </c>
      <c r="D356" s="2" t="s">
        <v>2663</v>
      </c>
      <c r="E356" s="31">
        <f>G356+I356+K356</f>
        <v>219321</v>
      </c>
      <c r="F356" s="31">
        <f>H356+J356+L356</f>
        <v>8224</v>
      </c>
      <c r="G356" s="31">
        <v>0</v>
      </c>
      <c r="H356" s="31"/>
      <c r="I356" s="31">
        <f>노임!D12</f>
        <v>219321</v>
      </c>
      <c r="J356" s="31">
        <f>TRUNC(I356*C356,0)</f>
        <v>8224</v>
      </c>
      <c r="K356" s="31">
        <v>0</v>
      </c>
      <c r="L356" s="31"/>
      <c r="M356" s="22" t="s">
        <v>2859</v>
      </c>
      <c r="N356" t="s">
        <v>2859</v>
      </c>
      <c r="P356" t="s">
        <v>1745</v>
      </c>
      <c r="Q356" t="s">
        <v>2859</v>
      </c>
      <c r="R356" t="s">
        <v>2035</v>
      </c>
      <c r="BI356" s="34" t="str">
        <f>HYPERLINK("#노임!A12","L084 →")</f>
        <v>L084 →</v>
      </c>
    </row>
    <row r="357" spans="1:61" ht="18.399999999999999" customHeight="1" x14ac:dyDescent="0.15">
      <c r="A357" s="13" t="s">
        <v>1521</v>
      </c>
      <c r="B357" s="2" t="s">
        <v>288</v>
      </c>
      <c r="C357" s="2">
        <f>일위대가_별표!$AD1039</f>
        <v>0.1</v>
      </c>
      <c r="D357" s="2" t="s">
        <v>2380</v>
      </c>
      <c r="E357" s="31">
        <f>G357+I357+K357</f>
        <v>67241</v>
      </c>
      <c r="F357" s="31">
        <f>H357+J357+L357</f>
        <v>6723</v>
      </c>
      <c r="G357" s="31">
        <f>중기사용료목록!E28</f>
        <v>8506</v>
      </c>
      <c r="H357" s="31">
        <f>TRUNC(G357*C357,0)</f>
        <v>850</v>
      </c>
      <c r="I357" s="31">
        <f>중기사용료목록!F28</f>
        <v>48741</v>
      </c>
      <c r="J357" s="31">
        <f>TRUNC(I357*C357,0)</f>
        <v>4874</v>
      </c>
      <c r="K357" s="31">
        <f>중기사용료목록!G28</f>
        <v>9994</v>
      </c>
      <c r="L357" s="31">
        <f>TRUNC(K357*C357,0)</f>
        <v>999</v>
      </c>
      <c r="M357" s="22" t="s">
        <v>2859</v>
      </c>
      <c r="N357" t="s">
        <v>2859</v>
      </c>
      <c r="P357" t="s">
        <v>1030</v>
      </c>
      <c r="Q357" t="s">
        <v>2859</v>
      </c>
      <c r="R357" t="s">
        <v>84</v>
      </c>
      <c r="BI357" s="34" t="str">
        <f>HYPERLINK("#중기사용료목록!A28","E0021050005 →")</f>
        <v>E0021050005 →</v>
      </c>
    </row>
    <row r="358" spans="1:61" ht="18.399999999999999" customHeight="1" x14ac:dyDescent="0.15">
      <c r="A358" s="57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58"/>
    </row>
    <row r="359" spans="1:61" ht="18.399999999999999" customHeight="1" x14ac:dyDescent="0.15">
      <c r="A359" s="13" t="s">
        <v>828</v>
      </c>
      <c r="B359" s="2" t="s">
        <v>2534</v>
      </c>
      <c r="C359" s="2">
        <v>1</v>
      </c>
      <c r="D359" s="2" t="s">
        <v>1091</v>
      </c>
      <c r="F359" s="31">
        <f>H359+J359+L359</f>
        <v>23336</v>
      </c>
      <c r="H359" s="31">
        <f>TRUNC(H360+H361+H362+H363,0)</f>
        <v>15726</v>
      </c>
      <c r="J359" s="31">
        <f>TRUNC(J360+J361+J362+J363,0)</f>
        <v>7140</v>
      </c>
      <c r="L359" s="31">
        <f>TRUNC(L360+L361+L362+L363,0)</f>
        <v>470</v>
      </c>
      <c r="M359" s="22" t="s">
        <v>2859</v>
      </c>
      <c r="N359" t="s">
        <v>2859</v>
      </c>
      <c r="O359" t="s">
        <v>2053</v>
      </c>
    </row>
    <row r="360" spans="1:61" ht="18.399999999999999" customHeight="1" x14ac:dyDescent="0.15">
      <c r="A360" s="13" t="s">
        <v>657</v>
      </c>
      <c r="B360" s="2" t="s">
        <v>2047</v>
      </c>
      <c r="C360" s="2">
        <f>일위대가_별표!$AD1050</f>
        <v>1.03</v>
      </c>
      <c r="D360" s="2" t="s">
        <v>773</v>
      </c>
      <c r="E360" s="31">
        <f>G360+I360+K360</f>
        <v>14880</v>
      </c>
      <c r="F360" s="31">
        <f>H360+J360+L360</f>
        <v>15326</v>
      </c>
      <c r="G360" s="31">
        <f>자재조서!E30</f>
        <v>14880</v>
      </c>
      <c r="H360" s="31">
        <f>TRUNC(G360*C360,0)</f>
        <v>15326</v>
      </c>
      <c r="I360" s="31">
        <v>0</v>
      </c>
      <c r="J360" s="31"/>
      <c r="K360" s="31">
        <v>0</v>
      </c>
      <c r="L360" s="31"/>
      <c r="M360" s="22" t="s">
        <v>2859</v>
      </c>
      <c r="N360" t="s">
        <v>677</v>
      </c>
      <c r="P360" t="s">
        <v>322</v>
      </c>
      <c r="Q360" t="s">
        <v>2859</v>
      </c>
      <c r="R360" t="s">
        <v>834</v>
      </c>
      <c r="BI360" s="34" t="str">
        <f>HYPERLINK("#자재조서!A30","M1209030 →")</f>
        <v>M1209030 →</v>
      </c>
    </row>
    <row r="361" spans="1:61" ht="18.399999999999999" customHeight="1" x14ac:dyDescent="0.15">
      <c r="A361" s="13" t="s">
        <v>891</v>
      </c>
      <c r="B361" s="2" t="s">
        <v>2859</v>
      </c>
      <c r="C361" s="2">
        <f>일위대가_별표!$AD1058</f>
        <v>5.8999999999999999E-3</v>
      </c>
      <c r="D361" s="2" t="s">
        <v>2663</v>
      </c>
      <c r="E361" s="31">
        <f>G361+I361+K361</f>
        <v>167081</v>
      </c>
      <c r="F361" s="31">
        <f>H361+J361+L361</f>
        <v>985</v>
      </c>
      <c r="G361" s="31">
        <v>0</v>
      </c>
      <c r="H361" s="31"/>
      <c r="I361" s="31">
        <f>노임!D13</f>
        <v>167081</v>
      </c>
      <c r="J361" s="31">
        <f>TRUNC(I361*C361,0)</f>
        <v>985</v>
      </c>
      <c r="K361" s="31">
        <v>0</v>
      </c>
      <c r="L361" s="31"/>
      <c r="M361" s="22" t="s">
        <v>2859</v>
      </c>
      <c r="N361" t="s">
        <v>2859</v>
      </c>
      <c r="P361" t="s">
        <v>2491</v>
      </c>
      <c r="Q361" t="s">
        <v>2859</v>
      </c>
      <c r="R361" t="s">
        <v>485</v>
      </c>
      <c r="BI361" s="34" t="str">
        <f>HYPERLINK("#노임!A13","L085 →")</f>
        <v>L085 →</v>
      </c>
    </row>
    <row r="362" spans="1:61" ht="18.399999999999999" customHeight="1" x14ac:dyDescent="0.15">
      <c r="A362" s="13" t="s">
        <v>932</v>
      </c>
      <c r="B362" s="2" t="s">
        <v>2859</v>
      </c>
      <c r="C362" s="2">
        <f>일위대가_별표!$AD1063</f>
        <v>1.7600000000000001E-2</v>
      </c>
      <c r="D362" s="2" t="s">
        <v>2663</v>
      </c>
      <c r="E362" s="31">
        <f>G362+I362+K362</f>
        <v>219321</v>
      </c>
      <c r="F362" s="31">
        <f>H362+J362+L362</f>
        <v>3860</v>
      </c>
      <c r="G362" s="31">
        <v>0</v>
      </c>
      <c r="H362" s="31"/>
      <c r="I362" s="31">
        <f>노임!D12</f>
        <v>219321</v>
      </c>
      <c r="J362" s="31">
        <f>TRUNC(I362*C362,0)</f>
        <v>3860</v>
      </c>
      <c r="K362" s="31">
        <v>0</v>
      </c>
      <c r="L362" s="31"/>
      <c r="M362" s="22" t="s">
        <v>2859</v>
      </c>
      <c r="N362" t="s">
        <v>2859</v>
      </c>
      <c r="P362" t="s">
        <v>1745</v>
      </c>
      <c r="Q362" t="s">
        <v>2859</v>
      </c>
      <c r="R362" t="s">
        <v>2035</v>
      </c>
      <c r="BI362" s="34" t="str">
        <f>HYPERLINK("#노임!A12","L084 →")</f>
        <v>L084 →</v>
      </c>
    </row>
    <row r="363" spans="1:61" ht="18.399999999999999" customHeight="1" x14ac:dyDescent="0.15">
      <c r="A363" s="13" t="s">
        <v>1521</v>
      </c>
      <c r="B363" s="2" t="s">
        <v>288</v>
      </c>
      <c r="C363" s="2">
        <f>일위대가_별표!$AD1069</f>
        <v>4.7100000000000003E-2</v>
      </c>
      <c r="D363" s="2" t="s">
        <v>2380</v>
      </c>
      <c r="E363" s="31">
        <f>G363+I363+K363</f>
        <v>67241</v>
      </c>
      <c r="F363" s="31">
        <f>H363+J363+L363</f>
        <v>3165</v>
      </c>
      <c r="G363" s="31">
        <f>중기사용료목록!E28</f>
        <v>8506</v>
      </c>
      <c r="H363" s="31">
        <f>TRUNC(G363*C363,0)</f>
        <v>400</v>
      </c>
      <c r="I363" s="31">
        <f>중기사용료목록!F28</f>
        <v>48741</v>
      </c>
      <c r="J363" s="31">
        <f>TRUNC(I363*C363,0)</f>
        <v>2295</v>
      </c>
      <c r="K363" s="31">
        <f>중기사용료목록!G28</f>
        <v>9994</v>
      </c>
      <c r="L363" s="31">
        <f>TRUNC(K363*C363,0)</f>
        <v>470</v>
      </c>
      <c r="M363" s="22" t="s">
        <v>2859</v>
      </c>
      <c r="N363" t="s">
        <v>2859</v>
      </c>
      <c r="P363" t="s">
        <v>1030</v>
      </c>
      <c r="Q363" t="s">
        <v>2859</v>
      </c>
      <c r="R363" t="s">
        <v>84</v>
      </c>
      <c r="BI363" s="34" t="str">
        <f>HYPERLINK("#중기사용료목록!A28","E0021050005 →")</f>
        <v>E0021050005 →</v>
      </c>
    </row>
    <row r="364" spans="1:61" ht="18.399999999999999" customHeight="1" x14ac:dyDescent="0.15">
      <c r="A364" s="57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58"/>
    </row>
    <row r="365" spans="1:61" ht="18.399999999999999" customHeight="1" x14ac:dyDescent="0.15">
      <c r="A365" s="13" t="s">
        <v>2739</v>
      </c>
      <c r="B365" s="2" t="s">
        <v>1806</v>
      </c>
      <c r="C365" s="2">
        <v>1</v>
      </c>
      <c r="D365" s="2" t="s">
        <v>2212</v>
      </c>
      <c r="F365" s="31">
        <f t="shared" ref="F365:F375" si="51">H365+J365+L365</f>
        <v>20610</v>
      </c>
      <c r="H365" s="31">
        <f>TRUNC(H366+H367+H368+H369+H370+H371+H372+H373+H374+H375,0)</f>
        <v>18116</v>
      </c>
      <c r="J365" s="31">
        <f>TRUNC(J366+J367+J368+J369+J370+J371+J372+J373+J374+J375,0)</f>
        <v>2230</v>
      </c>
      <c r="L365" s="31">
        <f>TRUNC(L366+L367+L368+L369+L370+L371+L372+L373+L374+L375,0)</f>
        <v>264</v>
      </c>
      <c r="M365" s="22" t="s">
        <v>2859</v>
      </c>
      <c r="N365" t="s">
        <v>2859</v>
      </c>
      <c r="O365" t="s">
        <v>2025</v>
      </c>
    </row>
    <row r="366" spans="1:61" ht="18.399999999999999" customHeight="1" x14ac:dyDescent="0.15">
      <c r="A366" s="13" t="s">
        <v>2573</v>
      </c>
      <c r="B366" s="2" t="s">
        <v>2813</v>
      </c>
      <c r="C366" s="2">
        <f>일위대가_별표!$AH1082</f>
        <v>4.53</v>
      </c>
      <c r="D366" s="2" t="s">
        <v>2831</v>
      </c>
      <c r="E366" s="31">
        <f t="shared" ref="E366:E375" si="52">G366+I366+K366</f>
        <v>3300</v>
      </c>
      <c r="F366" s="31">
        <f t="shared" si="51"/>
        <v>14949</v>
      </c>
      <c r="G366" s="31">
        <f>자재조서!E32</f>
        <v>3300</v>
      </c>
      <c r="H366" s="31">
        <f>TRUNC(G366*C366,0)</f>
        <v>14949</v>
      </c>
      <c r="I366" s="31">
        <v>0</v>
      </c>
      <c r="J366" s="31"/>
      <c r="K366" s="31">
        <v>0</v>
      </c>
      <c r="L366" s="31"/>
      <c r="M366" s="22" t="s">
        <v>2859</v>
      </c>
      <c r="N366" t="s">
        <v>2859</v>
      </c>
      <c r="P366" t="s">
        <v>322</v>
      </c>
      <c r="Q366" t="s">
        <v>2859</v>
      </c>
      <c r="R366" t="s">
        <v>321</v>
      </c>
      <c r="BI366" s="34" t="str">
        <f>HYPERLINK("#자재조서!A32","M1500009 →")</f>
        <v>M1500009 →</v>
      </c>
    </row>
    <row r="367" spans="1:61" ht="18.399999999999999" customHeight="1" x14ac:dyDescent="0.15">
      <c r="A367" s="13" t="s">
        <v>1781</v>
      </c>
      <c r="B367" s="2" t="s">
        <v>2859</v>
      </c>
      <c r="C367" s="2">
        <f>일위대가_별표!$AD1088</f>
        <v>0.45</v>
      </c>
      <c r="D367" s="2" t="s">
        <v>2831</v>
      </c>
      <c r="E367" s="31">
        <f t="shared" si="52"/>
        <v>4300</v>
      </c>
      <c r="F367" s="31">
        <f t="shared" si="51"/>
        <v>1935</v>
      </c>
      <c r="G367" s="31">
        <f>자재조서!E31</f>
        <v>4300</v>
      </c>
      <c r="H367" s="31">
        <f>TRUNC(G367*C367,0)</f>
        <v>1935</v>
      </c>
      <c r="I367" s="31">
        <v>0</v>
      </c>
      <c r="J367" s="31"/>
      <c r="K367" s="31">
        <v>0</v>
      </c>
      <c r="L367" s="31"/>
      <c r="M367" s="22" t="s">
        <v>2859</v>
      </c>
      <c r="N367" t="s">
        <v>2859</v>
      </c>
      <c r="P367" t="s">
        <v>2491</v>
      </c>
      <c r="Q367" t="s">
        <v>2859</v>
      </c>
      <c r="R367" t="s">
        <v>1561</v>
      </c>
      <c r="BI367" s="34" t="str">
        <f>HYPERLINK("#자재조서!A31","M1488003 →")</f>
        <v>M1488003 →</v>
      </c>
    </row>
    <row r="368" spans="1:61" ht="18.399999999999999" customHeight="1" x14ac:dyDescent="0.15">
      <c r="A368" s="13" t="s">
        <v>90</v>
      </c>
      <c r="B368" s="2" t="s">
        <v>2700</v>
      </c>
      <c r="C368" s="2">
        <f>일위대가_별표!$AH1094</f>
        <v>0.2</v>
      </c>
      <c r="D368" s="2" t="s">
        <v>2218</v>
      </c>
      <c r="E368" s="31">
        <f t="shared" si="52"/>
        <v>2435</v>
      </c>
      <c r="F368" s="31">
        <f t="shared" si="51"/>
        <v>487</v>
      </c>
      <c r="G368" s="31">
        <f>자재조서!E33</f>
        <v>2435</v>
      </c>
      <c r="H368" s="31">
        <f>TRUNC(G368*C368,0)</f>
        <v>487</v>
      </c>
      <c r="I368" s="31">
        <v>0</v>
      </c>
      <c r="J368" s="31"/>
      <c r="K368" s="31">
        <v>0</v>
      </c>
      <c r="L368" s="31"/>
      <c r="M368" s="22" t="s">
        <v>2859</v>
      </c>
      <c r="N368" t="s">
        <v>2859</v>
      </c>
      <c r="P368" t="s">
        <v>1030</v>
      </c>
      <c r="Q368" t="s">
        <v>2859</v>
      </c>
      <c r="R368" t="s">
        <v>1928</v>
      </c>
      <c r="BI368" s="34" t="str">
        <f>HYPERLINK("#자재조서!A33","M1500021 →")</f>
        <v>M1500021 →</v>
      </c>
    </row>
    <row r="369" spans="1:61" ht="18.399999999999999" customHeight="1" x14ac:dyDescent="0.15">
      <c r="A369" s="13" t="s">
        <v>662</v>
      </c>
      <c r="B369" s="2" t="s">
        <v>1149</v>
      </c>
      <c r="C369" s="2">
        <f>일위대가_별표!$AH1100</f>
        <v>0.2</v>
      </c>
      <c r="D369" s="2" t="s">
        <v>2831</v>
      </c>
      <c r="E369" s="31">
        <f t="shared" si="52"/>
        <v>1982</v>
      </c>
      <c r="F369" s="31">
        <f t="shared" si="51"/>
        <v>396</v>
      </c>
      <c r="G369" s="31">
        <f>자재조서!E64</f>
        <v>1982</v>
      </c>
      <c r="H369" s="31">
        <f>TRUNC(G369*C369,0)</f>
        <v>396</v>
      </c>
      <c r="I369" s="31">
        <v>0</v>
      </c>
      <c r="J369" s="31"/>
      <c r="K369" s="31">
        <v>0</v>
      </c>
      <c r="L369" s="31"/>
      <c r="M369" s="22" t="s">
        <v>2859</v>
      </c>
      <c r="N369" t="s">
        <v>2859</v>
      </c>
      <c r="P369" t="s">
        <v>267</v>
      </c>
      <c r="Q369" t="s">
        <v>2859</v>
      </c>
      <c r="R369" t="s">
        <v>2651</v>
      </c>
      <c r="BI369" s="34" t="str">
        <f>HYPERLINK("#자재조서!A64","M9384003 →")</f>
        <v>M9384003 →</v>
      </c>
    </row>
    <row r="370" spans="1:61" ht="18.399999999999999" customHeight="1" x14ac:dyDescent="0.15">
      <c r="A370" s="13" t="s">
        <v>932</v>
      </c>
      <c r="B370" s="2" t="s">
        <v>2859</v>
      </c>
      <c r="C370" s="2">
        <f>일위대가_별표!$AD1106</f>
        <v>2.8999999999999998E-3</v>
      </c>
      <c r="D370" s="2" t="s">
        <v>2663</v>
      </c>
      <c r="E370" s="31">
        <f t="shared" si="52"/>
        <v>219321</v>
      </c>
      <c r="F370" s="31">
        <f t="shared" si="51"/>
        <v>636</v>
      </c>
      <c r="G370" s="31">
        <v>0</v>
      </c>
      <c r="H370" s="31"/>
      <c r="I370" s="31">
        <f>노임!D12</f>
        <v>219321</v>
      </c>
      <c r="J370" s="31">
        <f>TRUNC(I370*C370,0)</f>
        <v>636</v>
      </c>
      <c r="K370" s="31">
        <v>0</v>
      </c>
      <c r="L370" s="31"/>
      <c r="M370" s="22" t="s">
        <v>2859</v>
      </c>
      <c r="N370" t="s">
        <v>2859</v>
      </c>
      <c r="P370" t="s">
        <v>2435</v>
      </c>
      <c r="Q370" t="s">
        <v>2859</v>
      </c>
      <c r="R370" t="s">
        <v>2035</v>
      </c>
      <c r="BI370" s="34" t="str">
        <f>HYPERLINK("#노임!A12","L084 →")</f>
        <v>L084 →</v>
      </c>
    </row>
    <row r="371" spans="1:61" ht="18.399999999999999" customHeight="1" x14ac:dyDescent="0.15">
      <c r="A371" s="13" t="s">
        <v>891</v>
      </c>
      <c r="B371" s="2" t="s">
        <v>2859</v>
      </c>
      <c r="C371" s="2">
        <f>일위대가_별표!$AD1109</f>
        <v>2.8999999999999998E-3</v>
      </c>
      <c r="D371" s="2" t="s">
        <v>2663</v>
      </c>
      <c r="E371" s="31">
        <f t="shared" si="52"/>
        <v>167081</v>
      </c>
      <c r="F371" s="31">
        <f t="shared" si="51"/>
        <v>484</v>
      </c>
      <c r="G371" s="31">
        <v>0</v>
      </c>
      <c r="H371" s="31"/>
      <c r="I371" s="31">
        <f>노임!D13</f>
        <v>167081</v>
      </c>
      <c r="J371" s="31">
        <f>TRUNC(I371*C371,0)</f>
        <v>484</v>
      </c>
      <c r="K371" s="31">
        <v>0</v>
      </c>
      <c r="L371" s="31"/>
      <c r="M371" s="22" t="s">
        <v>2859</v>
      </c>
      <c r="N371" t="s">
        <v>2859</v>
      </c>
      <c r="P371" t="s">
        <v>1695</v>
      </c>
      <c r="Q371" t="s">
        <v>2859</v>
      </c>
      <c r="R371" t="s">
        <v>485</v>
      </c>
      <c r="BI371" s="34" t="str">
        <f>HYPERLINK("#노임!A13","L085 →")</f>
        <v>L085 →</v>
      </c>
    </row>
    <row r="372" spans="1:61" ht="18.399999999999999" customHeight="1" x14ac:dyDescent="0.15">
      <c r="A372" s="13" t="s">
        <v>489</v>
      </c>
      <c r="B372" s="2" t="s">
        <v>346</v>
      </c>
      <c r="C372" s="2">
        <f>일위대가_별표!$AD1115</f>
        <v>1.14E-2</v>
      </c>
      <c r="D372" s="2" t="s">
        <v>2380</v>
      </c>
      <c r="E372" s="31">
        <f t="shared" si="52"/>
        <v>65534</v>
      </c>
      <c r="F372" s="31">
        <f t="shared" si="51"/>
        <v>746</v>
      </c>
      <c r="G372" s="31">
        <f>중기사용료목록!E16</f>
        <v>9591</v>
      </c>
      <c r="H372" s="31">
        <f>TRUNC(G372*C372,0)</f>
        <v>109</v>
      </c>
      <c r="I372" s="31">
        <f>중기사용료목록!F16</f>
        <v>48741</v>
      </c>
      <c r="J372" s="31">
        <f>TRUNC(I372*C372,0)</f>
        <v>555</v>
      </c>
      <c r="K372" s="31">
        <f>중기사용료목록!G16</f>
        <v>7202</v>
      </c>
      <c r="L372" s="31">
        <f>TRUNC(K372*C372,0)</f>
        <v>82</v>
      </c>
      <c r="M372" s="22" t="s">
        <v>2859</v>
      </c>
      <c r="N372" t="s">
        <v>2859</v>
      </c>
      <c r="P372" t="s">
        <v>979</v>
      </c>
      <c r="Q372" t="s">
        <v>2859</v>
      </c>
      <c r="R372" t="s">
        <v>2699</v>
      </c>
      <c r="BI372" s="34" t="str">
        <f>HYPERLINK("#중기사용료목록!A16","E0006020045 →")</f>
        <v>E0006020045 →</v>
      </c>
    </row>
    <row r="373" spans="1:61" ht="18.399999999999999" customHeight="1" x14ac:dyDescent="0.15">
      <c r="A373" s="13" t="s">
        <v>489</v>
      </c>
      <c r="B373" s="2" t="s">
        <v>1174</v>
      </c>
      <c r="C373" s="2">
        <f>일위대가_별표!$AD1121</f>
        <v>1.14E-2</v>
      </c>
      <c r="D373" s="2" t="s">
        <v>2380</v>
      </c>
      <c r="E373" s="31">
        <f t="shared" si="52"/>
        <v>60472</v>
      </c>
      <c r="F373" s="31">
        <f t="shared" si="51"/>
        <v>688</v>
      </c>
      <c r="G373" s="31">
        <f>중기사용료목록!E15</f>
        <v>5562</v>
      </c>
      <c r="H373" s="31">
        <f>TRUNC(G373*C373,0)</f>
        <v>63</v>
      </c>
      <c r="I373" s="31">
        <f>중기사용료목록!F15</f>
        <v>48741</v>
      </c>
      <c r="J373" s="31">
        <f>TRUNC(I373*C373,0)</f>
        <v>555</v>
      </c>
      <c r="K373" s="31">
        <f>중기사용료목록!G15</f>
        <v>6169</v>
      </c>
      <c r="L373" s="31">
        <f>TRUNC(K373*C373,0)</f>
        <v>70</v>
      </c>
      <c r="M373" s="22" t="s">
        <v>2859</v>
      </c>
      <c r="N373" t="s">
        <v>2859</v>
      </c>
      <c r="P373" t="s">
        <v>223</v>
      </c>
      <c r="Q373" t="s">
        <v>2859</v>
      </c>
      <c r="R373" t="s">
        <v>1203</v>
      </c>
      <c r="AA373" s="40" t="s">
        <v>907</v>
      </c>
      <c r="AB373" s="10">
        <f>((일위대가_호표!J370*전역변수!C34)+(일위대가_호표!J371*전역변수!C34))*0.1</f>
        <v>112</v>
      </c>
      <c r="AC373" s="40" t="s">
        <v>1545</v>
      </c>
      <c r="AD373" s="9">
        <f>$AB373</f>
        <v>112</v>
      </c>
      <c r="BI373" s="34" t="str">
        <f>HYPERLINK("#중기사용료목록!A15","E0006020025 →")</f>
        <v>E0006020025 →</v>
      </c>
    </row>
    <row r="374" spans="1:61" ht="18.399999999999999" customHeight="1" x14ac:dyDescent="0.15">
      <c r="A374" s="13" t="s">
        <v>2384</v>
      </c>
      <c r="B374" s="2" t="s">
        <v>1375</v>
      </c>
      <c r="C374" s="2">
        <v>1</v>
      </c>
      <c r="D374" s="2" t="s">
        <v>2293</v>
      </c>
      <c r="E374" s="31">
        <f t="shared" si="52"/>
        <v>0</v>
      </c>
      <c r="F374" s="31">
        <f t="shared" si="51"/>
        <v>112</v>
      </c>
      <c r="G374" s="1"/>
      <c r="H374" s="31">
        <v>0</v>
      </c>
      <c r="I374" s="1"/>
      <c r="J374" s="31">
        <v>0</v>
      </c>
      <c r="K374" s="1"/>
      <c r="L374" s="31">
        <f>TRUNC((((J370*전역변수!C34)+(J371*전역변수!C34))*0.1),0)</f>
        <v>112</v>
      </c>
      <c r="M374" s="22" t="s">
        <v>2859</v>
      </c>
      <c r="N374" t="s">
        <v>2859</v>
      </c>
      <c r="P374" t="s">
        <v>214</v>
      </c>
      <c r="Q374" t="s">
        <v>2859</v>
      </c>
      <c r="R374" t="s">
        <v>2417</v>
      </c>
      <c r="X374" t="s">
        <v>300</v>
      </c>
      <c r="AA374" s="40" t="s">
        <v>2113</v>
      </c>
      <c r="AB374" s="10">
        <f>(일위대가_호표!H366+일위대가_호표!H367+일위대가_호표!H368+일위대가_호표!H369)*0.01</f>
        <v>177.67000000000002</v>
      </c>
      <c r="AC374" s="40" t="s">
        <v>2372</v>
      </c>
      <c r="AD374" s="9">
        <f>$AB374</f>
        <v>177.67000000000002</v>
      </c>
    </row>
    <row r="375" spans="1:61" ht="18.399999999999999" customHeight="1" x14ac:dyDescent="0.15">
      <c r="A375" s="13" t="s">
        <v>935</v>
      </c>
      <c r="B375" s="2" t="s">
        <v>632</v>
      </c>
      <c r="C375" s="2">
        <v>1</v>
      </c>
      <c r="D375" s="2" t="s">
        <v>2293</v>
      </c>
      <c r="E375" s="31">
        <f t="shared" si="52"/>
        <v>0</v>
      </c>
      <c r="F375" s="31">
        <f t="shared" si="51"/>
        <v>177</v>
      </c>
      <c r="G375" s="1"/>
      <c r="H375" s="31">
        <f>TRUNC(((H366+H367+H368+H369)*0.01),0)</f>
        <v>177</v>
      </c>
      <c r="I375" s="1"/>
      <c r="J375" s="31">
        <v>0</v>
      </c>
      <c r="K375" s="1"/>
      <c r="L375" s="31">
        <v>0</v>
      </c>
      <c r="M375" s="22" t="s">
        <v>2859</v>
      </c>
      <c r="N375" t="s">
        <v>2859</v>
      </c>
      <c r="P375" t="s">
        <v>945</v>
      </c>
      <c r="Q375" t="s">
        <v>2859</v>
      </c>
      <c r="R375" t="s">
        <v>2417</v>
      </c>
      <c r="X375" t="s">
        <v>1160</v>
      </c>
    </row>
    <row r="376" spans="1:61" ht="18.399999999999999" customHeight="1" x14ac:dyDescent="0.15">
      <c r="A376" s="57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58"/>
    </row>
    <row r="377" spans="1:61" ht="18.399999999999999" customHeight="1" x14ac:dyDescent="0.15">
      <c r="A377" s="13" t="s">
        <v>1686</v>
      </c>
      <c r="B377" s="2" t="s">
        <v>1806</v>
      </c>
      <c r="C377" s="2">
        <v>1</v>
      </c>
      <c r="D377" s="2" t="s">
        <v>2212</v>
      </c>
      <c r="F377" s="31">
        <f t="shared" ref="F377:F387" si="53">H377+J377+L377</f>
        <v>32701</v>
      </c>
      <c r="H377" s="31">
        <f>TRUNC(H378+H379+H380+H381+H382+H383+H384+H385+H386+H387,0)</f>
        <v>18906</v>
      </c>
      <c r="J377" s="31">
        <f>TRUNC(J378+J379+J380+J381+J382+J383+J384+J385+J386+J387,0)</f>
        <v>12333</v>
      </c>
      <c r="L377" s="31">
        <f>TRUNC(L378+L379+L380+L381+L382+L383+L384+L385+L386+L387,0)</f>
        <v>1462</v>
      </c>
      <c r="M377" s="22" t="s">
        <v>2859</v>
      </c>
      <c r="N377" t="s">
        <v>2859</v>
      </c>
      <c r="O377" t="s">
        <v>554</v>
      </c>
    </row>
    <row r="378" spans="1:61" ht="18.399999999999999" customHeight="1" x14ac:dyDescent="0.15">
      <c r="A378" s="13" t="s">
        <v>2573</v>
      </c>
      <c r="B378" s="2" t="s">
        <v>2813</v>
      </c>
      <c r="C378" s="2">
        <f>일위대가_별표!$AH1146</f>
        <v>4.53</v>
      </c>
      <c r="D378" s="2" t="s">
        <v>2831</v>
      </c>
      <c r="E378" s="31">
        <f t="shared" ref="E378:E387" si="54">G378+I378+K378</f>
        <v>3300</v>
      </c>
      <c r="F378" s="31">
        <f t="shared" si="53"/>
        <v>14949</v>
      </c>
      <c r="G378" s="31">
        <f>자재조서!E32</f>
        <v>3300</v>
      </c>
      <c r="H378" s="31">
        <f>TRUNC(G378*C378,0)</f>
        <v>14949</v>
      </c>
      <c r="I378" s="31">
        <v>0</v>
      </c>
      <c r="J378" s="31"/>
      <c r="K378" s="31">
        <v>0</v>
      </c>
      <c r="L378" s="31"/>
      <c r="M378" s="22" t="s">
        <v>2859</v>
      </c>
      <c r="N378" t="s">
        <v>2859</v>
      </c>
      <c r="P378" t="s">
        <v>322</v>
      </c>
      <c r="Q378" t="s">
        <v>2859</v>
      </c>
      <c r="R378" t="s">
        <v>321</v>
      </c>
      <c r="BI378" s="34" t="str">
        <f>HYPERLINK("#자재조서!A32","M1500009 →")</f>
        <v>M1500009 →</v>
      </c>
    </row>
    <row r="379" spans="1:61" ht="18.399999999999999" customHeight="1" x14ac:dyDescent="0.15">
      <c r="A379" s="13" t="s">
        <v>1781</v>
      </c>
      <c r="B379" s="2" t="s">
        <v>2859</v>
      </c>
      <c r="C379" s="2">
        <f>일위대가_별표!$AD1152</f>
        <v>0.45</v>
      </c>
      <c r="D379" s="2" t="s">
        <v>2831</v>
      </c>
      <c r="E379" s="31">
        <f t="shared" si="54"/>
        <v>4300</v>
      </c>
      <c r="F379" s="31">
        <f t="shared" si="53"/>
        <v>1935</v>
      </c>
      <c r="G379" s="31">
        <f>자재조서!E31</f>
        <v>4300</v>
      </c>
      <c r="H379" s="31">
        <f>TRUNC(G379*C379,0)</f>
        <v>1935</v>
      </c>
      <c r="I379" s="31">
        <v>0</v>
      </c>
      <c r="J379" s="31"/>
      <c r="K379" s="31">
        <v>0</v>
      </c>
      <c r="L379" s="31"/>
      <c r="M379" s="22" t="s">
        <v>2859</v>
      </c>
      <c r="N379" t="s">
        <v>2859</v>
      </c>
      <c r="P379" t="s">
        <v>2491</v>
      </c>
      <c r="Q379" t="s">
        <v>2859</v>
      </c>
      <c r="R379" t="s">
        <v>1561</v>
      </c>
      <c r="BI379" s="34" t="str">
        <f>HYPERLINK("#자재조서!A31","M1488003 →")</f>
        <v>M1488003 →</v>
      </c>
    </row>
    <row r="380" spans="1:61" ht="18.399999999999999" customHeight="1" x14ac:dyDescent="0.15">
      <c r="A380" s="13" t="s">
        <v>90</v>
      </c>
      <c r="B380" s="2" t="s">
        <v>2700</v>
      </c>
      <c r="C380" s="2">
        <f>일위대가_별표!$AH1158</f>
        <v>0.2</v>
      </c>
      <c r="D380" s="2" t="s">
        <v>2218</v>
      </c>
      <c r="E380" s="31">
        <f t="shared" si="54"/>
        <v>2435</v>
      </c>
      <c r="F380" s="31">
        <f t="shared" si="53"/>
        <v>487</v>
      </c>
      <c r="G380" s="31">
        <f>자재조서!E33</f>
        <v>2435</v>
      </c>
      <c r="H380" s="31">
        <f>TRUNC(G380*C380,0)</f>
        <v>487</v>
      </c>
      <c r="I380" s="31">
        <v>0</v>
      </c>
      <c r="J380" s="31"/>
      <c r="K380" s="31">
        <v>0</v>
      </c>
      <c r="L380" s="31"/>
      <c r="M380" s="22" t="s">
        <v>2859</v>
      </c>
      <c r="N380" t="s">
        <v>2859</v>
      </c>
      <c r="P380" t="s">
        <v>1030</v>
      </c>
      <c r="Q380" t="s">
        <v>2859</v>
      </c>
      <c r="R380" t="s">
        <v>1928</v>
      </c>
      <c r="BI380" s="34" t="str">
        <f>HYPERLINK("#자재조서!A33","M1500021 →")</f>
        <v>M1500021 →</v>
      </c>
    </row>
    <row r="381" spans="1:61" ht="18.399999999999999" customHeight="1" x14ac:dyDescent="0.15">
      <c r="A381" s="13" t="s">
        <v>662</v>
      </c>
      <c r="B381" s="2" t="s">
        <v>1149</v>
      </c>
      <c r="C381" s="2">
        <f>일위대가_별표!$AH1164</f>
        <v>0.2</v>
      </c>
      <c r="D381" s="2" t="s">
        <v>2831</v>
      </c>
      <c r="E381" s="31">
        <f t="shared" si="54"/>
        <v>1982</v>
      </c>
      <c r="F381" s="31">
        <f t="shared" si="53"/>
        <v>396</v>
      </c>
      <c r="G381" s="31">
        <f>자재조서!E64</f>
        <v>1982</v>
      </c>
      <c r="H381" s="31">
        <f>TRUNC(G381*C381,0)</f>
        <v>396</v>
      </c>
      <c r="I381" s="31">
        <v>0</v>
      </c>
      <c r="J381" s="31"/>
      <c r="K381" s="31">
        <v>0</v>
      </c>
      <c r="L381" s="31"/>
      <c r="M381" s="22" t="s">
        <v>2859</v>
      </c>
      <c r="N381" t="s">
        <v>2859</v>
      </c>
      <c r="P381" t="s">
        <v>267</v>
      </c>
      <c r="Q381" t="s">
        <v>2859</v>
      </c>
      <c r="R381" t="s">
        <v>2651</v>
      </c>
      <c r="BI381" s="34" t="str">
        <f>HYPERLINK("#자재조서!A64","M9384003 →")</f>
        <v>M9384003 →</v>
      </c>
    </row>
    <row r="382" spans="1:61" ht="18.399999999999999" customHeight="1" x14ac:dyDescent="0.15">
      <c r="A382" s="13" t="s">
        <v>932</v>
      </c>
      <c r="B382" s="2" t="s">
        <v>2859</v>
      </c>
      <c r="C382" s="2">
        <f>일위대가_별표!$AD1170</f>
        <v>1.5900000000000001E-2</v>
      </c>
      <c r="D382" s="2" t="s">
        <v>2663</v>
      </c>
      <c r="E382" s="31">
        <f t="shared" si="54"/>
        <v>219321</v>
      </c>
      <c r="F382" s="31">
        <f t="shared" si="53"/>
        <v>3487</v>
      </c>
      <c r="G382" s="31">
        <v>0</v>
      </c>
      <c r="H382" s="31"/>
      <c r="I382" s="31">
        <f>노임!D12</f>
        <v>219321</v>
      </c>
      <c r="J382" s="31">
        <f>TRUNC(I382*C382,0)</f>
        <v>3487</v>
      </c>
      <c r="K382" s="31">
        <v>0</v>
      </c>
      <c r="L382" s="31"/>
      <c r="M382" s="22" t="s">
        <v>2859</v>
      </c>
      <c r="N382" t="s">
        <v>2859</v>
      </c>
      <c r="P382" t="s">
        <v>2435</v>
      </c>
      <c r="Q382" t="s">
        <v>2859</v>
      </c>
      <c r="R382" t="s">
        <v>2035</v>
      </c>
      <c r="BI382" s="34" t="str">
        <f>HYPERLINK("#노임!A12","L084 →")</f>
        <v>L084 →</v>
      </c>
    </row>
    <row r="383" spans="1:61" ht="18.399999999999999" customHeight="1" x14ac:dyDescent="0.15">
      <c r="A383" s="13" t="s">
        <v>891</v>
      </c>
      <c r="B383" s="2" t="s">
        <v>2859</v>
      </c>
      <c r="C383" s="2">
        <f>일위대가_별표!$AD1173</f>
        <v>1.5900000000000001E-2</v>
      </c>
      <c r="D383" s="2" t="s">
        <v>2663</v>
      </c>
      <c r="E383" s="31">
        <f t="shared" si="54"/>
        <v>167081</v>
      </c>
      <c r="F383" s="31">
        <f t="shared" si="53"/>
        <v>2656</v>
      </c>
      <c r="G383" s="31">
        <v>0</v>
      </c>
      <c r="H383" s="31"/>
      <c r="I383" s="31">
        <f>노임!D13</f>
        <v>167081</v>
      </c>
      <c r="J383" s="31">
        <f>TRUNC(I383*C383,0)</f>
        <v>2656</v>
      </c>
      <c r="K383" s="31">
        <v>0</v>
      </c>
      <c r="L383" s="31"/>
      <c r="M383" s="22" t="s">
        <v>2859</v>
      </c>
      <c r="N383" t="s">
        <v>2859</v>
      </c>
      <c r="P383" t="s">
        <v>1695</v>
      </c>
      <c r="Q383" t="s">
        <v>2859</v>
      </c>
      <c r="R383" t="s">
        <v>485</v>
      </c>
      <c r="BI383" s="34" t="str">
        <f>HYPERLINK("#노임!A13","L085 →")</f>
        <v>L085 →</v>
      </c>
    </row>
    <row r="384" spans="1:61" ht="18.399999999999999" customHeight="1" x14ac:dyDescent="0.15">
      <c r="A384" s="13" t="s">
        <v>489</v>
      </c>
      <c r="B384" s="2" t="s">
        <v>346</v>
      </c>
      <c r="C384" s="2">
        <f>일위대가_별표!$AD1179</f>
        <v>6.3500000000000001E-2</v>
      </c>
      <c r="D384" s="2" t="s">
        <v>2380</v>
      </c>
      <c r="E384" s="31">
        <f t="shared" si="54"/>
        <v>65534</v>
      </c>
      <c r="F384" s="31">
        <f t="shared" si="53"/>
        <v>4161</v>
      </c>
      <c r="G384" s="31">
        <f>중기사용료목록!E16</f>
        <v>9591</v>
      </c>
      <c r="H384" s="31">
        <f>TRUNC(G384*C384,0)</f>
        <v>609</v>
      </c>
      <c r="I384" s="31">
        <f>중기사용료목록!F16</f>
        <v>48741</v>
      </c>
      <c r="J384" s="31">
        <f>TRUNC(I384*C384,0)</f>
        <v>3095</v>
      </c>
      <c r="K384" s="31">
        <f>중기사용료목록!G16</f>
        <v>7202</v>
      </c>
      <c r="L384" s="31">
        <f>TRUNC(K384*C384,0)</f>
        <v>457</v>
      </c>
      <c r="M384" s="22" t="s">
        <v>2859</v>
      </c>
      <c r="N384" t="s">
        <v>2859</v>
      </c>
      <c r="P384" t="s">
        <v>979</v>
      </c>
      <c r="Q384" t="s">
        <v>2859</v>
      </c>
      <c r="R384" t="s">
        <v>2699</v>
      </c>
      <c r="BI384" s="34" t="str">
        <f>HYPERLINK("#중기사용료목록!A16","E0006020045 →")</f>
        <v>E0006020045 →</v>
      </c>
    </row>
    <row r="385" spans="1:61" ht="18.399999999999999" customHeight="1" x14ac:dyDescent="0.15">
      <c r="A385" s="13" t="s">
        <v>489</v>
      </c>
      <c r="B385" s="2" t="s">
        <v>1174</v>
      </c>
      <c r="C385" s="2">
        <f>일위대가_별표!$AD1185</f>
        <v>6.3500000000000001E-2</v>
      </c>
      <c r="D385" s="2" t="s">
        <v>2380</v>
      </c>
      <c r="E385" s="31">
        <f t="shared" si="54"/>
        <v>60472</v>
      </c>
      <c r="F385" s="31">
        <f t="shared" si="53"/>
        <v>3839</v>
      </c>
      <c r="G385" s="31">
        <f>중기사용료목록!E15</f>
        <v>5562</v>
      </c>
      <c r="H385" s="31">
        <f>TRUNC(G385*C385,0)</f>
        <v>353</v>
      </c>
      <c r="I385" s="31">
        <f>중기사용료목록!F15</f>
        <v>48741</v>
      </c>
      <c r="J385" s="31">
        <f>TRUNC(I385*C385,0)</f>
        <v>3095</v>
      </c>
      <c r="K385" s="31">
        <f>중기사용료목록!G15</f>
        <v>6169</v>
      </c>
      <c r="L385" s="31">
        <f>TRUNC(K385*C385,0)</f>
        <v>391</v>
      </c>
      <c r="M385" s="22" t="s">
        <v>2859</v>
      </c>
      <c r="N385" t="s">
        <v>2859</v>
      </c>
      <c r="P385" t="s">
        <v>223</v>
      </c>
      <c r="Q385" t="s">
        <v>2859</v>
      </c>
      <c r="R385" t="s">
        <v>1203</v>
      </c>
      <c r="AA385" s="40" t="s">
        <v>907</v>
      </c>
      <c r="AB385" s="10">
        <f>((일위대가_호표!J382*전역변수!C34)+(일위대가_호표!J383*전역변수!C34))*0.1</f>
        <v>614.30000000000007</v>
      </c>
      <c r="AC385" s="40" t="s">
        <v>1545</v>
      </c>
      <c r="AD385" s="9">
        <f>$AB385</f>
        <v>614.30000000000007</v>
      </c>
      <c r="BI385" s="34" t="str">
        <f>HYPERLINK("#중기사용료목록!A15","E0006020025 →")</f>
        <v>E0006020025 →</v>
      </c>
    </row>
    <row r="386" spans="1:61" ht="18.399999999999999" customHeight="1" x14ac:dyDescent="0.15">
      <c r="A386" s="13" t="s">
        <v>2384</v>
      </c>
      <c r="B386" s="2" t="s">
        <v>1375</v>
      </c>
      <c r="C386" s="2">
        <v>1</v>
      </c>
      <c r="D386" s="2" t="s">
        <v>2293</v>
      </c>
      <c r="E386" s="31">
        <f t="shared" si="54"/>
        <v>0</v>
      </c>
      <c r="F386" s="31">
        <f t="shared" si="53"/>
        <v>614</v>
      </c>
      <c r="G386" s="1"/>
      <c r="H386" s="31">
        <v>0</v>
      </c>
      <c r="I386" s="1"/>
      <c r="J386" s="31">
        <v>0</v>
      </c>
      <c r="K386" s="1"/>
      <c r="L386" s="31">
        <f>TRUNC((((J382*전역변수!C34)+(J383*전역변수!C34))*0.1),0)</f>
        <v>614</v>
      </c>
      <c r="M386" s="22" t="s">
        <v>2859</v>
      </c>
      <c r="N386" t="s">
        <v>2859</v>
      </c>
      <c r="P386" t="s">
        <v>214</v>
      </c>
      <c r="Q386" t="s">
        <v>2859</v>
      </c>
      <c r="R386" t="s">
        <v>2417</v>
      </c>
      <c r="X386" t="s">
        <v>300</v>
      </c>
      <c r="AA386" s="40" t="s">
        <v>2113</v>
      </c>
      <c r="AB386" s="10">
        <f>(일위대가_호표!H378+일위대가_호표!H379+일위대가_호표!H380+일위대가_호표!H381)*0.01</f>
        <v>177.67000000000002</v>
      </c>
      <c r="AC386" s="40" t="s">
        <v>2372</v>
      </c>
      <c r="AD386" s="9">
        <f>$AB386</f>
        <v>177.67000000000002</v>
      </c>
    </row>
    <row r="387" spans="1:61" ht="18.399999999999999" customHeight="1" x14ac:dyDescent="0.15">
      <c r="A387" s="13" t="s">
        <v>935</v>
      </c>
      <c r="B387" s="2" t="s">
        <v>632</v>
      </c>
      <c r="C387" s="2">
        <v>1</v>
      </c>
      <c r="D387" s="2" t="s">
        <v>2293</v>
      </c>
      <c r="E387" s="31">
        <f t="shared" si="54"/>
        <v>0</v>
      </c>
      <c r="F387" s="31">
        <f t="shared" si="53"/>
        <v>177</v>
      </c>
      <c r="G387" s="1"/>
      <c r="H387" s="31">
        <f>TRUNC(((H378+H379+H380+H381)*0.01),0)</f>
        <v>177</v>
      </c>
      <c r="I387" s="1"/>
      <c r="J387" s="31">
        <v>0</v>
      </c>
      <c r="K387" s="1"/>
      <c r="L387" s="31">
        <v>0</v>
      </c>
      <c r="M387" s="22" t="s">
        <v>2859</v>
      </c>
      <c r="N387" t="s">
        <v>2859</v>
      </c>
      <c r="P387" t="s">
        <v>945</v>
      </c>
      <c r="Q387" t="s">
        <v>2859</v>
      </c>
      <c r="R387" t="s">
        <v>2417</v>
      </c>
      <c r="X387" t="s">
        <v>1160</v>
      </c>
    </row>
    <row r="388" spans="1:61" ht="18.399999999999999" customHeight="1" x14ac:dyDescent="0.15">
      <c r="A388" s="57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58"/>
    </row>
    <row r="389" spans="1:61" ht="18.399999999999999" customHeight="1" x14ac:dyDescent="0.15">
      <c r="A389" s="13" t="s">
        <v>709</v>
      </c>
      <c r="B389" s="2" t="s">
        <v>2859</v>
      </c>
      <c r="C389" s="2">
        <v>1</v>
      </c>
      <c r="D389" s="2" t="s">
        <v>2293</v>
      </c>
      <c r="F389" s="31">
        <f>H389+J389+L389</f>
        <v>2011105</v>
      </c>
      <c r="H389" s="31">
        <f>TRUNC(H392,0)</f>
        <v>0</v>
      </c>
      <c r="J389" s="31">
        <f>TRUNC(J392,0)</f>
        <v>0</v>
      </c>
      <c r="L389" s="31">
        <f>TRUNC(L392,0)</f>
        <v>2011105</v>
      </c>
      <c r="M389" s="22" t="s">
        <v>2859</v>
      </c>
      <c r="N389" t="s">
        <v>2859</v>
      </c>
      <c r="O389" t="s">
        <v>422</v>
      </c>
    </row>
    <row r="390" spans="1:61" ht="18.399999999999999" customHeight="1" x14ac:dyDescent="0.15">
      <c r="A390" s="13" t="s">
        <v>2015</v>
      </c>
      <c r="B390" s="2" t="s">
        <v>548</v>
      </c>
      <c r="C390" s="2">
        <f>일위대가_별표!$AH1239</f>
        <v>22.167000000000002</v>
      </c>
      <c r="D390" s="2" t="s">
        <v>2380</v>
      </c>
      <c r="E390" s="31">
        <f>G390+I390+K390</f>
        <v>73227</v>
      </c>
      <c r="F390" s="31">
        <f>H390+J390+L390</f>
        <v>1623221</v>
      </c>
      <c r="G390" s="31">
        <f>중기사용료목록!E32</f>
        <v>0</v>
      </c>
      <c r="H390" s="31">
        <f>TRUNC(G390*C390,0)</f>
        <v>0</v>
      </c>
      <c r="I390" s="31">
        <f>중기사용료목록!F32</f>
        <v>56874</v>
      </c>
      <c r="J390" s="31">
        <f>TRUNC(I390*C390,0)</f>
        <v>1260725</v>
      </c>
      <c r="K390" s="31">
        <f>중기사용료목록!G32</f>
        <v>16353</v>
      </c>
      <c r="L390" s="31">
        <f>TRUNC(K390*C390,0)</f>
        <v>362496</v>
      </c>
      <c r="M390" s="22" t="s">
        <v>2859</v>
      </c>
      <c r="N390" t="s">
        <v>2859</v>
      </c>
      <c r="P390" t="s">
        <v>322</v>
      </c>
      <c r="Q390" t="s">
        <v>1832</v>
      </c>
      <c r="R390" t="s">
        <v>39</v>
      </c>
      <c r="BI390" s="34" t="str">
        <f>HYPERLINK("#중기사용료목록!A32","E0027020022 →")</f>
        <v>E0027020022 →</v>
      </c>
    </row>
    <row r="391" spans="1:61" ht="18.399999999999999" customHeight="1" x14ac:dyDescent="0.15">
      <c r="A391" s="13" t="s">
        <v>2015</v>
      </c>
      <c r="B391" s="2" t="s">
        <v>1209</v>
      </c>
      <c r="C391" s="2">
        <f>일위대가_별표!$AH1261</f>
        <v>12.167400000000001</v>
      </c>
      <c r="D391" s="2" t="s">
        <v>2380</v>
      </c>
      <c r="E391" s="31">
        <f>G391+I391+K391</f>
        <v>31879</v>
      </c>
      <c r="F391" s="31">
        <f>H391+J391+L391</f>
        <v>387884</v>
      </c>
      <c r="G391" s="31">
        <f>중기사용료목록!E31</f>
        <v>31879</v>
      </c>
      <c r="H391" s="31">
        <f>TRUNC(G391*C391,0)</f>
        <v>387884</v>
      </c>
      <c r="I391" s="31">
        <f>중기사용료목록!F31</f>
        <v>0</v>
      </c>
      <c r="J391" s="31">
        <f>TRUNC(I391*C391,0)</f>
        <v>0</v>
      </c>
      <c r="K391" s="31">
        <f>중기사용료목록!G31</f>
        <v>0</v>
      </c>
      <c r="L391" s="31">
        <f>TRUNC(K391*C391,0)</f>
        <v>0</v>
      </c>
      <c r="M391" s="22" t="s">
        <v>2859</v>
      </c>
      <c r="N391" t="s">
        <v>2859</v>
      </c>
      <c r="P391" t="s">
        <v>2491</v>
      </c>
      <c r="Q391" t="s">
        <v>1832</v>
      </c>
      <c r="R391" t="s">
        <v>2060</v>
      </c>
      <c r="AA391" s="40" t="s">
        <v>907</v>
      </c>
      <c r="AB391" s="10">
        <f>((일위대가_호표!H390+일위대가_호표!J390+일위대가_호표!L390)+(일위대가_호표!H391+일위대가_호표!J391+일위대가_호표!L391))</f>
        <v>2011105</v>
      </c>
      <c r="AC391" s="40" t="s">
        <v>1545</v>
      </c>
      <c r="AD391" s="9">
        <f>$AB391</f>
        <v>2011105</v>
      </c>
      <c r="BI391" s="34" t="str">
        <f>HYPERLINK("#중기사용료목록!A31","E0027020021 →")</f>
        <v>E0027020021 →</v>
      </c>
    </row>
    <row r="392" spans="1:61" ht="18.399999999999999" customHeight="1" x14ac:dyDescent="0.15">
      <c r="A392" s="13" t="s">
        <v>704</v>
      </c>
      <c r="B392" s="2" t="s">
        <v>2859</v>
      </c>
      <c r="C392" s="2"/>
      <c r="D392" s="2" t="s">
        <v>2859</v>
      </c>
      <c r="E392" s="31">
        <f>G392+I392+K392</f>
        <v>0</v>
      </c>
      <c r="F392" s="31">
        <f>H392+J392+L392</f>
        <v>2011105</v>
      </c>
      <c r="G392" s="1"/>
      <c r="H392" s="31">
        <v>0</v>
      </c>
      <c r="I392" s="1"/>
      <c r="J392" s="31">
        <v>0</v>
      </c>
      <c r="K392" s="1"/>
      <c r="L392" s="31">
        <f>TRUNC(((H390+J390+L390)+(H391+J391+L391)),0)</f>
        <v>2011105</v>
      </c>
      <c r="M392" s="22" t="s">
        <v>2859</v>
      </c>
      <c r="N392" t="s">
        <v>2859</v>
      </c>
      <c r="P392" t="s">
        <v>1745</v>
      </c>
      <c r="Q392" t="s">
        <v>2859</v>
      </c>
      <c r="R392" t="s">
        <v>2417</v>
      </c>
      <c r="X392" t="s">
        <v>1424</v>
      </c>
    </row>
    <row r="393" spans="1:61" ht="18.399999999999999" customHeight="1" x14ac:dyDescent="0.15">
      <c r="A393" s="57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58"/>
    </row>
    <row r="394" spans="1:61" ht="18.399999999999999" customHeight="1" x14ac:dyDescent="0.15">
      <c r="A394" s="13" t="s">
        <v>2160</v>
      </c>
      <c r="B394" s="2" t="s">
        <v>916</v>
      </c>
      <c r="C394" s="2">
        <v>1</v>
      </c>
      <c r="D394" s="2" t="s">
        <v>2293</v>
      </c>
      <c r="F394" s="31">
        <f t="shared" ref="F394:F403" si="55">H394+J394+L394</f>
        <v>11947341</v>
      </c>
      <c r="H394" s="31">
        <f>TRUNC(H403,0)</f>
        <v>0</v>
      </c>
      <c r="J394" s="31">
        <f>TRUNC(J403,0)</f>
        <v>0</v>
      </c>
      <c r="L394" s="31">
        <f>TRUNC(L403,0)</f>
        <v>11947341</v>
      </c>
      <c r="M394" s="22" t="s">
        <v>2859</v>
      </c>
      <c r="N394" t="s">
        <v>2182</v>
      </c>
      <c r="O394" t="s">
        <v>2391</v>
      </c>
    </row>
    <row r="395" spans="1:61" ht="18.399999999999999" customHeight="1" x14ac:dyDescent="0.15">
      <c r="A395" s="13" t="s">
        <v>830</v>
      </c>
      <c r="B395" s="2" t="s">
        <v>590</v>
      </c>
      <c r="C395" s="2">
        <v>47.3</v>
      </c>
      <c r="D395" s="2" t="s">
        <v>2212</v>
      </c>
      <c r="E395" s="31">
        <f t="shared" ref="E395:E403" si="56">G395+I395+K395</f>
        <v>46353</v>
      </c>
      <c r="F395" s="31">
        <f t="shared" si="55"/>
        <v>2192495</v>
      </c>
      <c r="G395" s="31">
        <f>일위대가목록!F45</f>
        <v>11819</v>
      </c>
      <c r="H395" s="31">
        <f t="shared" ref="H395:H402" si="57">TRUNC(G395*C395,0)</f>
        <v>559038</v>
      </c>
      <c r="I395" s="31">
        <f>일위대가목록!G45</f>
        <v>34193</v>
      </c>
      <c r="J395" s="31">
        <f t="shared" ref="J395:J402" si="58">TRUNC(I395*C395,0)</f>
        <v>1617328</v>
      </c>
      <c r="K395" s="31">
        <f>일위대가목록!H45</f>
        <v>341</v>
      </c>
      <c r="L395" s="31">
        <f t="shared" ref="L395:L402" si="59">TRUNC(K395*C395,0)</f>
        <v>16129</v>
      </c>
      <c r="M395" s="22" t="s">
        <v>829</v>
      </c>
      <c r="N395" t="s">
        <v>2859</v>
      </c>
      <c r="P395" t="s">
        <v>322</v>
      </c>
      <c r="Q395" t="s">
        <v>1832</v>
      </c>
      <c r="R395" t="s">
        <v>754</v>
      </c>
      <c r="T395" t="s">
        <v>1773</v>
      </c>
      <c r="BI395" s="34" t="str">
        <f>HYPERLINK("#일위대가목록!A45","K3060116 →")</f>
        <v>K3060116 →</v>
      </c>
    </row>
    <row r="396" spans="1:61" ht="18.399999999999999" customHeight="1" x14ac:dyDescent="0.15">
      <c r="A396" s="13" t="s">
        <v>440</v>
      </c>
      <c r="B396" s="2" t="s">
        <v>413</v>
      </c>
      <c r="C396" s="2">
        <v>23.59</v>
      </c>
      <c r="D396" s="2" t="s">
        <v>1085</v>
      </c>
      <c r="E396" s="31">
        <f t="shared" si="56"/>
        <v>34252</v>
      </c>
      <c r="F396" s="31">
        <f t="shared" si="55"/>
        <v>808002</v>
      </c>
      <c r="G396" s="31">
        <f>일위대가목록!F19</f>
        <v>2832</v>
      </c>
      <c r="H396" s="31">
        <f t="shared" si="57"/>
        <v>66806</v>
      </c>
      <c r="I396" s="31">
        <f>일위대가목록!G19</f>
        <v>25476</v>
      </c>
      <c r="J396" s="31">
        <f t="shared" si="58"/>
        <v>600978</v>
      </c>
      <c r="K396" s="31">
        <f>일위대가목록!H19</f>
        <v>5944</v>
      </c>
      <c r="L396" s="31">
        <f t="shared" si="59"/>
        <v>140218</v>
      </c>
      <c r="M396" s="22" t="s">
        <v>829</v>
      </c>
      <c r="N396" t="s">
        <v>2859</v>
      </c>
      <c r="P396" t="s">
        <v>2491</v>
      </c>
      <c r="Q396" t="s">
        <v>1832</v>
      </c>
      <c r="R396" t="s">
        <v>859</v>
      </c>
      <c r="T396" t="s">
        <v>1314</v>
      </c>
      <c r="BI396" s="34" t="str">
        <f>HYPERLINK("#일위대가목록!A19","K3032412 →")</f>
        <v>K3032412 →</v>
      </c>
    </row>
    <row r="397" spans="1:61" ht="18.399999999999999" customHeight="1" x14ac:dyDescent="0.15">
      <c r="A397" s="13" t="s">
        <v>2198</v>
      </c>
      <c r="B397" s="2" t="s">
        <v>2859</v>
      </c>
      <c r="C397" s="2">
        <v>23.59</v>
      </c>
      <c r="D397" s="2" t="s">
        <v>1085</v>
      </c>
      <c r="E397" s="31">
        <f t="shared" si="56"/>
        <v>54514</v>
      </c>
      <c r="F397" s="31">
        <f t="shared" si="55"/>
        <v>1285984</v>
      </c>
      <c r="G397" s="31">
        <f>일위대가목록!F13</f>
        <v>8029</v>
      </c>
      <c r="H397" s="31">
        <f t="shared" si="57"/>
        <v>189404</v>
      </c>
      <c r="I397" s="31">
        <f>일위대가목록!G13</f>
        <v>31736</v>
      </c>
      <c r="J397" s="31">
        <f t="shared" si="58"/>
        <v>748652</v>
      </c>
      <c r="K397" s="31">
        <f>일위대가목록!H13</f>
        <v>14749</v>
      </c>
      <c r="L397" s="31">
        <f t="shared" si="59"/>
        <v>347928</v>
      </c>
      <c r="M397" s="22" t="s">
        <v>829</v>
      </c>
      <c r="N397" t="s">
        <v>2859</v>
      </c>
      <c r="P397" t="s">
        <v>1745</v>
      </c>
      <c r="Q397" t="s">
        <v>1832</v>
      </c>
      <c r="R397" t="s">
        <v>608</v>
      </c>
      <c r="T397" t="s">
        <v>1314</v>
      </c>
      <c r="BI397" s="34" t="str">
        <f>HYPERLINK("#일위대가목록!A13","K2010330 →")</f>
        <v>K2010330 →</v>
      </c>
    </row>
    <row r="398" spans="1:61" ht="18.399999999999999" customHeight="1" x14ac:dyDescent="0.15">
      <c r="A398" s="13" t="s">
        <v>816</v>
      </c>
      <c r="B398" s="2" t="s">
        <v>3</v>
      </c>
      <c r="C398" s="2">
        <v>3.88</v>
      </c>
      <c r="D398" s="2" t="s">
        <v>1085</v>
      </c>
      <c r="E398" s="31">
        <f t="shared" si="56"/>
        <v>28187</v>
      </c>
      <c r="F398" s="31">
        <f t="shared" si="55"/>
        <v>109365</v>
      </c>
      <c r="G398" s="31">
        <f>일위대가목록!F18</f>
        <v>2498</v>
      </c>
      <c r="H398" s="31">
        <f t="shared" si="57"/>
        <v>9692</v>
      </c>
      <c r="I398" s="31">
        <f>일위대가목록!G18</f>
        <v>22448</v>
      </c>
      <c r="J398" s="31">
        <f t="shared" si="58"/>
        <v>87098</v>
      </c>
      <c r="K398" s="31">
        <f>일위대가목록!H18</f>
        <v>3241</v>
      </c>
      <c r="L398" s="31">
        <f t="shared" si="59"/>
        <v>12575</v>
      </c>
      <c r="M398" s="22" t="s">
        <v>829</v>
      </c>
      <c r="N398" t="s">
        <v>2859</v>
      </c>
      <c r="P398" t="s">
        <v>1030</v>
      </c>
      <c r="Q398" t="s">
        <v>1832</v>
      </c>
      <c r="R398" t="s">
        <v>1363</v>
      </c>
      <c r="T398" t="s">
        <v>1314</v>
      </c>
      <c r="BI398" s="34" t="str">
        <f>HYPERLINK("#일위대가목록!A18","K3021812 →")</f>
        <v>K3021812 →</v>
      </c>
    </row>
    <row r="399" spans="1:61" ht="18.399999999999999" customHeight="1" x14ac:dyDescent="0.15">
      <c r="A399" s="13" t="s">
        <v>1109</v>
      </c>
      <c r="B399" s="2" t="s">
        <v>938</v>
      </c>
      <c r="C399" s="2">
        <v>3.88</v>
      </c>
      <c r="D399" s="2" t="s">
        <v>1085</v>
      </c>
      <c r="E399" s="31">
        <f t="shared" si="56"/>
        <v>33020</v>
      </c>
      <c r="F399" s="31">
        <f t="shared" si="55"/>
        <v>128115</v>
      </c>
      <c r="G399" s="31">
        <f>일위대가목록!F14</f>
        <v>4276</v>
      </c>
      <c r="H399" s="31">
        <f t="shared" si="57"/>
        <v>16590</v>
      </c>
      <c r="I399" s="31">
        <f>일위대가목록!G14</f>
        <v>20885</v>
      </c>
      <c r="J399" s="31">
        <f t="shared" si="58"/>
        <v>81033</v>
      </c>
      <c r="K399" s="31">
        <f>일위대가목록!H14</f>
        <v>7859</v>
      </c>
      <c r="L399" s="31">
        <f t="shared" si="59"/>
        <v>30492</v>
      </c>
      <c r="M399" s="22" t="s">
        <v>829</v>
      </c>
      <c r="N399" t="s">
        <v>2859</v>
      </c>
      <c r="P399" t="s">
        <v>267</v>
      </c>
      <c r="Q399" t="s">
        <v>1832</v>
      </c>
      <c r="R399" t="s">
        <v>2077</v>
      </c>
      <c r="T399" t="s">
        <v>1314</v>
      </c>
      <c r="BI399" s="34" t="str">
        <f>HYPERLINK("#일위대가목록!A14","K2010310 →")</f>
        <v>K2010310 →</v>
      </c>
    </row>
    <row r="400" spans="1:61" ht="18.399999999999999" customHeight="1" x14ac:dyDescent="0.15">
      <c r="A400" s="13" t="s">
        <v>2266</v>
      </c>
      <c r="B400" s="2" t="s">
        <v>2859</v>
      </c>
      <c r="C400" s="2">
        <v>23.27</v>
      </c>
      <c r="D400" s="2" t="s">
        <v>1085</v>
      </c>
      <c r="E400" s="31">
        <f t="shared" si="56"/>
        <v>39788</v>
      </c>
      <c r="F400" s="31">
        <f t="shared" si="55"/>
        <v>925866</v>
      </c>
      <c r="G400" s="31">
        <f>일위대가목록!F43</f>
        <v>27789</v>
      </c>
      <c r="H400" s="31">
        <f t="shared" si="57"/>
        <v>646650</v>
      </c>
      <c r="I400" s="31">
        <f>일위대가목록!G43</f>
        <v>10816</v>
      </c>
      <c r="J400" s="31">
        <f t="shared" si="58"/>
        <v>251688</v>
      </c>
      <c r="K400" s="31">
        <f>일위대가목록!H43</f>
        <v>1183</v>
      </c>
      <c r="L400" s="31">
        <f t="shared" si="59"/>
        <v>27528</v>
      </c>
      <c r="M400" s="22" t="s">
        <v>829</v>
      </c>
      <c r="N400" t="s">
        <v>2859</v>
      </c>
      <c r="P400" t="s">
        <v>2435</v>
      </c>
      <c r="Q400" t="s">
        <v>1832</v>
      </c>
      <c r="R400" t="s">
        <v>2655</v>
      </c>
      <c r="T400" t="s">
        <v>1773</v>
      </c>
      <c r="BI400" s="34" t="str">
        <f>HYPERLINK("#일위대가목록!A43","K2030210 →")</f>
        <v>K2030210 →</v>
      </c>
    </row>
    <row r="401" spans="1:61" ht="18.399999999999999" customHeight="1" x14ac:dyDescent="0.15">
      <c r="A401" s="13" t="s">
        <v>2494</v>
      </c>
      <c r="B401" s="2" t="s">
        <v>2343</v>
      </c>
      <c r="C401" s="2">
        <v>0.80100000000000005</v>
      </c>
      <c r="D401" s="2" t="s">
        <v>2471</v>
      </c>
      <c r="E401" s="31">
        <f t="shared" si="56"/>
        <v>961592</v>
      </c>
      <c r="F401" s="31">
        <f t="shared" si="55"/>
        <v>770233</v>
      </c>
      <c r="G401" s="31">
        <f>일위대가목록!F46</f>
        <v>13840</v>
      </c>
      <c r="H401" s="31">
        <f t="shared" si="57"/>
        <v>11085</v>
      </c>
      <c r="I401" s="31">
        <f>일위대가목록!G46</f>
        <v>929169</v>
      </c>
      <c r="J401" s="31">
        <f t="shared" si="58"/>
        <v>744264</v>
      </c>
      <c r="K401" s="31">
        <f>일위대가목록!H46</f>
        <v>18583</v>
      </c>
      <c r="L401" s="31">
        <f t="shared" si="59"/>
        <v>14884</v>
      </c>
      <c r="M401" s="22" t="s">
        <v>829</v>
      </c>
      <c r="N401" t="s">
        <v>2859</v>
      </c>
      <c r="P401" t="s">
        <v>1695</v>
      </c>
      <c r="Q401" t="s">
        <v>1832</v>
      </c>
      <c r="R401" t="s">
        <v>204</v>
      </c>
      <c r="T401" t="s">
        <v>1773</v>
      </c>
      <c r="BI401" s="34" t="str">
        <f>HYPERLINK("#일위대가목록!A46","K3061110 →")</f>
        <v>K3061110 →</v>
      </c>
    </row>
    <row r="402" spans="1:61" ht="18.399999999999999" customHeight="1" x14ac:dyDescent="0.15">
      <c r="A402" s="13" t="s">
        <v>463</v>
      </c>
      <c r="B402" s="2" t="s">
        <v>916</v>
      </c>
      <c r="C402" s="2">
        <v>1</v>
      </c>
      <c r="D402" s="2" t="s">
        <v>1790</v>
      </c>
      <c r="E402" s="31">
        <f t="shared" si="56"/>
        <v>5727281</v>
      </c>
      <c r="F402" s="31">
        <f t="shared" si="55"/>
        <v>5727281</v>
      </c>
      <c r="G402" s="31">
        <f>일위대가목록!F40</f>
        <v>0</v>
      </c>
      <c r="H402" s="31">
        <f t="shared" si="57"/>
        <v>0</v>
      </c>
      <c r="I402" s="31">
        <f>일위대가목록!G40</f>
        <v>0</v>
      </c>
      <c r="J402" s="31">
        <f t="shared" si="58"/>
        <v>0</v>
      </c>
      <c r="K402" s="31">
        <f>일위대가목록!H40</f>
        <v>5727281</v>
      </c>
      <c r="L402" s="31">
        <f t="shared" si="59"/>
        <v>5727281</v>
      </c>
      <c r="M402" s="22" t="s">
        <v>829</v>
      </c>
      <c r="N402" t="s">
        <v>2859</v>
      </c>
      <c r="P402" t="s">
        <v>979</v>
      </c>
      <c r="Q402" t="s">
        <v>1832</v>
      </c>
      <c r="R402" t="s">
        <v>62</v>
      </c>
      <c r="T402" t="s">
        <v>2417</v>
      </c>
      <c r="AA402" s="40" t="s">
        <v>907</v>
      </c>
      <c r="AB402" s="10">
        <f>TRUNC(((일위대가_호표!H395+일위대가_호표!J395+일위대가_호표!L395)+(일위대가_호표!H396+일위대가_호표!J396+일위대가_호표!L396)+(일위대가_호표!H397+일위대가_호표!J397+일위대가_호표!L397)+(일위대가_호표!H398+일위대가_호표!J398+일위대가_호표!L398)+(일위대가_호표!H399+일위대가_호표!J399+일위대가_호표!L399)+(일위대가_호표!H400+일위대가_호표!J400+일위대가_호표!L400)+(일위대가_호표!H401+일위대가_호표!J401+일위대가_호표!L401)+(일위대가_호표!H402+일위대가_호표!J402+일위대가_호표!L402)),0)</f>
        <v>11947341</v>
      </c>
      <c r="AC402" s="40" t="s">
        <v>1545</v>
      </c>
      <c r="AD402" s="9">
        <f>$AB402</f>
        <v>11947341</v>
      </c>
      <c r="BI402" s="34" t="str">
        <f>HYPERLINK("#일위대가목록!A40","WD26D000 →")</f>
        <v>WD26D000 →</v>
      </c>
    </row>
    <row r="403" spans="1:61" ht="18.399999999999999" customHeight="1" x14ac:dyDescent="0.15">
      <c r="A403" s="13" t="s">
        <v>1780</v>
      </c>
      <c r="B403" s="2" t="s">
        <v>997</v>
      </c>
      <c r="C403" s="2">
        <v>1</v>
      </c>
      <c r="D403" s="2" t="s">
        <v>2293</v>
      </c>
      <c r="E403" s="31">
        <f t="shared" si="56"/>
        <v>0</v>
      </c>
      <c r="F403" s="31">
        <f t="shared" si="55"/>
        <v>11947341</v>
      </c>
      <c r="G403" s="1"/>
      <c r="H403" s="31">
        <v>0</v>
      </c>
      <c r="I403" s="1"/>
      <c r="J403" s="31">
        <v>0</v>
      </c>
      <c r="K403" s="1"/>
      <c r="L403" s="31">
        <f>TRUNC((TRUNC(((H395+J395+L395)+(H396+J396+L396)+(H397+J397+L397)+(H398+J398+L398)+(H399+J399+L399)+(H400+J400+L400)+(H401+J401+L401)+(H402+J402+L402)),0)),0)</f>
        <v>11947341</v>
      </c>
      <c r="M403" s="22" t="s">
        <v>2859</v>
      </c>
      <c r="N403" t="s">
        <v>2859</v>
      </c>
      <c r="P403" t="s">
        <v>223</v>
      </c>
      <c r="Q403" t="s">
        <v>2859</v>
      </c>
      <c r="R403" t="s">
        <v>2417</v>
      </c>
      <c r="X403" t="s">
        <v>1535</v>
      </c>
    </row>
    <row r="404" spans="1:61" ht="18.399999999999999" customHeight="1" x14ac:dyDescent="0.15">
      <c r="A404" s="57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58"/>
    </row>
    <row r="405" spans="1:61" ht="18.399999999999999" customHeight="1" x14ac:dyDescent="0.15">
      <c r="A405" s="13" t="s">
        <v>1017</v>
      </c>
      <c r="B405" s="2" t="s">
        <v>2859</v>
      </c>
      <c r="C405" s="2">
        <v>1</v>
      </c>
      <c r="D405" s="2" t="s">
        <v>1091</v>
      </c>
      <c r="F405" s="31">
        <f t="shared" ref="F405:F410" si="60">H405+J405+L405</f>
        <v>20315</v>
      </c>
      <c r="H405" s="31">
        <f>TRUNC(H406+H407+H408+H409+H410,0)</f>
        <v>604</v>
      </c>
      <c r="J405" s="31">
        <f>TRUNC(J406+J407+J408+J409+J410,0)</f>
        <v>15001</v>
      </c>
      <c r="L405" s="31">
        <f>TRUNC(L406+L407+L408+L409+L410,0)</f>
        <v>4710</v>
      </c>
      <c r="M405" s="22" t="s">
        <v>2859</v>
      </c>
      <c r="N405" t="s">
        <v>2859</v>
      </c>
      <c r="O405" t="s">
        <v>1171</v>
      </c>
    </row>
    <row r="406" spans="1:61" ht="18.399999999999999" customHeight="1" x14ac:dyDescent="0.15">
      <c r="A406" s="13" t="s">
        <v>2448</v>
      </c>
      <c r="B406" s="2" t="s">
        <v>2483</v>
      </c>
      <c r="C406" s="2">
        <f>일위대가_별표!$AD1276</f>
        <v>6.6699999999999995E-2</v>
      </c>
      <c r="D406" s="2" t="s">
        <v>2380</v>
      </c>
      <c r="E406" s="31">
        <f>G406+I406+K406</f>
        <v>94318</v>
      </c>
      <c r="F406" s="31">
        <f t="shared" si="60"/>
        <v>6289</v>
      </c>
      <c r="G406" s="31">
        <f>중기사용료목록!E25</f>
        <v>7341</v>
      </c>
      <c r="H406" s="31">
        <f>TRUNC(G406*C406,0)</f>
        <v>489</v>
      </c>
      <c r="I406" s="31">
        <f>중기사용료목록!F25</f>
        <v>56874</v>
      </c>
      <c r="J406" s="31">
        <f>TRUNC(I406*C406,0)</f>
        <v>3793</v>
      </c>
      <c r="K406" s="31">
        <f>중기사용료목록!G25</f>
        <v>30103</v>
      </c>
      <c r="L406" s="31">
        <f>TRUNC(K406*C406,0)</f>
        <v>2007</v>
      </c>
      <c r="M406" s="22" t="s">
        <v>2859</v>
      </c>
      <c r="N406" t="s">
        <v>2859</v>
      </c>
      <c r="P406" t="s">
        <v>322</v>
      </c>
      <c r="Q406" t="s">
        <v>2859</v>
      </c>
      <c r="R406" t="s">
        <v>1339</v>
      </c>
      <c r="BI406" s="34" t="str">
        <f>HYPERLINK("#중기사용료목록!A25","E0021040010 →")</f>
        <v>E0021040010 →</v>
      </c>
    </row>
    <row r="407" spans="1:61" ht="18.399999999999999" customHeight="1" x14ac:dyDescent="0.15">
      <c r="A407" s="13" t="s">
        <v>749</v>
      </c>
      <c r="B407" s="2" t="s">
        <v>2859</v>
      </c>
      <c r="C407" s="2">
        <f>일위대가_별표!$AD1279</f>
        <v>1.67E-2</v>
      </c>
      <c r="D407" s="2" t="s">
        <v>2663</v>
      </c>
      <c r="E407" s="31">
        <f>G407+I407+K407</f>
        <v>282352</v>
      </c>
      <c r="F407" s="31">
        <f t="shared" si="60"/>
        <v>4715</v>
      </c>
      <c r="G407" s="31">
        <v>0</v>
      </c>
      <c r="H407" s="31"/>
      <c r="I407" s="31">
        <f>노임!D6</f>
        <v>282352</v>
      </c>
      <c r="J407" s="31">
        <f>TRUNC(I407*C407,0)</f>
        <v>4715</v>
      </c>
      <c r="K407" s="31">
        <v>0</v>
      </c>
      <c r="L407" s="31"/>
      <c r="M407" s="22" t="s">
        <v>2859</v>
      </c>
      <c r="N407" t="s">
        <v>2859</v>
      </c>
      <c r="P407" t="s">
        <v>2491</v>
      </c>
      <c r="Q407" t="s">
        <v>2859</v>
      </c>
      <c r="R407" t="s">
        <v>1173</v>
      </c>
      <c r="BI407" s="34" t="str">
        <f>HYPERLINK("#노임!A6","L015 →")</f>
        <v>L015 →</v>
      </c>
    </row>
    <row r="408" spans="1:61" ht="18.399999999999999" customHeight="1" x14ac:dyDescent="0.15">
      <c r="A408" s="13" t="s">
        <v>891</v>
      </c>
      <c r="B408" s="2" t="s">
        <v>2859</v>
      </c>
      <c r="C408" s="2">
        <f>일위대가_별표!$AD1282</f>
        <v>8.3000000000000001E-3</v>
      </c>
      <c r="D408" s="2" t="s">
        <v>2663</v>
      </c>
      <c r="E408" s="31">
        <f>G408+I408+K408</f>
        <v>167081</v>
      </c>
      <c r="F408" s="31">
        <f t="shared" si="60"/>
        <v>1386</v>
      </c>
      <c r="G408" s="31">
        <v>0</v>
      </c>
      <c r="H408" s="31"/>
      <c r="I408" s="31">
        <f>노임!D13</f>
        <v>167081</v>
      </c>
      <c r="J408" s="31">
        <f>TRUNC(I408*C408,0)</f>
        <v>1386</v>
      </c>
      <c r="K408" s="31">
        <v>0</v>
      </c>
      <c r="L408" s="31"/>
      <c r="M408" s="22" t="s">
        <v>2859</v>
      </c>
      <c r="N408" t="s">
        <v>2859</v>
      </c>
      <c r="P408" t="s">
        <v>1745</v>
      </c>
      <c r="Q408" t="s">
        <v>2859</v>
      </c>
      <c r="R408" t="s">
        <v>485</v>
      </c>
      <c r="BI408" s="34" t="str">
        <f>HYPERLINK("#노임!A13","L085 →")</f>
        <v>L085 →</v>
      </c>
    </row>
    <row r="409" spans="1:61" ht="18.399999999999999" customHeight="1" x14ac:dyDescent="0.15">
      <c r="A409" s="13" t="s">
        <v>2258</v>
      </c>
      <c r="B409" s="2" t="s">
        <v>2483</v>
      </c>
      <c r="C409" s="2">
        <f>일위대가_별표!$AD1305</f>
        <v>8.9800000000000005E-2</v>
      </c>
      <c r="D409" s="2" t="s">
        <v>2380</v>
      </c>
      <c r="E409" s="31">
        <f>G409+I409+K409</f>
        <v>86977</v>
      </c>
      <c r="F409" s="31">
        <f t="shared" si="60"/>
        <v>7810</v>
      </c>
      <c r="G409" s="31">
        <f>중기사용료목록!E27</f>
        <v>0</v>
      </c>
      <c r="H409" s="31">
        <f>TRUNC(G409*C409,0)</f>
        <v>0</v>
      </c>
      <c r="I409" s="31">
        <f>중기사용료목록!F27</f>
        <v>56874</v>
      </c>
      <c r="J409" s="31">
        <f>TRUNC(I409*C409,0)</f>
        <v>5107</v>
      </c>
      <c r="K409" s="31">
        <f>중기사용료목록!G27</f>
        <v>30103</v>
      </c>
      <c r="L409" s="31">
        <f>TRUNC(K409*C409,0)</f>
        <v>2703</v>
      </c>
      <c r="M409" s="22" t="s">
        <v>2859</v>
      </c>
      <c r="N409" t="s">
        <v>2859</v>
      </c>
      <c r="P409" t="s">
        <v>1030</v>
      </c>
      <c r="Q409" t="s">
        <v>2859</v>
      </c>
      <c r="R409" t="s">
        <v>1023</v>
      </c>
      <c r="BI409" s="34" t="str">
        <f>HYPERLINK("#중기사용료목록!A27","E0021040012 →")</f>
        <v>E0021040012 →</v>
      </c>
    </row>
    <row r="410" spans="1:61" ht="18.399999999999999" customHeight="1" x14ac:dyDescent="0.15">
      <c r="A410" s="13" t="s">
        <v>455</v>
      </c>
      <c r="B410" s="2" t="s">
        <v>2483</v>
      </c>
      <c r="C410" s="2">
        <f>일위대가_별표!$AH1328</f>
        <v>1.5699999999999999E-2</v>
      </c>
      <c r="D410" s="2" t="s">
        <v>2380</v>
      </c>
      <c r="E410" s="31">
        <f>G410+I410+K410</f>
        <v>7341</v>
      </c>
      <c r="F410" s="31">
        <f t="shared" si="60"/>
        <v>115</v>
      </c>
      <c r="G410" s="31">
        <f>중기사용료목록!E26</f>
        <v>7341</v>
      </c>
      <c r="H410" s="31">
        <f>TRUNC(G410*C410,0)</f>
        <v>115</v>
      </c>
      <c r="I410" s="31">
        <f>중기사용료목록!F26</f>
        <v>0</v>
      </c>
      <c r="J410" s="31">
        <f>TRUNC(I410*C410,0)</f>
        <v>0</v>
      </c>
      <c r="K410" s="31">
        <f>중기사용료목록!G26</f>
        <v>0</v>
      </c>
      <c r="L410" s="31">
        <f>TRUNC(K410*C410,0)</f>
        <v>0</v>
      </c>
      <c r="M410" s="22" t="s">
        <v>2859</v>
      </c>
      <c r="N410" t="s">
        <v>2859</v>
      </c>
      <c r="P410" t="s">
        <v>267</v>
      </c>
      <c r="Q410" t="s">
        <v>2859</v>
      </c>
      <c r="R410" t="s">
        <v>2539</v>
      </c>
      <c r="BI410" s="34" t="str">
        <f>HYPERLINK("#중기사용료목록!A26","E0021040011 →")</f>
        <v>E0021040011 →</v>
      </c>
    </row>
    <row r="411" spans="1:61" ht="18.399999999999999" customHeight="1" x14ac:dyDescent="0.15">
      <c r="A411" s="57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58"/>
    </row>
    <row r="412" spans="1:61" ht="18.399999999999999" customHeight="1" x14ac:dyDescent="0.15">
      <c r="A412" s="13" t="s">
        <v>165</v>
      </c>
      <c r="B412" s="2" t="s">
        <v>2859</v>
      </c>
      <c r="C412" s="2">
        <v>1</v>
      </c>
      <c r="D412" s="2" t="s">
        <v>2831</v>
      </c>
      <c r="F412" s="31">
        <f>H412+J412+L412</f>
        <v>16</v>
      </c>
      <c r="H412" s="31">
        <f>TRUNC(H413+H414,0)</f>
        <v>0</v>
      </c>
      <c r="J412" s="31">
        <f>TRUNC(J413+J414,0)</f>
        <v>0</v>
      </c>
      <c r="L412" s="31">
        <f>TRUNC(L413+L414,0)</f>
        <v>16</v>
      </c>
      <c r="M412" s="22" t="s">
        <v>2859</v>
      </c>
      <c r="N412" t="s">
        <v>2859</v>
      </c>
      <c r="O412" t="s">
        <v>1798</v>
      </c>
    </row>
    <row r="413" spans="1:61" ht="18.399999999999999" customHeight="1" x14ac:dyDescent="0.15">
      <c r="A413" s="13" t="s">
        <v>2521</v>
      </c>
      <c r="B413" s="2" t="s">
        <v>358</v>
      </c>
      <c r="C413" s="2">
        <f>일위대가_별표!$AH1340</f>
        <v>1E-4</v>
      </c>
      <c r="D413" s="2" t="s">
        <v>568</v>
      </c>
      <c r="E413" s="31">
        <f>G413+I413+K413</f>
        <v>159270</v>
      </c>
      <c r="F413" s="31">
        <f>H413+J413+L413</f>
        <v>15</v>
      </c>
      <c r="G413" s="31">
        <f>경비!D3</f>
        <v>0</v>
      </c>
      <c r="H413" s="31">
        <f>TRUNC(G413*C413,0)</f>
        <v>0</v>
      </c>
      <c r="I413" s="31">
        <f>경비!E3</f>
        <v>0</v>
      </c>
      <c r="J413" s="31">
        <f>TRUNC(I413*C413,0)</f>
        <v>0</v>
      </c>
      <c r="K413" s="31">
        <f>경비!F3</f>
        <v>159270</v>
      </c>
      <c r="L413" s="31">
        <f>TRUNC(K413*C413,0)</f>
        <v>15</v>
      </c>
      <c r="M413" s="22" t="s">
        <v>2859</v>
      </c>
      <c r="N413" t="s">
        <v>2859</v>
      </c>
      <c r="P413" t="s">
        <v>322</v>
      </c>
      <c r="Q413" t="s">
        <v>2859</v>
      </c>
      <c r="R413" t="s">
        <v>957</v>
      </c>
      <c r="BI413" s="34" t="str">
        <f>HYPERLINK("#경비!A3","GS012 →")</f>
        <v>GS012 →</v>
      </c>
    </row>
    <row r="414" spans="1:61" ht="18.399999999999999" customHeight="1" x14ac:dyDescent="0.15">
      <c r="A414" s="13" t="s">
        <v>1005</v>
      </c>
      <c r="B414" s="2" t="s">
        <v>2859</v>
      </c>
      <c r="C414" s="2">
        <f>일위대가_별표!$AH1346</f>
        <v>1E-3</v>
      </c>
      <c r="D414" s="2" t="s">
        <v>2471</v>
      </c>
      <c r="E414" s="31">
        <f>G414+I414+K414</f>
        <v>1723.91</v>
      </c>
      <c r="F414" s="31">
        <f>H414+J414+L414</f>
        <v>1</v>
      </c>
      <c r="G414" s="31">
        <f>경비!D4</f>
        <v>0</v>
      </c>
      <c r="H414" s="31">
        <f>TRUNC(G414*C414,0)</f>
        <v>0</v>
      </c>
      <c r="I414" s="31">
        <f>경비!E4</f>
        <v>0</v>
      </c>
      <c r="J414" s="31">
        <f>TRUNC(I414*C414,0)</f>
        <v>0</v>
      </c>
      <c r="K414" s="31">
        <f>경비!F4</f>
        <v>1723.91</v>
      </c>
      <c r="L414" s="31">
        <f>TRUNC(K414*C414,0)</f>
        <v>1</v>
      </c>
      <c r="M414" s="22" t="s">
        <v>2859</v>
      </c>
      <c r="N414" t="s">
        <v>2859</v>
      </c>
      <c r="P414" t="s">
        <v>1745</v>
      </c>
      <c r="Q414" t="s">
        <v>2859</v>
      </c>
      <c r="R414" t="s">
        <v>1687</v>
      </c>
      <c r="BI414" s="34" t="str">
        <f>HYPERLINK("#경비!A4","GS1000 →")</f>
        <v>GS1000 →</v>
      </c>
    </row>
    <row r="415" spans="1:61" ht="18.399999999999999" customHeight="1" x14ac:dyDescent="0.15">
      <c r="A415" s="57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58"/>
    </row>
    <row r="416" spans="1:61" ht="18.399999999999999" customHeight="1" x14ac:dyDescent="0.15">
      <c r="A416" s="13" t="s">
        <v>1989</v>
      </c>
      <c r="B416" s="2" t="s">
        <v>553</v>
      </c>
      <c r="C416" s="2">
        <v>1</v>
      </c>
      <c r="D416" s="2" t="s">
        <v>2822</v>
      </c>
      <c r="F416" s="31">
        <f>H416+J416+L416</f>
        <v>5002</v>
      </c>
      <c r="H416" s="31">
        <f>TRUNC(H417+H418,0)</f>
        <v>299</v>
      </c>
      <c r="J416" s="31">
        <f>TRUNC(J417+J418,0)</f>
        <v>4324</v>
      </c>
      <c r="L416" s="31">
        <f>TRUNC(L417+L418,0)</f>
        <v>379</v>
      </c>
      <c r="M416" s="22" t="s">
        <v>2859</v>
      </c>
      <c r="N416" t="s">
        <v>2859</v>
      </c>
      <c r="O416" t="s">
        <v>2262</v>
      </c>
    </row>
    <row r="417" spans="1:61" ht="18.399999999999999" customHeight="1" x14ac:dyDescent="0.15">
      <c r="A417" s="13" t="s">
        <v>1621</v>
      </c>
      <c r="B417" s="2" t="s">
        <v>981</v>
      </c>
      <c r="C417" s="2">
        <f>일위대가_별표!$AD1362</f>
        <v>1.7299999999999999E-2</v>
      </c>
      <c r="D417" s="2" t="s">
        <v>2380</v>
      </c>
      <c r="E417" s="31">
        <f>G417+I417+K417</f>
        <v>96128</v>
      </c>
      <c r="F417" s="31">
        <f>H417+J417+L417</f>
        <v>1661</v>
      </c>
      <c r="G417" s="31">
        <f>중기사용료목록!E7</f>
        <v>17297</v>
      </c>
      <c r="H417" s="31">
        <f>TRUNC(G417*C417,0)</f>
        <v>299</v>
      </c>
      <c r="I417" s="31">
        <f>중기사용료목록!F7</f>
        <v>56874</v>
      </c>
      <c r="J417" s="31">
        <f>TRUNC(I417*C417,0)</f>
        <v>983</v>
      </c>
      <c r="K417" s="31">
        <f>중기사용료목록!G7</f>
        <v>21957</v>
      </c>
      <c r="L417" s="31">
        <f>TRUNC(K417*C417,0)</f>
        <v>379</v>
      </c>
      <c r="M417" s="22" t="s">
        <v>2859</v>
      </c>
      <c r="N417" t="s">
        <v>2859</v>
      </c>
      <c r="P417" t="s">
        <v>322</v>
      </c>
      <c r="Q417" t="s">
        <v>2859</v>
      </c>
      <c r="R417" t="s">
        <v>353</v>
      </c>
      <c r="BI417" s="34" t="str">
        <f>HYPERLINK("#중기사용료목록!A7","E0002010060 →")</f>
        <v>E0002010060 →</v>
      </c>
    </row>
    <row r="418" spans="1:61" ht="18.399999999999999" customHeight="1" x14ac:dyDescent="0.15">
      <c r="A418" s="13" t="s">
        <v>891</v>
      </c>
      <c r="B418" s="2" t="s">
        <v>2859</v>
      </c>
      <c r="C418" s="2">
        <f>일위대가_별표!$AD1365</f>
        <v>0.02</v>
      </c>
      <c r="D418" s="2" t="s">
        <v>2663</v>
      </c>
      <c r="E418" s="31">
        <f>G418+I418+K418</f>
        <v>167081</v>
      </c>
      <c r="F418" s="31">
        <f>H418+J418+L418</f>
        <v>3341</v>
      </c>
      <c r="G418" s="31">
        <v>0</v>
      </c>
      <c r="H418" s="31"/>
      <c r="I418" s="31">
        <f>노임!D13</f>
        <v>167081</v>
      </c>
      <c r="J418" s="31">
        <f>TRUNC(I418*C418,0)</f>
        <v>3341</v>
      </c>
      <c r="K418" s="31">
        <v>0</v>
      </c>
      <c r="L418" s="31"/>
      <c r="M418" s="22" t="s">
        <v>2859</v>
      </c>
      <c r="N418" t="s">
        <v>822</v>
      </c>
      <c r="P418" t="s">
        <v>2491</v>
      </c>
      <c r="Q418" t="s">
        <v>2859</v>
      </c>
      <c r="R418" t="s">
        <v>485</v>
      </c>
      <c r="BI418" s="34" t="str">
        <f>HYPERLINK("#노임!A13","L085 →")</f>
        <v>L085 →</v>
      </c>
    </row>
    <row r="419" spans="1:61" ht="18.399999999999999" customHeight="1" x14ac:dyDescent="0.15">
      <c r="A419" s="57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58"/>
    </row>
    <row r="420" spans="1:61" ht="18.399999999999999" customHeight="1" x14ac:dyDescent="0.15">
      <c r="A420" s="13" t="s">
        <v>846</v>
      </c>
      <c r="B420" s="2" t="s">
        <v>2436</v>
      </c>
      <c r="C420" s="2">
        <v>1</v>
      </c>
      <c r="D420" s="2" t="s">
        <v>2822</v>
      </c>
      <c r="F420" s="31">
        <f>H420+J420+L420</f>
        <v>1585</v>
      </c>
      <c r="H420" s="31">
        <f>TRUNC(H421,0)</f>
        <v>285</v>
      </c>
      <c r="J420" s="31">
        <f>TRUNC(J421,0)</f>
        <v>938</v>
      </c>
      <c r="L420" s="31">
        <f>TRUNC(L421,0)</f>
        <v>362</v>
      </c>
      <c r="M420" s="22" t="s">
        <v>2859</v>
      </c>
      <c r="N420" t="s">
        <v>2859</v>
      </c>
      <c r="O420" t="s">
        <v>2277</v>
      </c>
    </row>
    <row r="421" spans="1:61" ht="18.399999999999999" customHeight="1" x14ac:dyDescent="0.15">
      <c r="A421" s="13" t="s">
        <v>1621</v>
      </c>
      <c r="B421" s="2" t="s">
        <v>981</v>
      </c>
      <c r="C421" s="2">
        <f>일위대가_별표!$AD1382</f>
        <v>1.6500000000000001E-2</v>
      </c>
      <c r="D421" s="2" t="s">
        <v>2380</v>
      </c>
      <c r="E421" s="31">
        <f>G421+I421+K421</f>
        <v>96128</v>
      </c>
      <c r="F421" s="31">
        <f>H421+J421+L421</f>
        <v>1585</v>
      </c>
      <c r="G421" s="31">
        <f>중기사용료목록!E7</f>
        <v>17297</v>
      </c>
      <c r="H421" s="31">
        <f>TRUNC(G421*C421,0)</f>
        <v>285</v>
      </c>
      <c r="I421" s="31">
        <f>중기사용료목록!F7</f>
        <v>56874</v>
      </c>
      <c r="J421" s="31">
        <f>TRUNC(I421*C421,0)</f>
        <v>938</v>
      </c>
      <c r="K421" s="31">
        <f>중기사용료목록!G7</f>
        <v>21957</v>
      </c>
      <c r="L421" s="31">
        <f>TRUNC(K421*C421,0)</f>
        <v>362</v>
      </c>
      <c r="M421" s="22" t="s">
        <v>2859</v>
      </c>
      <c r="N421" t="s">
        <v>2859</v>
      </c>
      <c r="P421" t="s">
        <v>322</v>
      </c>
      <c r="Q421" t="s">
        <v>2859</v>
      </c>
      <c r="R421" t="s">
        <v>353</v>
      </c>
      <c r="BI421" s="34" t="str">
        <f>HYPERLINK("#중기사용료목록!A7","E0002010060 →")</f>
        <v>E0002010060 →</v>
      </c>
    </row>
    <row r="422" spans="1:61" ht="18.399999999999999" customHeight="1" x14ac:dyDescent="0.15">
      <c r="A422" s="57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58"/>
    </row>
    <row r="423" spans="1:61" ht="18.399999999999999" customHeight="1" x14ac:dyDescent="0.15">
      <c r="A423" s="13" t="s">
        <v>2451</v>
      </c>
      <c r="B423" s="2" t="s">
        <v>1190</v>
      </c>
      <c r="C423" s="2">
        <v>1</v>
      </c>
      <c r="D423" s="2" t="s">
        <v>1212</v>
      </c>
      <c r="F423" s="31">
        <f>H423+J423+L423</f>
        <v>414</v>
      </c>
      <c r="H423" s="31">
        <f>TRUNC(H424,0)</f>
        <v>20</v>
      </c>
      <c r="J423" s="31">
        <f>TRUNC(J424,0)</f>
        <v>386</v>
      </c>
      <c r="L423" s="31">
        <f>TRUNC(L424,0)</f>
        <v>8</v>
      </c>
      <c r="M423" s="22" t="s">
        <v>2859</v>
      </c>
      <c r="N423" t="s">
        <v>2859</v>
      </c>
      <c r="O423" t="s">
        <v>180</v>
      </c>
    </row>
    <row r="424" spans="1:61" ht="18.399999999999999" customHeight="1" x14ac:dyDescent="0.15">
      <c r="A424" s="13" t="s">
        <v>599</v>
      </c>
      <c r="B424" s="2" t="s">
        <v>2425</v>
      </c>
      <c r="C424" s="2">
        <f>일위대가_별표!$AD1394</f>
        <v>1.11E-2</v>
      </c>
      <c r="D424" s="2" t="s">
        <v>2380</v>
      </c>
      <c r="E424" s="31">
        <f>G424+I424+K424</f>
        <v>37398</v>
      </c>
      <c r="F424" s="31">
        <f>H424+J424+L424</f>
        <v>414</v>
      </c>
      <c r="G424" s="31">
        <f>중기사용료목록!E24</f>
        <v>1845</v>
      </c>
      <c r="H424" s="31">
        <f>TRUNC(G424*C424,0)</f>
        <v>20</v>
      </c>
      <c r="I424" s="31">
        <f>중기사용료목록!F24</f>
        <v>34803</v>
      </c>
      <c r="J424" s="31">
        <f>TRUNC(I424*C424,0)</f>
        <v>386</v>
      </c>
      <c r="K424" s="31">
        <f>중기사용료목록!G24</f>
        <v>750</v>
      </c>
      <c r="L424" s="31">
        <f>TRUNC(K424*C424,0)</f>
        <v>8</v>
      </c>
      <c r="M424" s="22" t="s">
        <v>2859</v>
      </c>
      <c r="N424" t="s">
        <v>2859</v>
      </c>
      <c r="P424" t="s">
        <v>322</v>
      </c>
      <c r="Q424" t="s">
        <v>2859</v>
      </c>
      <c r="R424" t="s">
        <v>871</v>
      </c>
      <c r="BI424" s="34" t="str">
        <f>HYPERLINK("#중기사용료목록!A24","E0017300015 →")</f>
        <v>E0017300015 →</v>
      </c>
    </row>
    <row r="425" spans="1:61" ht="18.399999999999999" customHeight="1" x14ac:dyDescent="0.15">
      <c r="A425" s="57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58"/>
    </row>
    <row r="426" spans="1:61" ht="18.399999999999999" customHeight="1" x14ac:dyDescent="0.15">
      <c r="A426" s="13" t="s">
        <v>1302</v>
      </c>
      <c r="B426" s="2" t="s">
        <v>1990</v>
      </c>
      <c r="C426" s="2">
        <v>1</v>
      </c>
      <c r="D426" s="2" t="s">
        <v>2822</v>
      </c>
      <c r="F426" s="31">
        <f>H426+J426+L426</f>
        <v>14311</v>
      </c>
      <c r="H426" s="31">
        <f>TRUNC(H427,0)</f>
        <v>1554</v>
      </c>
      <c r="J426" s="31">
        <f>TRUNC(J427,0)</f>
        <v>11235</v>
      </c>
      <c r="L426" s="31">
        <f>TRUNC(L427,0)</f>
        <v>1522</v>
      </c>
      <c r="M426" s="22" t="s">
        <v>2859</v>
      </c>
      <c r="N426" t="s">
        <v>2859</v>
      </c>
      <c r="O426" t="s">
        <v>783</v>
      </c>
    </row>
    <row r="427" spans="1:61" ht="18.399999999999999" customHeight="1" x14ac:dyDescent="0.15">
      <c r="A427" s="13" t="s">
        <v>456</v>
      </c>
      <c r="B427" s="2" t="s">
        <v>1990</v>
      </c>
      <c r="C427" s="2">
        <v>6.6667000000000002E-3</v>
      </c>
      <c r="D427" s="2" t="s">
        <v>2614</v>
      </c>
      <c r="E427" s="31">
        <f>G427+I427+K427</f>
        <v>2146792</v>
      </c>
      <c r="F427" s="31">
        <f>H427+J427+L427</f>
        <v>14311</v>
      </c>
      <c r="G427" s="31">
        <f>일위대가목록!F75</f>
        <v>233236</v>
      </c>
      <c r="H427" s="31">
        <f>TRUNC(G427*C427,0)</f>
        <v>1554</v>
      </c>
      <c r="I427" s="31">
        <f>일위대가목록!G75</f>
        <v>1685252</v>
      </c>
      <c r="J427" s="31">
        <f>TRUNC(I427*C427,0)</f>
        <v>11235</v>
      </c>
      <c r="K427" s="31">
        <f>일위대가목록!H75</f>
        <v>228304</v>
      </c>
      <c r="L427" s="31">
        <f>TRUNC(K427*C427,0)</f>
        <v>1522</v>
      </c>
      <c r="M427" s="22" t="s">
        <v>2859</v>
      </c>
      <c r="N427" t="s">
        <v>2859</v>
      </c>
      <c r="P427" t="s">
        <v>322</v>
      </c>
      <c r="Q427" t="s">
        <v>2859</v>
      </c>
      <c r="R427" t="s">
        <v>2320</v>
      </c>
      <c r="T427" t="s">
        <v>1773</v>
      </c>
      <c r="BI427" s="34" t="str">
        <f>HYPERLINK("#일위대가목록!A75","N0302 →")</f>
        <v>N0302 →</v>
      </c>
    </row>
    <row r="428" spans="1:61" ht="18.399999999999999" customHeight="1" x14ac:dyDescent="0.15">
      <c r="A428" s="57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58"/>
    </row>
    <row r="429" spans="1:61" ht="18.399999999999999" customHeight="1" x14ac:dyDescent="0.15">
      <c r="A429" s="13" t="s">
        <v>641</v>
      </c>
      <c r="B429" s="2" t="s">
        <v>458</v>
      </c>
      <c r="C429" s="2">
        <v>1</v>
      </c>
      <c r="D429" s="2" t="s">
        <v>1212</v>
      </c>
      <c r="F429" s="31">
        <f t="shared" ref="F429:F436" si="61">H429+J429+L429</f>
        <v>8925</v>
      </c>
      <c r="H429" s="31">
        <f>TRUNC(H431+H432+H433+H434+H435+H436,0)</f>
        <v>510</v>
      </c>
      <c r="J429" s="31">
        <f>TRUNC(J431+J432+J433+J434+J435+J436,0)</f>
        <v>7704</v>
      </c>
      <c r="L429" s="31">
        <f>TRUNC(L431+L432+L433+L434+L435+L436,0)</f>
        <v>711</v>
      </c>
      <c r="M429" s="22" t="s">
        <v>2859</v>
      </c>
      <c r="N429" t="s">
        <v>2859</v>
      </c>
      <c r="O429" t="s">
        <v>131</v>
      </c>
    </row>
    <row r="430" spans="1:61" ht="18.399999999999999" customHeight="1" x14ac:dyDescent="0.15">
      <c r="A430" s="13" t="s">
        <v>2194</v>
      </c>
      <c r="B430" s="2" t="s">
        <v>2859</v>
      </c>
      <c r="C430" s="2"/>
      <c r="D430" s="2" t="s">
        <v>2859</v>
      </c>
      <c r="E430" s="31">
        <f t="shared" ref="E430:E436" si="62">G430+I430+K430</f>
        <v>0</v>
      </c>
      <c r="F430" s="31">
        <f t="shared" si="61"/>
        <v>0</v>
      </c>
      <c r="G430" s="1"/>
      <c r="H430" s="31">
        <v>0</v>
      </c>
      <c r="I430" s="1"/>
      <c r="J430" s="31">
        <v>0</v>
      </c>
      <c r="K430" s="1"/>
      <c r="L430" s="31">
        <v>0</v>
      </c>
      <c r="M430" s="22" t="s">
        <v>2859</v>
      </c>
      <c r="N430" t="s">
        <v>2859</v>
      </c>
      <c r="P430" t="s">
        <v>322</v>
      </c>
      <c r="Q430" t="s">
        <v>2859</v>
      </c>
      <c r="R430" t="s">
        <v>2859</v>
      </c>
    </row>
    <row r="431" spans="1:61" ht="18.399999999999999" customHeight="1" x14ac:dyDescent="0.15">
      <c r="A431" s="13" t="s">
        <v>518</v>
      </c>
      <c r="B431" s="2" t="s">
        <v>2859</v>
      </c>
      <c r="C431" s="2">
        <v>0.01</v>
      </c>
      <c r="D431" s="2" t="s">
        <v>2663</v>
      </c>
      <c r="E431" s="31">
        <f t="shared" si="62"/>
        <v>266931</v>
      </c>
      <c r="F431" s="31">
        <f t="shared" si="61"/>
        <v>2669</v>
      </c>
      <c r="G431" s="31">
        <v>0</v>
      </c>
      <c r="H431" s="31"/>
      <c r="I431" s="31">
        <f>노임!D10</f>
        <v>266931</v>
      </c>
      <c r="J431" s="31">
        <f>TRUNC(I431*C431,0)</f>
        <v>2669</v>
      </c>
      <c r="K431" s="31">
        <v>0</v>
      </c>
      <c r="L431" s="31"/>
      <c r="M431" s="22" t="s">
        <v>2859</v>
      </c>
      <c r="N431" t="s">
        <v>2411</v>
      </c>
      <c r="P431" t="s">
        <v>2491</v>
      </c>
      <c r="Q431" t="s">
        <v>2859</v>
      </c>
      <c r="R431" t="s">
        <v>627</v>
      </c>
      <c r="BI431" s="34" t="str">
        <f>HYPERLINK("#노임!A10","L041 →")</f>
        <v>L041 →</v>
      </c>
    </row>
    <row r="432" spans="1:61" ht="18.399999999999999" customHeight="1" x14ac:dyDescent="0.15">
      <c r="A432" s="13" t="s">
        <v>932</v>
      </c>
      <c r="B432" s="2" t="s">
        <v>2859</v>
      </c>
      <c r="C432" s="2">
        <v>6.7000000000000002E-3</v>
      </c>
      <c r="D432" s="2" t="s">
        <v>2663</v>
      </c>
      <c r="E432" s="31">
        <f t="shared" si="62"/>
        <v>219321</v>
      </c>
      <c r="F432" s="31">
        <f t="shared" si="61"/>
        <v>1469</v>
      </c>
      <c r="G432" s="31">
        <v>0</v>
      </c>
      <c r="H432" s="31"/>
      <c r="I432" s="31">
        <f>노임!D12</f>
        <v>219321</v>
      </c>
      <c r="J432" s="31">
        <f>TRUNC(I432*C432,0)</f>
        <v>1469</v>
      </c>
      <c r="K432" s="31">
        <v>0</v>
      </c>
      <c r="L432" s="31"/>
      <c r="M432" s="22" t="s">
        <v>2859</v>
      </c>
      <c r="N432" t="s">
        <v>1746</v>
      </c>
      <c r="P432" t="s">
        <v>1745</v>
      </c>
      <c r="Q432" t="s">
        <v>2859</v>
      </c>
      <c r="R432" t="s">
        <v>2035</v>
      </c>
      <c r="BI432" s="34" t="str">
        <f>HYPERLINK("#노임!A12","L084 →")</f>
        <v>L084 →</v>
      </c>
    </row>
    <row r="433" spans="1:61" ht="18.399999999999999" customHeight="1" x14ac:dyDescent="0.15">
      <c r="A433" s="13" t="s">
        <v>891</v>
      </c>
      <c r="B433" s="2" t="s">
        <v>2859</v>
      </c>
      <c r="C433" s="2">
        <v>6.7000000000000002E-3</v>
      </c>
      <c r="D433" s="2" t="s">
        <v>2663</v>
      </c>
      <c r="E433" s="31">
        <f t="shared" si="62"/>
        <v>167081</v>
      </c>
      <c r="F433" s="31">
        <f t="shared" si="61"/>
        <v>1119</v>
      </c>
      <c r="G433" s="31">
        <v>0</v>
      </c>
      <c r="H433" s="31"/>
      <c r="I433" s="31">
        <f>노임!D13</f>
        <v>167081</v>
      </c>
      <c r="J433" s="31">
        <f>TRUNC(I433*C433,0)</f>
        <v>1119</v>
      </c>
      <c r="K433" s="31">
        <v>0</v>
      </c>
      <c r="L433" s="31"/>
      <c r="M433" s="22" t="s">
        <v>2859</v>
      </c>
      <c r="N433" t="s">
        <v>822</v>
      </c>
      <c r="P433" t="s">
        <v>1030</v>
      </c>
      <c r="Q433" t="s">
        <v>2859</v>
      </c>
      <c r="R433" t="s">
        <v>485</v>
      </c>
      <c r="BI433" s="34" t="str">
        <f>HYPERLINK("#노임!A13","L085 →")</f>
        <v>L085 →</v>
      </c>
    </row>
    <row r="434" spans="1:61" ht="18.399999999999999" customHeight="1" x14ac:dyDescent="0.15">
      <c r="A434" s="13" t="s">
        <v>599</v>
      </c>
      <c r="B434" s="2" t="s">
        <v>2425</v>
      </c>
      <c r="C434" s="2">
        <v>2.6700000000000002E-2</v>
      </c>
      <c r="D434" s="2" t="s">
        <v>2380</v>
      </c>
      <c r="E434" s="31">
        <f t="shared" si="62"/>
        <v>37398</v>
      </c>
      <c r="F434" s="31">
        <f t="shared" si="61"/>
        <v>998</v>
      </c>
      <c r="G434" s="31">
        <f>중기사용료목록!E24</f>
        <v>1845</v>
      </c>
      <c r="H434" s="31">
        <f>TRUNC(G434*C434,0)</f>
        <v>49</v>
      </c>
      <c r="I434" s="31">
        <f>중기사용료목록!F24</f>
        <v>34803</v>
      </c>
      <c r="J434" s="31">
        <f>TRUNC(I434*C434,0)</f>
        <v>929</v>
      </c>
      <c r="K434" s="31">
        <f>중기사용료목록!G24</f>
        <v>750</v>
      </c>
      <c r="L434" s="31">
        <f>TRUNC(K434*C434,0)</f>
        <v>20</v>
      </c>
      <c r="M434" s="22" t="s">
        <v>2859</v>
      </c>
      <c r="N434" t="s">
        <v>2859</v>
      </c>
      <c r="P434" t="s">
        <v>267</v>
      </c>
      <c r="Q434" t="s">
        <v>2859</v>
      </c>
      <c r="R434" t="s">
        <v>871</v>
      </c>
      <c r="BI434" s="34" t="str">
        <f>HYPERLINK("#중기사용료목록!A24","E0017300015 →")</f>
        <v>E0017300015 →</v>
      </c>
    </row>
    <row r="435" spans="1:61" ht="18.399999999999999" customHeight="1" x14ac:dyDescent="0.15">
      <c r="A435" s="13" t="s">
        <v>1621</v>
      </c>
      <c r="B435" s="2" t="s">
        <v>981</v>
      </c>
      <c r="C435" s="2">
        <v>2.6700000000000002E-2</v>
      </c>
      <c r="D435" s="2" t="s">
        <v>2380</v>
      </c>
      <c r="E435" s="31">
        <f t="shared" si="62"/>
        <v>96128</v>
      </c>
      <c r="F435" s="31">
        <f t="shared" si="61"/>
        <v>2565</v>
      </c>
      <c r="G435" s="31">
        <f>중기사용료목록!E7</f>
        <v>17297</v>
      </c>
      <c r="H435" s="31">
        <f>TRUNC(G435*C435,0)</f>
        <v>461</v>
      </c>
      <c r="I435" s="31">
        <f>중기사용료목록!F7</f>
        <v>56874</v>
      </c>
      <c r="J435" s="31">
        <f>TRUNC(I435*C435,0)</f>
        <v>1518</v>
      </c>
      <c r="K435" s="31">
        <f>중기사용료목록!G7</f>
        <v>21957</v>
      </c>
      <c r="L435" s="31">
        <f>TRUNC(K435*C435,0)</f>
        <v>586</v>
      </c>
      <c r="M435" s="22" t="s">
        <v>2859</v>
      </c>
      <c r="N435" t="s">
        <v>2859</v>
      </c>
      <c r="P435" t="s">
        <v>2435</v>
      </c>
      <c r="Q435" t="s">
        <v>2859</v>
      </c>
      <c r="R435" t="s">
        <v>353</v>
      </c>
      <c r="AA435" s="40" t="s">
        <v>907</v>
      </c>
      <c r="AB435" s="10">
        <f>((일위대가_호표!J431*전역변수!C34)+(일위대가_호표!J432*전역변수!C34)+(일위대가_호표!J433*전역변수!C34))*2/100</f>
        <v>105.14</v>
      </c>
      <c r="AC435" s="40" t="s">
        <v>1545</v>
      </c>
      <c r="AD435" s="9">
        <f>$AB435</f>
        <v>105.14</v>
      </c>
      <c r="BI435" s="34" t="str">
        <f>HYPERLINK("#중기사용료목록!A7","E0002010060 →")</f>
        <v>E0002010060 →</v>
      </c>
    </row>
    <row r="436" spans="1:61" ht="18.399999999999999" customHeight="1" x14ac:dyDescent="0.15">
      <c r="A436" s="13" t="s">
        <v>2629</v>
      </c>
      <c r="B436" s="2" t="s">
        <v>1497</v>
      </c>
      <c r="C436" s="2">
        <v>2</v>
      </c>
      <c r="D436" s="2" t="s">
        <v>564</v>
      </c>
      <c r="E436" s="31">
        <f t="shared" si="62"/>
        <v>0</v>
      </c>
      <c r="F436" s="31">
        <f t="shared" si="61"/>
        <v>105</v>
      </c>
      <c r="G436" s="1"/>
      <c r="H436" s="31">
        <v>0</v>
      </c>
      <c r="I436" s="1"/>
      <c r="J436" s="31">
        <v>0</v>
      </c>
      <c r="K436" s="1"/>
      <c r="L436" s="31">
        <f>TRUNC((((J431*전역변수!C34)+(J432*전역변수!C34)+(J433*전역변수!C34))*2/100),0)</f>
        <v>105</v>
      </c>
      <c r="M436" s="22" t="s">
        <v>2859</v>
      </c>
      <c r="N436" t="s">
        <v>2859</v>
      </c>
      <c r="P436" t="s">
        <v>1695</v>
      </c>
      <c r="Q436" t="s">
        <v>2859</v>
      </c>
      <c r="R436" t="s">
        <v>2417</v>
      </c>
      <c r="X436" t="s">
        <v>1006</v>
      </c>
    </row>
    <row r="437" spans="1:61" ht="18.399999999999999" customHeight="1" x14ac:dyDescent="0.15">
      <c r="A437" s="57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58"/>
    </row>
    <row r="438" spans="1:61" ht="18.399999999999999" customHeight="1" x14ac:dyDescent="0.15">
      <c r="A438" s="13" t="s">
        <v>729</v>
      </c>
      <c r="B438" s="2" t="s">
        <v>1990</v>
      </c>
      <c r="C438" s="2">
        <v>1</v>
      </c>
      <c r="D438" s="2" t="s">
        <v>2614</v>
      </c>
      <c r="F438" s="31">
        <f t="shared" ref="F438:F444" si="63">H438+J438+L438</f>
        <v>2146792</v>
      </c>
      <c r="H438" s="31">
        <f>TRUNC(H440+H441+H442+H443+H444,0)</f>
        <v>233236</v>
      </c>
      <c r="J438" s="31">
        <f>TRUNC(J440+J441+J442+J443+J444,0)</f>
        <v>1685252</v>
      </c>
      <c r="L438" s="31">
        <f>TRUNC(L440+L441+L442+L443+L444,0)</f>
        <v>228304</v>
      </c>
      <c r="M438" s="22" t="s">
        <v>2859</v>
      </c>
      <c r="N438" t="s">
        <v>2859</v>
      </c>
      <c r="O438" t="s">
        <v>2320</v>
      </c>
    </row>
    <row r="439" spans="1:61" ht="18.399999999999999" customHeight="1" x14ac:dyDescent="0.15">
      <c r="A439" s="13" t="s">
        <v>335</v>
      </c>
      <c r="B439" s="2" t="s">
        <v>2859</v>
      </c>
      <c r="C439" s="2"/>
      <c r="D439" s="2" t="s">
        <v>2859</v>
      </c>
      <c r="E439" s="31">
        <f t="shared" ref="E439:E444" si="64">G439+I439+K439</f>
        <v>0</v>
      </c>
      <c r="F439" s="31">
        <f t="shared" si="63"/>
        <v>0</v>
      </c>
      <c r="G439" s="1"/>
      <c r="H439" s="31">
        <v>0</v>
      </c>
      <c r="I439" s="1"/>
      <c r="J439" s="31">
        <v>0</v>
      </c>
      <c r="K439" s="1"/>
      <c r="L439" s="31">
        <v>0</v>
      </c>
      <c r="M439" s="22" t="s">
        <v>2859</v>
      </c>
      <c r="N439" t="s">
        <v>2859</v>
      </c>
      <c r="P439" t="s">
        <v>919</v>
      </c>
      <c r="Q439" t="s">
        <v>2859</v>
      </c>
      <c r="R439" t="s">
        <v>2859</v>
      </c>
    </row>
    <row r="440" spans="1:61" ht="18.399999999999999" customHeight="1" x14ac:dyDescent="0.15">
      <c r="A440" s="13" t="s">
        <v>2652</v>
      </c>
      <c r="B440" s="2" t="s">
        <v>2859</v>
      </c>
      <c r="C440" s="2">
        <v>2</v>
      </c>
      <c r="D440" s="2" t="s">
        <v>2663</v>
      </c>
      <c r="E440" s="31">
        <f t="shared" si="64"/>
        <v>211355</v>
      </c>
      <c r="F440" s="31">
        <f t="shared" si="63"/>
        <v>422710</v>
      </c>
      <c r="G440" s="31">
        <v>0</v>
      </c>
      <c r="H440" s="31"/>
      <c r="I440" s="31">
        <f>노임!D11</f>
        <v>211355</v>
      </c>
      <c r="J440" s="31">
        <f>TRUNC(I440*C440,0)</f>
        <v>422710</v>
      </c>
      <c r="K440" s="31">
        <v>0</v>
      </c>
      <c r="L440" s="31"/>
      <c r="M440" s="22" t="s">
        <v>2859</v>
      </c>
      <c r="N440" t="s">
        <v>703</v>
      </c>
      <c r="P440" t="s">
        <v>322</v>
      </c>
      <c r="Q440" t="s">
        <v>2859</v>
      </c>
      <c r="R440" t="s">
        <v>1452</v>
      </c>
      <c r="BI440" s="34" t="str">
        <f>HYPERLINK("#노임!A11","L042 →")</f>
        <v>L042 →</v>
      </c>
    </row>
    <row r="441" spans="1:61" ht="18.399999999999999" customHeight="1" x14ac:dyDescent="0.15">
      <c r="A441" s="13" t="s">
        <v>891</v>
      </c>
      <c r="B441" s="2" t="s">
        <v>2859</v>
      </c>
      <c r="C441" s="2">
        <v>2</v>
      </c>
      <c r="D441" s="2" t="s">
        <v>2663</v>
      </c>
      <c r="E441" s="31">
        <f t="shared" si="64"/>
        <v>167081</v>
      </c>
      <c r="F441" s="31">
        <f t="shared" si="63"/>
        <v>334162</v>
      </c>
      <c r="G441" s="31">
        <v>0</v>
      </c>
      <c r="H441" s="31"/>
      <c r="I441" s="31">
        <f>노임!D13</f>
        <v>167081</v>
      </c>
      <c r="J441" s="31">
        <f>TRUNC(I441*C441,0)</f>
        <v>334162</v>
      </c>
      <c r="K441" s="31">
        <v>0</v>
      </c>
      <c r="L441" s="31"/>
      <c r="M441" s="22" t="s">
        <v>2859</v>
      </c>
      <c r="N441" t="s">
        <v>822</v>
      </c>
      <c r="P441" t="s">
        <v>2491</v>
      </c>
      <c r="Q441" t="s">
        <v>2859</v>
      </c>
      <c r="R441" t="s">
        <v>485</v>
      </c>
      <c r="BI441" s="34" t="str">
        <f>HYPERLINK("#노임!A13","L085 →")</f>
        <v>L085 →</v>
      </c>
    </row>
    <row r="442" spans="1:61" ht="18.399999999999999" customHeight="1" x14ac:dyDescent="0.15">
      <c r="A442" s="13" t="s">
        <v>1621</v>
      </c>
      <c r="B442" s="2" t="s">
        <v>981</v>
      </c>
      <c r="C442" s="2">
        <v>8</v>
      </c>
      <c r="D442" s="2" t="s">
        <v>2380</v>
      </c>
      <c r="E442" s="31">
        <f t="shared" si="64"/>
        <v>96128</v>
      </c>
      <c r="F442" s="31">
        <f t="shared" si="63"/>
        <v>769024</v>
      </c>
      <c r="G442" s="31">
        <f>중기사용료목록!E7</f>
        <v>17297</v>
      </c>
      <c r="H442" s="31">
        <f>TRUNC(G442*C442,0)</f>
        <v>138376</v>
      </c>
      <c r="I442" s="31">
        <f>중기사용료목록!F7</f>
        <v>56874</v>
      </c>
      <c r="J442" s="31">
        <f>TRUNC(I442*C442,0)</f>
        <v>454992</v>
      </c>
      <c r="K442" s="31">
        <f>중기사용료목록!G7</f>
        <v>21957</v>
      </c>
      <c r="L442" s="31">
        <f>TRUNC(K442*C442,0)</f>
        <v>175656</v>
      </c>
      <c r="M442" s="22" t="s">
        <v>2859</v>
      </c>
      <c r="N442" t="s">
        <v>2859</v>
      </c>
      <c r="P442" t="s">
        <v>1745</v>
      </c>
      <c r="Q442" t="s">
        <v>2859</v>
      </c>
      <c r="R442" t="s">
        <v>353</v>
      </c>
      <c r="BI442" s="34" t="str">
        <f>HYPERLINK("#중기사용료목록!A7","E0002010060 →")</f>
        <v>E0002010060 →</v>
      </c>
    </row>
    <row r="443" spans="1:61" ht="18.399999999999999" customHeight="1" x14ac:dyDescent="0.15">
      <c r="A443" s="13" t="s">
        <v>2529</v>
      </c>
      <c r="B443" s="2" t="s">
        <v>912</v>
      </c>
      <c r="C443" s="2">
        <v>8</v>
      </c>
      <c r="D443" s="2" t="s">
        <v>2380</v>
      </c>
      <c r="E443" s="31">
        <f t="shared" si="64"/>
        <v>40104</v>
      </c>
      <c r="F443" s="31">
        <f t="shared" si="63"/>
        <v>320832</v>
      </c>
      <c r="G443" s="31">
        <f>중기사용료목록!E20</f>
        <v>3455</v>
      </c>
      <c r="H443" s="31">
        <f>TRUNC(G443*C443,0)</f>
        <v>27640</v>
      </c>
      <c r="I443" s="31">
        <f>중기사용료목록!F20</f>
        <v>34803</v>
      </c>
      <c r="J443" s="31">
        <f>TRUNC(I443*C443,0)</f>
        <v>278424</v>
      </c>
      <c r="K443" s="31">
        <f>중기사용료목록!G20</f>
        <v>1846</v>
      </c>
      <c r="L443" s="31">
        <f>TRUNC(K443*C443,0)</f>
        <v>14768</v>
      </c>
      <c r="M443" s="22" t="s">
        <v>2859</v>
      </c>
      <c r="N443" t="s">
        <v>2859</v>
      </c>
      <c r="P443" t="s">
        <v>1030</v>
      </c>
      <c r="Q443" t="s">
        <v>2859</v>
      </c>
      <c r="R443" t="s">
        <v>2688</v>
      </c>
      <c r="BI443" s="34" t="str">
        <f>HYPERLINK("#중기사용료목록!A20","E0013050007 →")</f>
        <v>E0013050007 →</v>
      </c>
    </row>
    <row r="444" spans="1:61" ht="18.399999999999999" customHeight="1" x14ac:dyDescent="0.15">
      <c r="A444" s="13" t="s">
        <v>1405</v>
      </c>
      <c r="B444" s="2" t="s">
        <v>1741</v>
      </c>
      <c r="C444" s="2">
        <v>4</v>
      </c>
      <c r="D444" s="2" t="s">
        <v>2380</v>
      </c>
      <c r="E444" s="31">
        <f t="shared" si="64"/>
        <v>75016</v>
      </c>
      <c r="F444" s="31">
        <f t="shared" si="63"/>
        <v>300064</v>
      </c>
      <c r="G444" s="31">
        <f>중기사용료목록!E38</f>
        <v>16805</v>
      </c>
      <c r="H444" s="31">
        <f>TRUNC(G444*C444,0)</f>
        <v>67220</v>
      </c>
      <c r="I444" s="31">
        <f>중기사용료목록!F38</f>
        <v>48741</v>
      </c>
      <c r="J444" s="31">
        <f>TRUNC(I444*C444,0)</f>
        <v>194964</v>
      </c>
      <c r="K444" s="31">
        <f>중기사용료목록!G38</f>
        <v>9470</v>
      </c>
      <c r="L444" s="31">
        <f>TRUNC(K444*C444,0)</f>
        <v>37880</v>
      </c>
      <c r="M444" s="22" t="s">
        <v>2859</v>
      </c>
      <c r="N444" t="s">
        <v>2859</v>
      </c>
      <c r="P444" t="s">
        <v>267</v>
      </c>
      <c r="Q444" t="s">
        <v>2859</v>
      </c>
      <c r="R444" t="s">
        <v>42</v>
      </c>
      <c r="BI444" s="34" t="str">
        <f>HYPERLINK("#중기사용료목록!A38","E0072040055 →")</f>
        <v>E0072040055 →</v>
      </c>
    </row>
    <row r="445" spans="1:61" ht="18.399999999999999" customHeight="1" thickBot="1" x14ac:dyDescent="0.2">
      <c r="A445" s="53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5"/>
    </row>
  </sheetData>
  <mergeCells count="9">
    <mergeCell ref="I2:J2"/>
    <mergeCell ref="K2:L2"/>
    <mergeCell ref="M2:M3"/>
    <mergeCell ref="A2:A3"/>
    <mergeCell ref="B2:B3"/>
    <mergeCell ref="C2:C3"/>
    <mergeCell ref="D2:D3"/>
    <mergeCell ref="E2:F2"/>
    <mergeCell ref="G2:H2"/>
  </mergeCells>
  <phoneticPr fontId="5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1399"/>
  <sheetViews>
    <sheetView workbookViewId="0">
      <selection activeCell="F8" sqref="F8"/>
    </sheetView>
  </sheetViews>
  <sheetFormatPr defaultRowHeight="18.399999999999999" customHeight="1" x14ac:dyDescent="0.15"/>
  <cols>
    <col min="1" max="1" width="65" customWidth="1"/>
    <col min="2" max="2" width="12" customWidth="1"/>
    <col min="3" max="6" width="15" customWidth="1"/>
    <col min="7" max="25" width="0" hidden="1" customWidth="1"/>
  </cols>
  <sheetData>
    <row r="1" spans="1:42" ht="18.399999999999999" customHeight="1" thickBot="1" x14ac:dyDescent="0.2">
      <c r="A1" t="s">
        <v>2605</v>
      </c>
    </row>
    <row r="2" spans="1:42" ht="18.399999999999999" customHeight="1" thickBot="1" x14ac:dyDescent="0.2">
      <c r="A2" s="18" t="s">
        <v>820</v>
      </c>
      <c r="B2" s="19" t="s">
        <v>73</v>
      </c>
      <c r="C2" s="21" t="s">
        <v>716</v>
      </c>
    </row>
    <row r="3" spans="1:42" ht="18.399999999999999" customHeight="1" x14ac:dyDescent="0.15">
      <c r="A3" s="42"/>
      <c r="B3" s="3"/>
      <c r="C3" s="46"/>
      <c r="AA3" s="433" t="s">
        <v>664</v>
      </c>
      <c r="AB3" s="433"/>
      <c r="AC3" s="433"/>
      <c r="AD3" s="433"/>
      <c r="AE3" s="433"/>
      <c r="AF3" s="433"/>
      <c r="AG3" s="433"/>
    </row>
    <row r="4" spans="1:42" ht="18.399999999999999" customHeight="1" x14ac:dyDescent="0.15">
      <c r="A4" s="42" t="s">
        <v>2750</v>
      </c>
      <c r="B4" s="36">
        <v>1</v>
      </c>
      <c r="C4" s="46" t="s">
        <v>2859</v>
      </c>
      <c r="AA4" s="433" t="s">
        <v>1504</v>
      </c>
      <c r="AB4" s="433"/>
      <c r="AC4" s="433"/>
      <c r="AD4" s="433"/>
      <c r="AE4" s="433"/>
      <c r="AF4" s="433"/>
      <c r="AG4" s="433"/>
    </row>
    <row r="5" spans="1:42" ht="18.399999999999999" customHeight="1" x14ac:dyDescent="0.15">
      <c r="A5" s="43"/>
      <c r="B5" s="3"/>
      <c r="C5" s="46"/>
    </row>
    <row r="6" spans="1:42" ht="18.399999999999999" customHeight="1" x14ac:dyDescent="0.15">
      <c r="A6" s="42" t="s">
        <v>699</v>
      </c>
      <c r="B6" s="3"/>
      <c r="C6" s="46"/>
      <c r="G6" s="3" t="s">
        <v>2859</v>
      </c>
    </row>
    <row r="7" spans="1:42" ht="18.399999999999999" customHeight="1" x14ac:dyDescent="0.15">
      <c r="A7" s="42" t="s">
        <v>2859</v>
      </c>
      <c r="B7" s="3"/>
      <c r="C7" s="46"/>
      <c r="K7" s="3" t="s">
        <v>2859</v>
      </c>
    </row>
    <row r="8" spans="1:42" ht="18.399999999999999" customHeight="1" x14ac:dyDescent="0.15">
      <c r="A8" s="42" t="s">
        <v>2734</v>
      </c>
      <c r="B8" s="3"/>
      <c r="C8" s="46"/>
      <c r="K8" s="3" t="s">
        <v>2734</v>
      </c>
    </row>
    <row r="9" spans="1:42" ht="18.399999999999999" customHeight="1" x14ac:dyDescent="0.15">
      <c r="A9" s="42" t="s">
        <v>1372</v>
      </c>
      <c r="B9" s="3"/>
      <c r="C9" s="46"/>
      <c r="K9" s="3" t="s">
        <v>725</v>
      </c>
    </row>
    <row r="10" spans="1:42" ht="18.399999999999999" customHeight="1" x14ac:dyDescent="0.15">
      <c r="A10" s="42" t="s">
        <v>2859</v>
      </c>
      <c r="B10" s="3"/>
      <c r="C10" s="46"/>
      <c r="K10" s="3" t="s">
        <v>2859</v>
      </c>
    </row>
    <row r="11" spans="1:42" ht="18.399999999999999" customHeight="1" x14ac:dyDescent="0.15">
      <c r="A11" s="42" t="s">
        <v>27</v>
      </c>
      <c r="B11" s="3"/>
      <c r="C11" s="46"/>
      <c r="K11" s="3" t="s">
        <v>621</v>
      </c>
    </row>
    <row r="12" spans="1:42" ht="18.399999999999999" customHeight="1" x14ac:dyDescent="0.15">
      <c r="A12" s="42" t="s">
        <v>2859</v>
      </c>
      <c r="B12" s="3"/>
      <c r="C12" s="46"/>
      <c r="K12" s="3" t="s">
        <v>2859</v>
      </c>
    </row>
    <row r="13" spans="1:42" ht="18.399999999999999" customHeight="1" x14ac:dyDescent="0.15">
      <c r="A13" s="44" t="str">
        <f>CONCATENATE("          L=",TEXT($AB13,"#,##0.00"),"  M  , q=",TEXT($AF13,"#,##0.0")," , e=",TEXT($AJ13,"#,##0.00"))</f>
        <v xml:space="preserve">          L=20.00  M  , q=3.2 , e=0.96</v>
      </c>
      <c r="B13" s="3"/>
      <c r="C13" s="46"/>
      <c r="K13" s="12" t="str">
        <f>SUBSTITUTE(SUBSTITUTE(SUBSTITUTE(SUBSTITUTE("          L = 20 _x001D_M_x001D_ , q = 3.2 , e = 0.96","20",TEXT($AB13,"#,##0"),1),"3.2",TEXT($AF13,"#,##0.0"),1),"0.96",TEXT($AJ13,"#,##0.00"),1),"_x001D_","'")</f>
        <v xml:space="preserve">          L = 20 'M' , q = 3.2 , e = 0.96</v>
      </c>
      <c r="AA13" s="39" t="s">
        <v>2704</v>
      </c>
      <c r="AB13" s="8">
        <v>20</v>
      </c>
      <c r="AC13" s="39" t="s">
        <v>2704</v>
      </c>
      <c r="AD13" s="9">
        <f>$AB13</f>
        <v>20</v>
      </c>
      <c r="AE13" s="39" t="s">
        <v>1972</v>
      </c>
      <c r="AF13" s="8">
        <v>3.2</v>
      </c>
      <c r="AG13" s="39" t="s">
        <v>1972</v>
      </c>
      <c r="AH13" s="9">
        <f>$AF13</f>
        <v>3.2</v>
      </c>
      <c r="AI13" s="39" t="s">
        <v>1383</v>
      </c>
      <c r="AJ13" s="8">
        <v>0.96</v>
      </c>
      <c r="AK13" s="39" t="s">
        <v>1383</v>
      </c>
      <c r="AL13" s="9">
        <f>$AJ13</f>
        <v>0.96</v>
      </c>
    </row>
    <row r="14" spans="1:42" ht="18.399999999999999" customHeight="1" x14ac:dyDescent="0.15">
      <c r="A14" s="42" t="s">
        <v>2859</v>
      </c>
      <c r="B14" s="3"/>
      <c r="C14" s="46"/>
      <c r="K14" s="3" t="s">
        <v>2859</v>
      </c>
    </row>
    <row r="15" spans="1:42" ht="18.399999999999999" customHeight="1" x14ac:dyDescent="0.15">
      <c r="A15" s="44" t="str">
        <f>CONCATENATE("          삽날의 용량 : qo = ",TEXT($AB15,"#,##0.00")," * ",TEXT($AF15,"#,##0.00")," = ",TEXT($AN15,"#,##0.00")," m3")</f>
        <v xml:space="preserve">          삽날의 용량 : qo = 3.20 * 0.96 = 3.07 m3</v>
      </c>
      <c r="B15" s="3"/>
      <c r="C15" s="46"/>
      <c r="K15" s="3" t="s">
        <v>58</v>
      </c>
      <c r="AA15" s="39" t="s">
        <v>376</v>
      </c>
      <c r="AB15" s="10">
        <f>$AH13</f>
        <v>3.2</v>
      </c>
      <c r="AC15" s="39" t="s">
        <v>2200</v>
      </c>
      <c r="AD15" s="9">
        <f>$AB15</f>
        <v>3.2</v>
      </c>
      <c r="AE15" s="39" t="s">
        <v>2747</v>
      </c>
      <c r="AF15" s="10">
        <f>$AL13</f>
        <v>0.96</v>
      </c>
      <c r="AG15" s="39" t="s">
        <v>441</v>
      </c>
      <c r="AH15" s="9">
        <f>$AF15</f>
        <v>0.96</v>
      </c>
      <c r="AI15" s="39" t="s">
        <v>684</v>
      </c>
      <c r="AJ15" s="10">
        <f>ROUND($AD15*$AH15,2)</f>
        <v>3.07</v>
      </c>
      <c r="AK15" s="39" t="s">
        <v>1136</v>
      </c>
      <c r="AL15" s="9">
        <f>$AJ15</f>
        <v>3.07</v>
      </c>
      <c r="AM15" s="39" t="s">
        <v>736</v>
      </c>
      <c r="AN15" s="10">
        <f>ROUND(ROUND($AD15*$AH15,2),2)</f>
        <v>3.07</v>
      </c>
      <c r="AO15" s="39" t="s">
        <v>844</v>
      </c>
      <c r="AP15" s="9">
        <f>$AN15</f>
        <v>3.07</v>
      </c>
    </row>
    <row r="16" spans="1:42" ht="18.399999999999999" customHeight="1" x14ac:dyDescent="0.15">
      <c r="A16" s="42" t="s">
        <v>2859</v>
      </c>
      <c r="B16" s="3"/>
      <c r="C16" s="46"/>
      <c r="K16" s="3" t="s">
        <v>2859</v>
      </c>
    </row>
    <row r="17" spans="1:54" ht="18.399999999999999" customHeight="1" x14ac:dyDescent="0.15">
      <c r="A17" s="44" t="str">
        <f>CONCATENATE("          토량환산계수 : f = 1 / 1.25 = ",TEXT($AF17,"#,##0.00"))</f>
        <v xml:space="preserve">          토량환산계수 : f = 1 / 1.25 = 0.80</v>
      </c>
      <c r="B17" s="3"/>
      <c r="C17" s="46"/>
      <c r="K17" s="3" t="s">
        <v>2332</v>
      </c>
      <c r="AA17" s="39" t="s">
        <v>1802</v>
      </c>
      <c r="AB17" s="10">
        <f>ROUND(1/1.25,2)</f>
        <v>0.8</v>
      </c>
      <c r="AC17" s="39" t="s">
        <v>1652</v>
      </c>
      <c r="AD17" s="9">
        <f>$AB17</f>
        <v>0.8</v>
      </c>
      <c r="AE17" s="39" t="s">
        <v>1838</v>
      </c>
      <c r="AF17" s="10">
        <f>ROUND(ROUND(1/1.25,2),2)</f>
        <v>0.8</v>
      </c>
      <c r="AG17" s="39" t="s">
        <v>2063</v>
      </c>
      <c r="AH17" s="9">
        <f>$AF17</f>
        <v>0.8</v>
      </c>
    </row>
    <row r="18" spans="1:54" ht="18.399999999999999" customHeight="1" x14ac:dyDescent="0.15">
      <c r="A18" s="42" t="s">
        <v>2859</v>
      </c>
      <c r="B18" s="3"/>
      <c r="C18" s="46"/>
      <c r="K18" s="3" t="s">
        <v>2859</v>
      </c>
    </row>
    <row r="19" spans="1:54" ht="18.399999999999999" customHeight="1" x14ac:dyDescent="0.15">
      <c r="A19" s="44" t="str">
        <f>CONCATENATE("          작업 효율 : E=",TEXT($AB19,"#,##0.00"))</f>
        <v xml:space="preserve">          작업 효율 : E=0.50</v>
      </c>
      <c r="B19" s="3"/>
      <c r="C19" s="46"/>
      <c r="K19" s="12" t="str">
        <f>SUBSTITUTE(SUBSTITUTE("         _x001D_작업 효율 :_x001D_E = 0.50","0.50",TEXT($AB19,"#,##0.00"),1),"_x001D_","'")</f>
        <v xml:space="preserve">         '작업 효율 :'E = 0.50</v>
      </c>
      <c r="AA19" s="39" t="s">
        <v>1383</v>
      </c>
      <c r="AB19" s="8">
        <v>0.5</v>
      </c>
      <c r="AC19" s="39" t="s">
        <v>1383</v>
      </c>
      <c r="AD19" s="9">
        <f>$AB19</f>
        <v>0.5</v>
      </c>
    </row>
    <row r="20" spans="1:54" ht="18.399999999999999" customHeight="1" x14ac:dyDescent="0.15">
      <c r="A20" s="42" t="s">
        <v>2859</v>
      </c>
      <c r="B20" s="3"/>
      <c r="C20" s="46"/>
      <c r="K20" s="3" t="s">
        <v>2859</v>
      </c>
    </row>
    <row r="21" spans="1:54" ht="18.399999999999999" customHeight="1" x14ac:dyDescent="0.15">
      <c r="A21" s="44" t="str">
        <f>CONCATENATE("          전진 속도 : V1=",TEXT($AB21,"#,##0.00")," m/min")</f>
        <v xml:space="preserve">          전진 속도 : V1=40.00 m/min</v>
      </c>
      <c r="B21" s="3"/>
      <c r="C21" s="46"/>
      <c r="K21" s="12" t="str">
        <f>SUBSTITUTE(SUBSTITUTE("         _x001D_전진 속도 :_x001D_V1 = 40_x001D_m/min_x001D_","40",TEXT($AB21,"#,##0"),1),"_x001D_","'")</f>
        <v xml:space="preserve">         '전진 속도 :'V1 = 40'm/min'</v>
      </c>
      <c r="AA21" s="39" t="s">
        <v>2457</v>
      </c>
      <c r="AB21" s="8">
        <v>40</v>
      </c>
      <c r="AC21" s="39" t="s">
        <v>2457</v>
      </c>
      <c r="AD21" s="9">
        <f>$AB21</f>
        <v>40</v>
      </c>
    </row>
    <row r="22" spans="1:54" ht="18.399999999999999" customHeight="1" x14ac:dyDescent="0.15">
      <c r="A22" s="42" t="s">
        <v>2859</v>
      </c>
      <c r="B22" s="3"/>
      <c r="C22" s="46"/>
      <c r="K22" s="3" t="s">
        <v>2859</v>
      </c>
    </row>
    <row r="23" spans="1:54" ht="18.399999999999999" customHeight="1" x14ac:dyDescent="0.15">
      <c r="A23" s="44" t="str">
        <f>CONCATENATE("          후진 속도 : V2=",TEXT($AB23,"#,##0.00")," m/min")</f>
        <v xml:space="preserve">          후진 속도 : V2=46.00 m/min</v>
      </c>
      <c r="B23" s="3"/>
      <c r="C23" s="46"/>
      <c r="K23" s="12" t="str">
        <f>SUBSTITUTE(SUBSTITUTE("         _x001D_후진 속도 :_x001D_V2 = 46_x001D_m/min_x001D_","46",TEXT($AB23,"#,##0"),1),"_x001D_","'")</f>
        <v xml:space="preserve">         '후진 속도 :'V2 = 46'm/min'</v>
      </c>
      <c r="AA23" s="39" t="s">
        <v>559</v>
      </c>
      <c r="AB23" s="8">
        <v>46</v>
      </c>
      <c r="AC23" s="39" t="s">
        <v>559</v>
      </c>
      <c r="AD23" s="9">
        <f>$AB23</f>
        <v>46</v>
      </c>
    </row>
    <row r="24" spans="1:54" ht="18.399999999999999" customHeight="1" x14ac:dyDescent="0.15">
      <c r="A24" s="42" t="s">
        <v>2859</v>
      </c>
      <c r="B24" s="3"/>
      <c r="C24" s="46"/>
      <c r="K24" s="3" t="s">
        <v>2859</v>
      </c>
    </row>
    <row r="25" spans="1:54" ht="18.399999999999999" customHeight="1" x14ac:dyDescent="0.15">
      <c r="A25" s="44" t="str">
        <f>CONCATENATE("          기어 변속 시간 : t=",TEXT($AB25,"#,##0.00")," min")</f>
        <v xml:space="preserve">          기어 변속 시간 : t=0.25 min</v>
      </c>
      <c r="B25" s="3"/>
      <c r="C25" s="46"/>
      <c r="K25" s="12" t="str">
        <f>SUBSTITUTE(SUBSTITUTE("         _x001D_기어 변속 시간 :_x001D_t = 0.25_x001D_min_x001D_","0.25",TEXT($AB25,"#,##0.00"),1),"_x001D_","'")</f>
        <v xml:space="preserve">         '기어 변속 시간 :'t = 0.25'min'</v>
      </c>
      <c r="AA25" s="39" t="s">
        <v>1444</v>
      </c>
      <c r="AB25" s="8">
        <v>0.25</v>
      </c>
      <c r="AC25" s="39" t="s">
        <v>1444</v>
      </c>
      <c r="AD25" s="9">
        <f>$AB25</f>
        <v>0.25</v>
      </c>
    </row>
    <row r="26" spans="1:54" ht="18.399999999999999" customHeight="1" x14ac:dyDescent="0.15">
      <c r="A26" s="42" t="s">
        <v>2859</v>
      </c>
      <c r="B26" s="3"/>
      <c r="C26" s="46"/>
      <c r="K26" s="3" t="s">
        <v>2859</v>
      </c>
    </row>
    <row r="27" spans="1:54" ht="18.399999999999999" customHeight="1" x14ac:dyDescent="0.15">
      <c r="A27" s="44" t="str">
        <f>CONCATENATE("          Cm = ",TEXT($AB27,"#,##0.00"),"/",TEXT($AF27,"#,##0.00")," + ",TEXT($AJ27,"#,##0.00"),"/",TEXT($AN27,"#,##0.00")," + ",TEXT($AR27,"#,##0.00")," = ",TEXT($AZ27,"#,##0.00")," min")</f>
        <v xml:space="preserve">          Cm = 20.00/40.00 + 20.00/46.00 + 0.25 = 1.18 min</v>
      </c>
      <c r="B27" s="3"/>
      <c r="C27" s="46"/>
      <c r="K27" s="3" t="s">
        <v>166</v>
      </c>
      <c r="AA27" s="39" t="s">
        <v>1848</v>
      </c>
      <c r="AB27" s="10">
        <f>$AD13</f>
        <v>20</v>
      </c>
      <c r="AC27" s="39" t="s">
        <v>1434</v>
      </c>
      <c r="AD27" s="9">
        <f>$AB27</f>
        <v>20</v>
      </c>
      <c r="AE27" s="39" t="s">
        <v>1340</v>
      </c>
      <c r="AF27" s="10">
        <f>$AD21</f>
        <v>40</v>
      </c>
      <c r="AG27" s="39" t="s">
        <v>1627</v>
      </c>
      <c r="AH27" s="9">
        <f>$AF27</f>
        <v>40</v>
      </c>
      <c r="AI27" s="39" t="s">
        <v>2192</v>
      </c>
      <c r="AJ27" s="10">
        <f>$AD13</f>
        <v>20</v>
      </c>
      <c r="AK27" s="39" t="s">
        <v>2756</v>
      </c>
      <c r="AL27" s="9">
        <f>$AJ27</f>
        <v>20</v>
      </c>
      <c r="AM27" s="39" t="s">
        <v>2393</v>
      </c>
      <c r="AN27" s="10">
        <f>$AD23</f>
        <v>46</v>
      </c>
      <c r="AO27" s="39" t="s">
        <v>850</v>
      </c>
      <c r="AP27" s="9">
        <f>$AN27</f>
        <v>46</v>
      </c>
      <c r="AQ27" s="39" t="s">
        <v>1164</v>
      </c>
      <c r="AR27" s="10">
        <f>$AD25</f>
        <v>0.25</v>
      </c>
      <c r="AS27" s="39" t="s">
        <v>432</v>
      </c>
      <c r="AT27" s="9">
        <f>$AR27</f>
        <v>0.25</v>
      </c>
      <c r="AU27" s="39" t="s">
        <v>2302</v>
      </c>
      <c r="AV27" s="10">
        <f>ROUND($AD27/$AH27+$AL27/$AP27+$AT27,2)</f>
        <v>1.18</v>
      </c>
      <c r="AW27" s="39" t="s">
        <v>139</v>
      </c>
      <c r="AX27" s="9">
        <f>$AV27</f>
        <v>1.18</v>
      </c>
      <c r="AY27" s="39" t="s">
        <v>2024</v>
      </c>
      <c r="AZ27" s="10">
        <f>ROUND(ROUND($AD27/$AH27+$AL27/$AP27+$AT27,2),2)</f>
        <v>1.18</v>
      </c>
      <c r="BA27" s="39" t="s">
        <v>2199</v>
      </c>
      <c r="BB27" s="9">
        <f>$AZ27</f>
        <v>1.18</v>
      </c>
    </row>
    <row r="28" spans="1:54" ht="18.399999999999999" customHeight="1" x14ac:dyDescent="0.15">
      <c r="A28" s="42" t="s">
        <v>2859</v>
      </c>
      <c r="B28" s="3"/>
      <c r="C28" s="46"/>
      <c r="K28" s="3" t="s">
        <v>2859</v>
      </c>
    </row>
    <row r="29" spans="1:54" ht="18.399999999999999" customHeight="1" x14ac:dyDescent="0.15">
      <c r="A29" s="44" t="str">
        <f>CONCATENATE("      Q = 60 * ",TEXT($AB29,"#,##0.00")," * ",TEXT($AF29,"#,##0.00")," * ",TEXT($AJ29,"#,##0.00")," / ",TEXT($AN29,"#,##0.00")," = ",TEXT($AV29,"#,##0.00")," m3/hr")</f>
        <v xml:space="preserve">      Q = 60 * 3.07 * 0.80 * 0.50 / 1.18 = 62.44 m3/hr</v>
      </c>
      <c r="B29" s="3"/>
      <c r="C29" s="46"/>
      <c r="K29" s="3" t="s">
        <v>2571</v>
      </c>
      <c r="AA29" s="39" t="s">
        <v>552</v>
      </c>
      <c r="AB29" s="10">
        <f>$AL15</f>
        <v>3.07</v>
      </c>
      <c r="AC29" s="39" t="s">
        <v>866</v>
      </c>
      <c r="AD29" s="9">
        <f>$AB29</f>
        <v>3.07</v>
      </c>
      <c r="AE29" s="39" t="s">
        <v>2569</v>
      </c>
      <c r="AF29" s="10">
        <f>$AD17</f>
        <v>0.8</v>
      </c>
      <c r="AG29" s="39" t="s">
        <v>1810</v>
      </c>
      <c r="AH29" s="9">
        <f>$AF29</f>
        <v>0.8</v>
      </c>
      <c r="AI29" s="39" t="s">
        <v>942</v>
      </c>
      <c r="AJ29" s="10">
        <f>$AD19</f>
        <v>0.5</v>
      </c>
      <c r="AK29" s="39" t="s">
        <v>2188</v>
      </c>
      <c r="AL29" s="9">
        <f>$AJ29</f>
        <v>0.5</v>
      </c>
      <c r="AM29" s="39" t="s">
        <v>745</v>
      </c>
      <c r="AN29" s="10">
        <f>$AX27</f>
        <v>1.18</v>
      </c>
      <c r="AO29" s="39" t="s">
        <v>1435</v>
      </c>
      <c r="AP29" s="9">
        <f>$AN29</f>
        <v>1.18</v>
      </c>
      <c r="AQ29" s="39" t="s">
        <v>504</v>
      </c>
      <c r="AR29" s="10">
        <f>ROUND(60*$AD29*$AH29*$AL29/$AP29,2)</f>
        <v>62.44</v>
      </c>
      <c r="AS29" s="39" t="s">
        <v>1972</v>
      </c>
      <c r="AT29" s="9">
        <f>$AR29</f>
        <v>62.44</v>
      </c>
      <c r="AU29" s="39" t="s">
        <v>2757</v>
      </c>
      <c r="AV29" s="10">
        <f>ROUND(ROUND(60*$AD29*$AH29*$AL29/$AP29,2),2)</f>
        <v>62.44</v>
      </c>
      <c r="AW29" s="39" t="s">
        <v>275</v>
      </c>
      <c r="AX29" s="9">
        <f>$AV29</f>
        <v>62.44</v>
      </c>
    </row>
    <row r="30" spans="1:54" ht="18.399999999999999" customHeight="1" x14ac:dyDescent="0.15">
      <c r="A30" s="42" t="s">
        <v>2859</v>
      </c>
      <c r="B30" s="3"/>
      <c r="C30" s="46"/>
      <c r="K30" s="3" t="s">
        <v>2859</v>
      </c>
    </row>
    <row r="31" spans="1:54" ht="18.399999999999999" customHeight="1" x14ac:dyDescent="0.15">
      <c r="A31" s="44" t="str">
        <f>CONCATENATE("          1 / Q =  ","QTY hr/m3")</f>
        <v xml:space="preserve">          1 / Q =  QTY hr/m3</v>
      </c>
      <c r="B31" s="3">
        <f>$AB31</f>
        <v>1.6E-2</v>
      </c>
      <c r="C31" s="46"/>
      <c r="K31" s="3" t="s">
        <v>2388</v>
      </c>
      <c r="AA31" s="39" t="s">
        <v>1268</v>
      </c>
      <c r="AB31" s="10">
        <f>ROUND(1/$AT29,4)</f>
        <v>1.6E-2</v>
      </c>
      <c r="AC31" s="39" t="s">
        <v>2080</v>
      </c>
      <c r="AD31" s="9">
        <f>$AB31</f>
        <v>1.6E-2</v>
      </c>
    </row>
    <row r="32" spans="1:54" ht="18.399999999999999" customHeight="1" x14ac:dyDescent="0.15">
      <c r="A32" s="42"/>
      <c r="B32" s="3"/>
      <c r="C32" s="46"/>
    </row>
    <row r="33" spans="1:38" ht="18.399999999999999" customHeight="1" thickBot="1" x14ac:dyDescent="0.2">
      <c r="A33" s="45"/>
      <c r="B33" s="5"/>
      <c r="C33" s="49"/>
    </row>
    <row r="34" spans="1:38" ht="18.399999999999999" customHeight="1" x14ac:dyDescent="0.15">
      <c r="A34" s="42"/>
      <c r="B34" s="3"/>
      <c r="C34" s="46"/>
    </row>
    <row r="35" spans="1:38" ht="18.399999999999999" customHeight="1" x14ac:dyDescent="0.15">
      <c r="A35" s="42" t="s">
        <v>1692</v>
      </c>
      <c r="B35" s="36">
        <v>1</v>
      </c>
      <c r="C35" s="46" t="s">
        <v>2859</v>
      </c>
    </row>
    <row r="36" spans="1:38" ht="18.399999999999999" customHeight="1" x14ac:dyDescent="0.15">
      <c r="A36" s="43"/>
      <c r="B36" s="3"/>
      <c r="C36" s="46"/>
    </row>
    <row r="37" spans="1:38" ht="18.399999999999999" customHeight="1" x14ac:dyDescent="0.15">
      <c r="A37" s="42" t="s">
        <v>853</v>
      </c>
      <c r="B37" s="3"/>
      <c r="C37" s="46"/>
      <c r="G37" s="3" t="s">
        <v>2859</v>
      </c>
    </row>
    <row r="38" spans="1:38" ht="18.399999999999999" customHeight="1" x14ac:dyDescent="0.15">
      <c r="A38" s="42" t="s">
        <v>2859</v>
      </c>
      <c r="B38" s="3"/>
      <c r="C38" s="46"/>
      <c r="K38" s="3" t="s">
        <v>2859</v>
      </c>
    </row>
    <row r="39" spans="1:38" ht="18.399999999999999" customHeight="1" x14ac:dyDescent="0.15">
      <c r="A39" s="42" t="s">
        <v>2686</v>
      </c>
      <c r="B39" s="3"/>
      <c r="C39" s="46"/>
      <c r="K39" s="3" t="s">
        <v>2686</v>
      </c>
    </row>
    <row r="40" spans="1:38" ht="18.399999999999999" customHeight="1" x14ac:dyDescent="0.15">
      <c r="A40" s="42" t="s">
        <v>1372</v>
      </c>
      <c r="B40" s="3"/>
      <c r="C40" s="46"/>
      <c r="K40" s="3" t="s">
        <v>725</v>
      </c>
    </row>
    <row r="41" spans="1:38" ht="18.399999999999999" customHeight="1" x14ac:dyDescent="0.15">
      <c r="A41" s="42" t="s">
        <v>2859</v>
      </c>
      <c r="B41" s="3"/>
      <c r="C41" s="46"/>
      <c r="K41" s="3" t="s">
        <v>2859</v>
      </c>
    </row>
    <row r="42" spans="1:38" ht="18.399999999999999" customHeight="1" x14ac:dyDescent="0.15">
      <c r="A42" s="42" t="s">
        <v>27</v>
      </c>
      <c r="B42" s="3"/>
      <c r="C42" s="46"/>
      <c r="K42" s="3" t="s">
        <v>621</v>
      </c>
    </row>
    <row r="43" spans="1:38" ht="18.399999999999999" customHeight="1" x14ac:dyDescent="0.15">
      <c r="A43" s="42" t="s">
        <v>2859</v>
      </c>
      <c r="B43" s="3"/>
      <c r="C43" s="46"/>
      <c r="K43" s="3" t="s">
        <v>2859</v>
      </c>
    </row>
    <row r="44" spans="1:38" ht="18.399999999999999" customHeight="1" x14ac:dyDescent="0.15">
      <c r="A44" s="44" t="str">
        <f>CONCATENATE("          q=",TEXT($AB44,"#,##0.0"),"  ,  e=",TEXT($AF44,"#,##0.00"))</f>
        <v xml:space="preserve">          q=3.2  ,  e=0.96</v>
      </c>
      <c r="B44" s="3"/>
      <c r="C44" s="46"/>
      <c r="K44" s="12" t="str">
        <f>SUBSTITUTE(SUBSTITUTE(SUBSTITUTE("          q = 3.2  ,  e = 0.96","3.2",TEXT($AB44,"#,##0.0"),1),"0.96",TEXT($AF44,"#,##0.00"),1),"_x001D_","'")</f>
        <v xml:space="preserve">          q = 3.2  ,  e = 0.96</v>
      </c>
      <c r="AA44" s="39" t="s">
        <v>1972</v>
      </c>
      <c r="AB44" s="8">
        <v>3.2</v>
      </c>
      <c r="AC44" s="39" t="s">
        <v>1972</v>
      </c>
      <c r="AD44" s="9">
        <f>$AB44</f>
        <v>3.2</v>
      </c>
      <c r="AE44" s="39" t="s">
        <v>1383</v>
      </c>
      <c r="AF44" s="8">
        <v>0.96</v>
      </c>
      <c r="AG44" s="39" t="s">
        <v>1383</v>
      </c>
      <c r="AH44" s="9">
        <f>$AF44</f>
        <v>0.96</v>
      </c>
    </row>
    <row r="45" spans="1:38" ht="18.399999999999999" customHeight="1" x14ac:dyDescent="0.15">
      <c r="A45" s="42" t="s">
        <v>2859</v>
      </c>
      <c r="B45" s="3"/>
      <c r="C45" s="46"/>
      <c r="K45" s="3" t="s">
        <v>2859</v>
      </c>
    </row>
    <row r="46" spans="1:38" ht="18.399999999999999" customHeight="1" x14ac:dyDescent="0.15">
      <c r="A46" s="44" t="str">
        <f>CONCATENATE("          L=",TEXT($AB46,"#,##0.000"),",  C=",TEXT($AF46,"#,##0.00"),", T=",TEXT($AJ46,"#,##0.0")," M")</f>
        <v xml:space="preserve">          L=1.175,  C=0.95, T=0.3 M</v>
      </c>
      <c r="B46" s="3"/>
      <c r="C46" s="46"/>
      <c r="K46" s="12" t="str">
        <f>SUBSTITUTE(SUBSTITUTE(SUBSTITUTE(SUBSTITUTE("          L = 1.175,  C = 0.95, T = 0.3_x001D_M_x001D_","1.175",TEXT($AB46,"#,##0.000"),1),"0.95",TEXT($AF46,"#,##0.00"),1),"0.3",TEXT($AJ46,"#,##0.0"),1),"_x001D_","'")</f>
        <v xml:space="preserve">          L = 1.175,  C = 0.95, T = 0.3'M'</v>
      </c>
      <c r="AA46" s="39" t="s">
        <v>2704</v>
      </c>
      <c r="AB46" s="8">
        <v>1.175</v>
      </c>
      <c r="AC46" s="39" t="s">
        <v>2704</v>
      </c>
      <c r="AD46" s="9">
        <f>$AB46</f>
        <v>1.175</v>
      </c>
      <c r="AE46" s="39" t="s">
        <v>1846</v>
      </c>
      <c r="AF46" s="8">
        <v>0.95</v>
      </c>
      <c r="AG46" s="39" t="s">
        <v>1846</v>
      </c>
      <c r="AH46" s="9">
        <f>$AF46</f>
        <v>0.95</v>
      </c>
      <c r="AI46" s="39" t="s">
        <v>1444</v>
      </c>
      <c r="AJ46" s="8">
        <v>0.3</v>
      </c>
      <c r="AK46" s="39" t="s">
        <v>1444</v>
      </c>
      <c r="AL46" s="9">
        <f>$AJ46</f>
        <v>0.3</v>
      </c>
    </row>
    <row r="47" spans="1:38" ht="18.399999999999999" customHeight="1" x14ac:dyDescent="0.15">
      <c r="A47" s="42" t="s">
        <v>2859</v>
      </c>
      <c r="B47" s="3"/>
      <c r="C47" s="46"/>
      <c r="K47" s="3" t="s">
        <v>2859</v>
      </c>
    </row>
    <row r="48" spans="1:38" ht="18.399999999999999" customHeight="1" x14ac:dyDescent="0.15">
      <c r="A48" s="44" t="str">
        <f>CONCATENATE("          qo = q * e = ",TEXT($AF48,"#,##0.00")," m3")</f>
        <v xml:space="preserve">          qo = q * e = 3.07 m3</v>
      </c>
      <c r="B48" s="3"/>
      <c r="C48" s="46"/>
      <c r="K48" s="3" t="s">
        <v>94</v>
      </c>
      <c r="AA48" s="39" t="s">
        <v>684</v>
      </c>
      <c r="AB48" s="10">
        <f>ROUND($AD44*$AH44,2)</f>
        <v>3.07</v>
      </c>
      <c r="AC48" s="39" t="s">
        <v>1136</v>
      </c>
      <c r="AD48" s="9">
        <f>$AB48</f>
        <v>3.07</v>
      </c>
      <c r="AE48" s="39" t="s">
        <v>506</v>
      </c>
      <c r="AF48" s="10">
        <f>ROUND(ROUND($AD44*$AH44,2),2)</f>
        <v>3.07</v>
      </c>
      <c r="AG48" s="39" t="s">
        <v>1007</v>
      </c>
      <c r="AH48" s="9">
        <f>$AF48</f>
        <v>3.07</v>
      </c>
    </row>
    <row r="49" spans="1:54" ht="18.399999999999999" customHeight="1" x14ac:dyDescent="0.15">
      <c r="A49" s="42" t="s">
        <v>2859</v>
      </c>
      <c r="B49" s="3"/>
      <c r="C49" s="46"/>
      <c r="K49" s="3" t="s">
        <v>2859</v>
      </c>
    </row>
    <row r="50" spans="1:54" ht="18.399999999999999" customHeight="1" x14ac:dyDescent="0.15">
      <c r="A50" s="44" t="str">
        <f>CONCATENATE("          f = C / L = ",TEXT($AF50,"#,##0.00")," , E=",TEXT($AJ50,"#,##0.00"))</f>
        <v xml:space="preserve">          f = C / L = 0.81 , E=0.60</v>
      </c>
      <c r="B50" s="3"/>
      <c r="C50" s="46"/>
      <c r="K50" s="12" t="str">
        <f>SUBSTITUTE(SUBSTITUTE("          f = C / L = {?,_x001D_9.9R_x001D_} , E = 0.60","0.60",TEXT($AJ50,"#,##0.00"),1),"_x001D_","'")</f>
        <v xml:space="preserve">          f = C / L = {?,'9.9R'} , E = 0.60</v>
      </c>
      <c r="AA50" s="39" t="s">
        <v>1802</v>
      </c>
      <c r="AB50" s="10">
        <f>ROUND($AH46/$AD46,2)</f>
        <v>0.81</v>
      </c>
      <c r="AC50" s="39" t="s">
        <v>1652</v>
      </c>
      <c r="AD50" s="9">
        <f>$AB50</f>
        <v>0.81</v>
      </c>
      <c r="AE50" s="39" t="s">
        <v>230</v>
      </c>
      <c r="AF50" s="10">
        <f>ROUND(ROUND($AH46/$AD46,2),2)</f>
        <v>0.81</v>
      </c>
      <c r="AG50" s="39" t="s">
        <v>1945</v>
      </c>
      <c r="AH50" s="9">
        <f>$AF50</f>
        <v>0.81</v>
      </c>
      <c r="AI50" s="39" t="s">
        <v>1383</v>
      </c>
      <c r="AJ50" s="8">
        <v>0.6</v>
      </c>
      <c r="AK50" s="39" t="s">
        <v>1383</v>
      </c>
      <c r="AL50" s="9">
        <f>$AJ50</f>
        <v>0.6</v>
      </c>
    </row>
    <row r="51" spans="1:54" ht="18.399999999999999" customHeight="1" x14ac:dyDescent="0.15">
      <c r="A51" s="42" t="s">
        <v>2859</v>
      </c>
      <c r="B51" s="3"/>
      <c r="C51" s="46"/>
      <c r="K51" s="3" t="s">
        <v>2859</v>
      </c>
    </row>
    <row r="52" spans="1:54" ht="18.399999999999999" customHeight="1" x14ac:dyDescent="0.15">
      <c r="A52" s="42" t="s">
        <v>2166</v>
      </c>
      <c r="B52" s="3"/>
      <c r="C52" s="46"/>
      <c r="K52" s="12" t="str">
        <f>SUBSTITUTE(SUBSTITUTE("          L1_x001D_(운반거리)_x001D_ = 20.0 _x001D_M_x001D_","20.0",TEXT($AB52,"#,##0.0"),1),"_x001D_","'")</f>
        <v xml:space="preserve">          L1'(운반거리)' = 20.0 'M'</v>
      </c>
      <c r="AA52" s="39" t="s">
        <v>2790</v>
      </c>
      <c r="AB52" s="8">
        <v>20</v>
      </c>
      <c r="AC52" s="39" t="s">
        <v>2790</v>
      </c>
      <c r="AD52" s="9">
        <f>$AB52</f>
        <v>20</v>
      </c>
    </row>
    <row r="53" spans="1:54" ht="18.399999999999999" customHeight="1" x14ac:dyDescent="0.15">
      <c r="A53" s="42" t="s">
        <v>2859</v>
      </c>
      <c r="B53" s="3"/>
      <c r="C53" s="46"/>
      <c r="K53" s="3" t="s">
        <v>2859</v>
      </c>
    </row>
    <row r="54" spans="1:54" ht="18.399999999999999" customHeight="1" x14ac:dyDescent="0.15">
      <c r="A54" s="44" t="str">
        <f>CONCATENATE("          V1=",TEXT($AB54,"#,##0.00")," m/min ,  V2=",TEXT($AF54,"#,##0.00")," m/min  , t=",TEXT($AJ54,"#,##0.00"))</f>
        <v xml:space="preserve">          V1=75.00 m/min ,  V2=98.00 m/min  , t=0.25</v>
      </c>
      <c r="B54" s="3"/>
      <c r="C54" s="46"/>
      <c r="K54" s="12" t="str">
        <f>SUBSTITUTE(SUBSTITUTE(SUBSTITUTE(SUBSTITUTE("          V1 = 75_x001D_m/min_x001D_,  V2 = 98_x001D_m/min_x001D_ , t = 0.25","75",TEXT($AB54,"#,##0"),1),"98",TEXT($AF54,"#,##0"),1),"0.25",TEXT($AJ54,"#,##0.00"),1),"_x001D_","'")</f>
        <v xml:space="preserve">          V1 = 75'm/min',  V2 = 98'm/min' , t = 0.25</v>
      </c>
      <c r="AA54" s="39" t="s">
        <v>2457</v>
      </c>
      <c r="AB54" s="8">
        <v>75</v>
      </c>
      <c r="AC54" s="39" t="s">
        <v>2457</v>
      </c>
      <c r="AD54" s="9">
        <f>$AB54</f>
        <v>75</v>
      </c>
      <c r="AE54" s="39" t="s">
        <v>559</v>
      </c>
      <c r="AF54" s="8">
        <v>98</v>
      </c>
      <c r="AG54" s="39" t="s">
        <v>559</v>
      </c>
      <c r="AH54" s="9">
        <f>$AF54</f>
        <v>98</v>
      </c>
      <c r="AI54" s="39" t="s">
        <v>1444</v>
      </c>
      <c r="AJ54" s="8">
        <v>0.25</v>
      </c>
      <c r="AK54" s="39" t="s">
        <v>1444</v>
      </c>
      <c r="AL54" s="9">
        <f>$AJ54</f>
        <v>0.25</v>
      </c>
    </row>
    <row r="55" spans="1:54" ht="18.399999999999999" customHeight="1" x14ac:dyDescent="0.15">
      <c r="A55" s="42" t="s">
        <v>2859</v>
      </c>
      <c r="B55" s="3"/>
      <c r="C55" s="46"/>
      <c r="K55" s="3" t="s">
        <v>2859</v>
      </c>
    </row>
    <row r="56" spans="1:54" ht="18.399999999999999" customHeight="1" x14ac:dyDescent="0.15">
      <c r="A56" s="44" t="str">
        <f>CONCATENATE("          Cm = (",TEXT($AB56,"#,##0.00")," /",TEXT($AF56,"#,##0.00"),") + (",TEXT($AJ56,"#,##0.00")," / ",TEXT($AN56,"#,##0.00"),") + ",TEXT($AR56,"#,##0.00")," = ",TEXT($AZ56,"#,##0.00")," min")</f>
        <v xml:space="preserve">          Cm = (20.00 /75.00) + (20.00 / 98.00) + 0.25 = 0.72 min</v>
      </c>
      <c r="B56" s="3"/>
      <c r="C56" s="46"/>
      <c r="K56" s="3" t="s">
        <v>2361</v>
      </c>
      <c r="AA56" s="39" t="s">
        <v>1736</v>
      </c>
      <c r="AB56" s="10">
        <f>$AD52</f>
        <v>20</v>
      </c>
      <c r="AC56" s="39" t="s">
        <v>436</v>
      </c>
      <c r="AD56" s="9">
        <f>$AB56</f>
        <v>20</v>
      </c>
      <c r="AE56" s="39" t="s">
        <v>845</v>
      </c>
      <c r="AF56" s="10">
        <f>$AD54</f>
        <v>75</v>
      </c>
      <c r="AG56" s="39" t="s">
        <v>2190</v>
      </c>
      <c r="AH56" s="9">
        <f>$AF56</f>
        <v>75</v>
      </c>
      <c r="AI56" s="39" t="s">
        <v>2820</v>
      </c>
      <c r="AJ56" s="10">
        <f>$AD52</f>
        <v>20</v>
      </c>
      <c r="AK56" s="39" t="s">
        <v>1812</v>
      </c>
      <c r="AL56" s="9">
        <f>$AJ56</f>
        <v>20</v>
      </c>
      <c r="AM56" s="39" t="s">
        <v>2656</v>
      </c>
      <c r="AN56" s="10">
        <f>$AH54</f>
        <v>98</v>
      </c>
      <c r="AO56" s="39" t="s">
        <v>271</v>
      </c>
      <c r="AP56" s="9">
        <f>$AN56</f>
        <v>98</v>
      </c>
      <c r="AQ56" s="39" t="s">
        <v>1050</v>
      </c>
      <c r="AR56" s="10">
        <f>$AL54</f>
        <v>0.25</v>
      </c>
      <c r="AS56" s="39" t="s">
        <v>1436</v>
      </c>
      <c r="AT56" s="9">
        <f>$AR56</f>
        <v>0.25</v>
      </c>
      <c r="AU56" s="39" t="s">
        <v>2302</v>
      </c>
      <c r="AV56" s="10">
        <f>ROUND(($AD56/$AH56)+($AL56/$AP56)+$AT56,2)</f>
        <v>0.72</v>
      </c>
      <c r="AW56" s="39" t="s">
        <v>139</v>
      </c>
      <c r="AX56" s="9">
        <f>$AV56</f>
        <v>0.72</v>
      </c>
      <c r="AY56" s="39" t="s">
        <v>1585</v>
      </c>
      <c r="AZ56" s="10">
        <f>ROUND(ROUND(($AD56/$AH56)+($AL56/$AP56)+$AT56,2),2)</f>
        <v>0.72</v>
      </c>
      <c r="BA56" s="39" t="s">
        <v>1628</v>
      </c>
      <c r="BB56" s="9">
        <f>$AZ56</f>
        <v>0.72</v>
      </c>
    </row>
    <row r="57" spans="1:54" ht="18.399999999999999" customHeight="1" x14ac:dyDescent="0.15">
      <c r="A57" s="42" t="s">
        <v>2859</v>
      </c>
      <c r="B57" s="3"/>
      <c r="C57" s="46"/>
      <c r="K57" s="3" t="s">
        <v>2859</v>
      </c>
    </row>
    <row r="58" spans="1:54" ht="18.399999999999999" customHeight="1" x14ac:dyDescent="0.15">
      <c r="A58" s="44" t="str">
        <f>CONCATENATE("      Q = 60 * ",TEXT($AB58,"#,##0.00")," * ",TEXT($AF58,"#,##0.00")," * ",TEXT($AJ58,"#,##0.00")," / ",TEXT($AN58,"#,##0.00")," = ",TEXT($AV58,"#,##0.00")," m3/hr")</f>
        <v xml:space="preserve">      Q = 60 * 3.07 * 0.81 * 0.60 / 0.72 = 124.34 m3/hr</v>
      </c>
      <c r="B58" s="3"/>
      <c r="C58" s="46"/>
      <c r="K58" s="3" t="s">
        <v>2571</v>
      </c>
      <c r="AA58" s="39" t="s">
        <v>150</v>
      </c>
      <c r="AB58" s="10">
        <f>$AD48</f>
        <v>3.07</v>
      </c>
      <c r="AC58" s="39" t="s">
        <v>276</v>
      </c>
      <c r="AD58" s="9">
        <f>$AB58</f>
        <v>3.07</v>
      </c>
      <c r="AE58" s="39" t="s">
        <v>2503</v>
      </c>
      <c r="AF58" s="10">
        <f>$AD50</f>
        <v>0.81</v>
      </c>
      <c r="AG58" s="39" t="s">
        <v>2754</v>
      </c>
      <c r="AH58" s="9">
        <f>$AF58</f>
        <v>0.81</v>
      </c>
      <c r="AI58" s="39" t="s">
        <v>1248</v>
      </c>
      <c r="AJ58" s="10">
        <f>$AL50</f>
        <v>0.6</v>
      </c>
      <c r="AK58" s="39" t="s">
        <v>1629</v>
      </c>
      <c r="AL58" s="9">
        <f>$AJ58</f>
        <v>0.6</v>
      </c>
      <c r="AM58" s="39" t="s">
        <v>1420</v>
      </c>
      <c r="AN58" s="10">
        <f>$AX56</f>
        <v>0.72</v>
      </c>
      <c r="AO58" s="39" t="s">
        <v>433</v>
      </c>
      <c r="AP58" s="9">
        <f>$AN58</f>
        <v>0.72</v>
      </c>
      <c r="AQ58" s="39" t="s">
        <v>504</v>
      </c>
      <c r="AR58" s="10">
        <f>ROUND(60*$AD58*$AH58*$AL58/$AP58,2)</f>
        <v>124.34</v>
      </c>
      <c r="AS58" s="39" t="s">
        <v>1972</v>
      </c>
      <c r="AT58" s="9">
        <f>$AR58</f>
        <v>124.34</v>
      </c>
      <c r="AU58" s="39" t="s">
        <v>2287</v>
      </c>
      <c r="AV58" s="10">
        <f>ROUND(ROUND(60*$AD58*$AH58*$AL58/$AP58,2),2)</f>
        <v>124.34</v>
      </c>
      <c r="AW58" s="39" t="s">
        <v>851</v>
      </c>
      <c r="AX58" s="9">
        <f>$AV58</f>
        <v>124.34</v>
      </c>
    </row>
    <row r="59" spans="1:54" ht="18.399999999999999" customHeight="1" x14ac:dyDescent="0.15">
      <c r="A59" s="42" t="s">
        <v>2859</v>
      </c>
      <c r="B59" s="3"/>
      <c r="C59" s="46"/>
      <c r="K59" s="3" t="s">
        <v>2859</v>
      </c>
    </row>
    <row r="60" spans="1:54" ht="18.399999999999999" customHeight="1" x14ac:dyDescent="0.15">
      <c r="A60" s="44" t="str">
        <f>CONCATENATE("          1 /",TEXT($AB60,"#,##0.00")," * 0.5 (50%적용)  = ","QTY hr/m3")</f>
        <v xml:space="preserve">          1 /124.34 * 0.5 (50%적용)  = QTY hr/m3</v>
      </c>
      <c r="B60" s="3">
        <f>$AF60</f>
        <v>4.0000000000000001E-3</v>
      </c>
      <c r="C60" s="46"/>
      <c r="K60" s="3" t="s">
        <v>1969</v>
      </c>
      <c r="AA60" s="39" t="s">
        <v>217</v>
      </c>
      <c r="AB60" s="10">
        <f>$AT58</f>
        <v>124.34</v>
      </c>
      <c r="AC60" s="39" t="s">
        <v>1211</v>
      </c>
      <c r="AD60" s="9">
        <f>$AB60</f>
        <v>124.34</v>
      </c>
      <c r="AE60" s="39" t="s">
        <v>1268</v>
      </c>
      <c r="AF60" s="10">
        <f>ROUND(1/$AD60*0.5,4)</f>
        <v>4.0000000000000001E-3</v>
      </c>
      <c r="AG60" s="39" t="s">
        <v>2080</v>
      </c>
      <c r="AH60" s="9">
        <f>$AF60</f>
        <v>4.0000000000000001E-3</v>
      </c>
    </row>
    <row r="61" spans="1:54" ht="18.399999999999999" customHeight="1" x14ac:dyDescent="0.15">
      <c r="A61" s="43"/>
      <c r="B61" s="3"/>
      <c r="C61" s="46"/>
    </row>
    <row r="62" spans="1:54" ht="18.399999999999999" customHeight="1" x14ac:dyDescent="0.15">
      <c r="A62" s="42" t="s">
        <v>2130</v>
      </c>
      <c r="B62" s="3"/>
      <c r="C62" s="46"/>
      <c r="G62" s="3" t="s">
        <v>2859</v>
      </c>
    </row>
    <row r="63" spans="1:54" ht="18.399999999999999" customHeight="1" x14ac:dyDescent="0.15">
      <c r="A63" s="42" t="s">
        <v>2859</v>
      </c>
      <c r="B63" s="3"/>
      <c r="C63" s="46"/>
      <c r="K63" s="3" t="s">
        <v>2859</v>
      </c>
    </row>
    <row r="64" spans="1:54" ht="18.399999999999999" customHeight="1" x14ac:dyDescent="0.15">
      <c r="A64" s="42" t="s">
        <v>1199</v>
      </c>
      <c r="B64" s="3"/>
      <c r="C64" s="46"/>
      <c r="K64" s="3" t="s">
        <v>1199</v>
      </c>
    </row>
    <row r="65" spans="1:58" ht="18.399999999999999" customHeight="1" x14ac:dyDescent="0.15">
      <c r="A65" s="42" t="s">
        <v>388</v>
      </c>
      <c r="B65" s="3"/>
      <c r="C65" s="46"/>
      <c r="K65" s="3" t="s">
        <v>944</v>
      </c>
    </row>
    <row r="66" spans="1:58" ht="18.399999999999999" customHeight="1" x14ac:dyDescent="0.15">
      <c r="A66" s="42" t="s">
        <v>2859</v>
      </c>
      <c r="B66" s="3"/>
      <c r="C66" s="46"/>
      <c r="K66" s="3" t="s">
        <v>2859</v>
      </c>
    </row>
    <row r="67" spans="1:58" ht="18.399999999999999" customHeight="1" x14ac:dyDescent="0.15">
      <c r="A67" s="42" t="s">
        <v>1909</v>
      </c>
      <c r="B67" s="3"/>
      <c r="C67" s="46"/>
      <c r="K67" s="3" t="s">
        <v>718</v>
      </c>
    </row>
    <row r="68" spans="1:58" ht="18.399999999999999" customHeight="1" x14ac:dyDescent="0.15">
      <c r="A68" s="42" t="s">
        <v>2859</v>
      </c>
      <c r="B68" s="3"/>
      <c r="C68" s="46"/>
      <c r="K68" s="3" t="s">
        <v>2859</v>
      </c>
    </row>
    <row r="69" spans="1:58" ht="18.399999999999999" customHeight="1" x14ac:dyDescent="0.15">
      <c r="A69" s="44" t="str">
        <f>CONCATENATE("          V=",TEXT($AB69,"#,##0.00")," km/hr ,  W=",TEXT($AF69,"#,##0.0")," m ,  D=",TEXT($AJ69,"#,##0.00")," m")</f>
        <v xml:space="preserve">          V=4.00 km/hr ,  W=1.9 m ,  D=0.30 m</v>
      </c>
      <c r="B69" s="3"/>
      <c r="C69" s="46"/>
      <c r="K69" s="12" t="str">
        <f>SUBSTITUTE(SUBSTITUTE(SUBSTITUTE(SUBSTITUTE("          V = 4_x001D_km/hr_x001D_,  W = 1.9_x001D_m_x001D_,  D = 0.30_x001D_m_x001D_","4",TEXT($AB69,"#,##0"),1),"1.9",TEXT($AF69,"#,##0.0"),1),"0.30",TEXT($AJ69,"#,##0.00"),1),"_x001D_","'")</f>
        <v xml:space="preserve">          V = 4'km/hr',  W = 1.9'm',  D = 0.30'm'</v>
      </c>
      <c r="AA69" s="39" t="s">
        <v>120</v>
      </c>
      <c r="AB69" s="8">
        <v>4</v>
      </c>
      <c r="AC69" s="39" t="s">
        <v>120</v>
      </c>
      <c r="AD69" s="9">
        <f>$AB69</f>
        <v>4</v>
      </c>
      <c r="AE69" s="39" t="s">
        <v>1242</v>
      </c>
      <c r="AF69" s="8">
        <v>1.9</v>
      </c>
      <c r="AG69" s="39" t="s">
        <v>1242</v>
      </c>
      <c r="AH69" s="9">
        <f>$AF69</f>
        <v>1.9</v>
      </c>
      <c r="AI69" s="39" t="s">
        <v>333</v>
      </c>
      <c r="AJ69" s="8">
        <v>0.3</v>
      </c>
      <c r="AK69" s="39" t="s">
        <v>333</v>
      </c>
      <c r="AL69" s="9">
        <f>$AJ69</f>
        <v>0.3</v>
      </c>
    </row>
    <row r="70" spans="1:58" ht="18.399999999999999" customHeight="1" x14ac:dyDescent="0.15">
      <c r="A70" s="42" t="s">
        <v>2859</v>
      </c>
      <c r="B70" s="3"/>
      <c r="C70" s="46"/>
      <c r="K70" s="3" t="s">
        <v>2859</v>
      </c>
    </row>
    <row r="71" spans="1:58" ht="18.399999999999999" customHeight="1" x14ac:dyDescent="0.15">
      <c r="A71" s="44" t="str">
        <f>CONCATENATE("          f=",TEXT($AB71,"#,##0.0"),"     ,  E=",TEXT($AF71,"#,##0.00"),"  ,  N=",TEXT($AJ71,"#,##0.00")," 회")</f>
        <v xml:space="preserve">          f=1.0     ,  E=0.60  ,  N=6.00 회</v>
      </c>
      <c r="B71" s="3"/>
      <c r="C71" s="46"/>
      <c r="K71" s="12" t="str">
        <f>SUBSTITUTE(SUBSTITUTE(SUBSTITUTE(SUBSTITUTE("          f = 1.0     ,  E = 0.60  ,  N = 6_x001D_회_x001D_","1.0",TEXT($AB71,"#,##0.0"),1),"0.60",TEXT($AF71,"#,##0.00"),1),"6",TEXT($AJ71,"#,##0"),2),"_x001D_","'")</f>
        <v xml:space="preserve">          f = 1.0     ,  E = 0.60  ,  N = 6'회'</v>
      </c>
      <c r="AA71" s="39" t="s">
        <v>1652</v>
      </c>
      <c r="AB71" s="8">
        <v>1</v>
      </c>
      <c r="AC71" s="39" t="s">
        <v>1652</v>
      </c>
      <c r="AD71" s="9">
        <f>$AB71</f>
        <v>1</v>
      </c>
      <c r="AE71" s="39" t="s">
        <v>1383</v>
      </c>
      <c r="AF71" s="8">
        <v>0.6</v>
      </c>
      <c r="AG71" s="39" t="s">
        <v>1383</v>
      </c>
      <c r="AH71" s="9">
        <f>$AF71</f>
        <v>0.6</v>
      </c>
      <c r="AI71" s="39" t="s">
        <v>1395</v>
      </c>
      <c r="AJ71" s="8">
        <v>6</v>
      </c>
      <c r="AK71" s="39" t="s">
        <v>1395</v>
      </c>
      <c r="AL71" s="9">
        <f>$AJ71</f>
        <v>6</v>
      </c>
    </row>
    <row r="72" spans="1:58" ht="18.399999999999999" customHeight="1" x14ac:dyDescent="0.15">
      <c r="A72" s="42" t="s">
        <v>2859</v>
      </c>
      <c r="B72" s="3"/>
      <c r="C72" s="46"/>
      <c r="K72" s="3" t="s">
        <v>2859</v>
      </c>
    </row>
    <row r="73" spans="1:58" ht="18.399999999999999" customHeight="1" x14ac:dyDescent="0.15">
      <c r="A73" s="44" t="str">
        <f>CONCATENATE("      Q = 1000 * ",TEXT($AB73,"#,##0.00")," * ",TEXT($AF73,"#,##0.00")," * ",TEXT($AJ73,"#,##0.00")," * ",TEXT($AN73,"#,##0.00")," * ",TEXT($AR73,"#,##0.00")," / ",TEXT($AV73,"#,##0.00")," = ",TEXT($BD73,"#,##0.00")," m3/hr")</f>
        <v xml:space="preserve">      Q = 1000 * 4.00 * 1.90 * 0.30 * 0.60 * 1.00 / 6.00 = 228.00 m3/hr</v>
      </c>
      <c r="B73" s="3"/>
      <c r="C73" s="46"/>
      <c r="K73" s="3" t="s">
        <v>1914</v>
      </c>
      <c r="AA73" s="39" t="s">
        <v>2679</v>
      </c>
      <c r="AB73" s="10">
        <f>$AD69</f>
        <v>4</v>
      </c>
      <c r="AC73" s="39" t="s">
        <v>2244</v>
      </c>
      <c r="AD73" s="9">
        <f>$AB73</f>
        <v>4</v>
      </c>
      <c r="AE73" s="39" t="s">
        <v>680</v>
      </c>
      <c r="AF73" s="10">
        <f>$AH69</f>
        <v>1.9</v>
      </c>
      <c r="AG73" s="39" t="s">
        <v>382</v>
      </c>
      <c r="AH73" s="9">
        <f>$AF73</f>
        <v>1.9</v>
      </c>
      <c r="AI73" s="39" t="s">
        <v>1595</v>
      </c>
      <c r="AJ73" s="10">
        <f>$AL69</f>
        <v>0.3</v>
      </c>
      <c r="AK73" s="39" t="s">
        <v>708</v>
      </c>
      <c r="AL73" s="9">
        <f>$AJ73</f>
        <v>0.3</v>
      </c>
      <c r="AM73" s="39" t="s">
        <v>1763</v>
      </c>
      <c r="AN73" s="10">
        <f>$AH71</f>
        <v>0.6</v>
      </c>
      <c r="AO73" s="39" t="s">
        <v>2793</v>
      </c>
      <c r="AP73" s="9">
        <f>$AN73</f>
        <v>0.6</v>
      </c>
      <c r="AQ73" s="39" t="s">
        <v>488</v>
      </c>
      <c r="AR73" s="10">
        <f>$AD71</f>
        <v>1</v>
      </c>
      <c r="AS73" s="39" t="s">
        <v>1754</v>
      </c>
      <c r="AT73" s="9">
        <f>$AR73</f>
        <v>1</v>
      </c>
      <c r="AU73" s="39" t="s">
        <v>2840</v>
      </c>
      <c r="AV73" s="10">
        <f>$AL71</f>
        <v>6</v>
      </c>
      <c r="AW73" s="39" t="s">
        <v>1304</v>
      </c>
      <c r="AX73" s="9">
        <f>$AV73</f>
        <v>6</v>
      </c>
      <c r="AY73" s="39" t="s">
        <v>504</v>
      </c>
      <c r="AZ73" s="10">
        <f>ROUND(1000*$AD73*$AH73*$AL73*$AP73*$AT73/$AX73,2)</f>
        <v>228</v>
      </c>
      <c r="BA73" s="39" t="s">
        <v>1972</v>
      </c>
      <c r="BB73" s="9">
        <f>$AZ73</f>
        <v>228</v>
      </c>
      <c r="BC73" s="39" t="s">
        <v>872</v>
      </c>
      <c r="BD73" s="10">
        <f>ROUND(ROUND(1000*$AD73*$AH73*$AL73*$AP73*$AT73/$AX73,2),2)</f>
        <v>228</v>
      </c>
      <c r="BE73" s="39" t="s">
        <v>234</v>
      </c>
      <c r="BF73" s="9">
        <f>$BD73</f>
        <v>228</v>
      </c>
    </row>
    <row r="74" spans="1:58" ht="18.399999999999999" customHeight="1" x14ac:dyDescent="0.15">
      <c r="A74" s="42" t="s">
        <v>2859</v>
      </c>
      <c r="B74" s="3"/>
      <c r="C74" s="46"/>
      <c r="K74" s="3" t="s">
        <v>2859</v>
      </c>
    </row>
    <row r="75" spans="1:58" ht="18.399999999999999" customHeight="1" x14ac:dyDescent="0.15">
      <c r="A75" s="44" t="str">
        <f>CONCATENATE("          1 / Q = ","QTY hr/m3")</f>
        <v xml:space="preserve">          1 / Q = QTY hr/m3</v>
      </c>
      <c r="B75" s="3">
        <f>$AB75</f>
        <v>4.4000000000000003E-3</v>
      </c>
      <c r="C75" s="46"/>
      <c r="K75" s="3" t="s">
        <v>1615</v>
      </c>
      <c r="AA75" s="39" t="s">
        <v>1268</v>
      </c>
      <c r="AB75" s="10">
        <f>ROUND(1/$BB73,4)</f>
        <v>4.4000000000000003E-3</v>
      </c>
      <c r="AC75" s="39" t="s">
        <v>2080</v>
      </c>
      <c r="AD75" s="9">
        <f>$AB75</f>
        <v>4.4000000000000003E-3</v>
      </c>
    </row>
    <row r="76" spans="1:58" ht="18.399999999999999" customHeight="1" x14ac:dyDescent="0.15">
      <c r="A76" s="43"/>
      <c r="B76" s="3"/>
      <c r="C76" s="46"/>
    </row>
    <row r="77" spans="1:58" ht="18.399999999999999" customHeight="1" x14ac:dyDescent="0.15">
      <c r="A77" s="42" t="s">
        <v>512</v>
      </c>
      <c r="B77" s="3"/>
      <c r="C77" s="46"/>
      <c r="G77" s="3" t="s">
        <v>2859</v>
      </c>
    </row>
    <row r="78" spans="1:58" ht="18.399999999999999" customHeight="1" x14ac:dyDescent="0.15">
      <c r="A78" s="42" t="s">
        <v>1784</v>
      </c>
      <c r="B78" s="3"/>
      <c r="C78" s="46"/>
      <c r="K78" s="3" t="s">
        <v>1784</v>
      </c>
    </row>
    <row r="79" spans="1:58" ht="18.399999999999999" customHeight="1" x14ac:dyDescent="0.15">
      <c r="A79" s="42" t="s">
        <v>2358</v>
      </c>
      <c r="B79" s="3"/>
      <c r="C79" s="46"/>
      <c r="K79" s="3" t="s">
        <v>95</v>
      </c>
    </row>
    <row r="80" spans="1:58" ht="18.399999999999999" customHeight="1" x14ac:dyDescent="0.15">
      <c r="A80" s="42" t="s">
        <v>2859</v>
      </c>
      <c r="B80" s="3"/>
      <c r="C80" s="46"/>
      <c r="K80" s="3" t="s">
        <v>2859</v>
      </c>
    </row>
    <row r="81" spans="1:38" ht="18.399999999999999" customHeight="1" x14ac:dyDescent="0.15">
      <c r="A81" s="42" t="s">
        <v>85</v>
      </c>
      <c r="B81" s="3"/>
      <c r="C81" s="46"/>
      <c r="K81" s="3" t="s">
        <v>2279</v>
      </c>
    </row>
    <row r="82" spans="1:38" ht="18.399999999999999" customHeight="1" x14ac:dyDescent="0.15">
      <c r="A82" s="42" t="s">
        <v>2859</v>
      </c>
      <c r="B82" s="3"/>
      <c r="C82" s="46"/>
      <c r="K82" s="3" t="s">
        <v>2859</v>
      </c>
    </row>
    <row r="83" spans="1:38" ht="18.399999999999999" customHeight="1" x14ac:dyDescent="0.15">
      <c r="A83" s="42" t="s">
        <v>442</v>
      </c>
      <c r="B83" s="3"/>
      <c r="C83" s="46"/>
      <c r="K83" s="3" t="s">
        <v>442</v>
      </c>
    </row>
    <row r="84" spans="1:38" ht="18.399999999999999" customHeight="1" x14ac:dyDescent="0.15">
      <c r="A84" s="42" t="s">
        <v>2859</v>
      </c>
      <c r="B84" s="3"/>
      <c r="C84" s="46"/>
      <c r="K84" s="3" t="s">
        <v>2859</v>
      </c>
    </row>
    <row r="85" spans="1:38" ht="18.399999999999999" customHeight="1" x14ac:dyDescent="0.15">
      <c r="A85" s="42" t="s">
        <v>2654</v>
      </c>
      <c r="B85" s="3"/>
      <c r="C85" s="46"/>
      <c r="K85" s="3" t="s">
        <v>2654</v>
      </c>
    </row>
    <row r="86" spans="1:38" ht="18.399999999999999" customHeight="1" x14ac:dyDescent="0.15">
      <c r="A86" s="42" t="s">
        <v>2859</v>
      </c>
      <c r="B86" s="3"/>
      <c r="C86" s="46"/>
      <c r="K86" s="3" t="s">
        <v>2859</v>
      </c>
    </row>
    <row r="87" spans="1:38" ht="18.399999999999999" customHeight="1" x14ac:dyDescent="0.15">
      <c r="A87" s="44" t="str">
        <f>CONCATENATE("   Ws=",TEXT($AB87,"#,##0.00")," kg")</f>
        <v xml:space="preserve">   Ws=1,416.00 kg</v>
      </c>
      <c r="B87" s="3"/>
      <c r="C87" s="46"/>
      <c r="K87" s="12" t="str">
        <f>SUBSTITUTE(SUBSTITUTE("   Ws= 1416_x001D_kg_x001D_","1416",TEXT($AB87,"#,##0"),1),"_x001D_","'")</f>
        <v xml:space="preserve">   Ws= 1,416'kg'</v>
      </c>
      <c r="AA87" s="39" t="s">
        <v>2560</v>
      </c>
      <c r="AB87" s="8">
        <v>1416</v>
      </c>
      <c r="AC87" s="39" t="s">
        <v>2560</v>
      </c>
      <c r="AD87" s="9">
        <f>$AB87</f>
        <v>1416</v>
      </c>
    </row>
    <row r="88" spans="1:38" ht="18.399999999999999" customHeight="1" x14ac:dyDescent="0.15">
      <c r="A88" s="42" t="s">
        <v>2859</v>
      </c>
      <c r="B88" s="3"/>
      <c r="C88" s="46"/>
      <c r="K88" s="3" t="s">
        <v>2859</v>
      </c>
    </row>
    <row r="89" spans="1:38" ht="18.399999999999999" customHeight="1" x14ac:dyDescent="0.15">
      <c r="A89" s="44" t="str">
        <f>CONCATENATE("   13 : (1600-",TEXT($AB89,"#,##0.00"),")/",TEXT($AF89,"#,##0.00"),"*100")</f>
        <v xml:space="preserve">   13 : (1600-1,416.00)/1,416.00*100</v>
      </c>
      <c r="B89" s="3"/>
      <c r="C89" s="46"/>
      <c r="K89" s="3" t="s">
        <v>2276</v>
      </c>
      <c r="AA89" s="39" t="s">
        <v>2830</v>
      </c>
      <c r="AB89" s="10">
        <f>$AD87</f>
        <v>1416</v>
      </c>
      <c r="AC89" s="39" t="s">
        <v>2359</v>
      </c>
      <c r="AD89" s="9">
        <f>$AB89</f>
        <v>1416</v>
      </c>
      <c r="AE89" s="39" t="s">
        <v>478</v>
      </c>
      <c r="AF89" s="10">
        <f>$AD87</f>
        <v>1416</v>
      </c>
      <c r="AG89" s="39" t="s">
        <v>658</v>
      </c>
      <c r="AH89" s="9">
        <f>$AF89</f>
        <v>1416</v>
      </c>
    </row>
    <row r="90" spans="1:38" ht="18.399999999999999" customHeight="1" x14ac:dyDescent="0.15">
      <c r="A90" s="42" t="s">
        <v>2859</v>
      </c>
      <c r="B90" s="3"/>
      <c r="C90" s="46"/>
      <c r="K90" s="3" t="s">
        <v>2859</v>
      </c>
    </row>
    <row r="91" spans="1:38" ht="18.399999999999999" customHeight="1" x14ac:dyDescent="0.15">
      <c r="A91" s="42" t="s">
        <v>998</v>
      </c>
      <c r="B91" s="3"/>
      <c r="C91" s="46"/>
      <c r="K91" s="3" t="s">
        <v>998</v>
      </c>
    </row>
    <row r="92" spans="1:38" ht="18.399999999999999" customHeight="1" x14ac:dyDescent="0.15">
      <c r="A92" s="42" t="s">
        <v>2859</v>
      </c>
      <c r="B92" s="3"/>
      <c r="C92" s="46"/>
      <c r="K92" s="3" t="s">
        <v>2859</v>
      </c>
    </row>
    <row r="93" spans="1:38" ht="18.399999999999999" customHeight="1" x14ac:dyDescent="0.15">
      <c r="A93" s="44" t="str">
        <f>CONCATENATE("   WQ = ",TEXT($AB93,"#,##0.00"),"*(0.13-0.08)=",TEXT($AJ93,"#,##0.00")," KG/M2 ")</f>
        <v xml:space="preserve">   WQ = 1,416.00*(0.13-0.08)=70.80 KG/M2 </v>
      </c>
      <c r="B93" s="3"/>
      <c r="C93" s="46"/>
      <c r="K93" s="3" t="s">
        <v>1101</v>
      </c>
      <c r="AA93" s="39" t="s">
        <v>1078</v>
      </c>
      <c r="AB93" s="10">
        <f>$AD87</f>
        <v>1416</v>
      </c>
      <c r="AC93" s="39" t="s">
        <v>994</v>
      </c>
      <c r="AD93" s="9">
        <f>$AB93</f>
        <v>1416</v>
      </c>
      <c r="AE93" s="39" t="s">
        <v>2135</v>
      </c>
      <c r="AF93" s="10">
        <f>ROUND($AD93*(0.13-0.08),2)</f>
        <v>70.8</v>
      </c>
      <c r="AG93" s="39" t="s">
        <v>1189</v>
      </c>
      <c r="AH93" s="9">
        <f>$AF93</f>
        <v>70.8</v>
      </c>
      <c r="AI93" s="39" t="s">
        <v>1591</v>
      </c>
      <c r="AJ93" s="10">
        <f>ROUND(ROUND($AD93*(0.13-0.08),2),2)</f>
        <v>70.8</v>
      </c>
      <c r="AK93" s="39" t="s">
        <v>2023</v>
      </c>
      <c r="AL93" s="9">
        <f>$AJ93</f>
        <v>70.8</v>
      </c>
    </row>
    <row r="94" spans="1:38" ht="18.399999999999999" customHeight="1" x14ac:dyDescent="0.15">
      <c r="A94" s="42" t="s">
        <v>2859</v>
      </c>
      <c r="B94" s="3"/>
      <c r="C94" s="46"/>
      <c r="K94" s="3" t="s">
        <v>2859</v>
      </c>
    </row>
    <row r="95" spans="1:38" ht="18.399999999999999" customHeight="1" x14ac:dyDescent="0.15">
      <c r="A95" s="44" t="str">
        <f>CONCATENATE("   t1=",TEXT($AB95,"#,##0.00")," MIN (호스조작)")</f>
        <v xml:space="preserve">   t1=5.00 MIN (호스조작)</v>
      </c>
      <c r="B95" s="3"/>
      <c r="C95" s="46"/>
      <c r="K95" s="12" t="str">
        <f>SUBSTITUTE(SUBSTITUTE("   t1 = 5_x001D_MIN (호스조작)_x001D_","5",TEXT($AB95,"#,##0"),1),"_x001D_","'")</f>
        <v xml:space="preserve">   t1 = 5'MIN (호스조작)'</v>
      </c>
      <c r="AA95" s="39" t="s">
        <v>2079</v>
      </c>
      <c r="AB95" s="8">
        <v>5</v>
      </c>
      <c r="AC95" s="39" t="s">
        <v>2079</v>
      </c>
      <c r="AD95" s="9">
        <f>$AB95</f>
        <v>5</v>
      </c>
    </row>
    <row r="96" spans="1:38" ht="18.399999999999999" customHeight="1" x14ac:dyDescent="0.15">
      <c r="A96" s="42" t="s">
        <v>2859</v>
      </c>
      <c r="B96" s="3"/>
      <c r="C96" s="46"/>
      <c r="K96" s="3" t="s">
        <v>2859</v>
      </c>
    </row>
    <row r="97" spans="1:50" ht="18.399999999999999" customHeight="1" x14ac:dyDescent="0.15">
      <c r="A97" s="44" t="str">
        <f>CONCATENATE("   t2=",TEXT($AB97,"#,##0.00")," MIN (펌핑)")</f>
        <v xml:space="preserve">   t2=10.00 MIN (펌핑)</v>
      </c>
      <c r="B97" s="3"/>
      <c r="C97" s="46"/>
      <c r="K97" s="12" t="str">
        <f>SUBSTITUTE(SUBSTITUTE("   t2 = 10_x001D_MIN (펌핑)_x001D_","10",TEXT($AB97,"#,##0"),1),"_x001D_","'")</f>
        <v xml:space="preserve">   t2 = 10'MIN (펌핑)'</v>
      </c>
      <c r="AA97" s="39" t="s">
        <v>953</v>
      </c>
      <c r="AB97" s="8">
        <v>10</v>
      </c>
      <c r="AC97" s="39" t="s">
        <v>953</v>
      </c>
      <c r="AD97" s="9">
        <f>$AB97</f>
        <v>10</v>
      </c>
    </row>
    <row r="98" spans="1:50" ht="18.399999999999999" customHeight="1" x14ac:dyDescent="0.15">
      <c r="A98" s="42" t="s">
        <v>2859</v>
      </c>
      <c r="B98" s="3"/>
      <c r="C98" s="46"/>
      <c r="K98" s="3" t="s">
        <v>2859</v>
      </c>
    </row>
    <row r="99" spans="1:50" ht="18.399999999999999" customHeight="1" x14ac:dyDescent="0.15">
      <c r="A99" s="44" t="str">
        <f>CONCATENATE("   t3=",TEXT($AB99,"#,##0.00")," MIN (대기)")</f>
        <v xml:space="preserve">   t3=5.00 MIN (대기)</v>
      </c>
      <c r="B99" s="3"/>
      <c r="C99" s="46"/>
      <c r="K99" s="12" t="str">
        <f>SUBSTITUTE(SUBSTITUTE("   t3 = 5_x001D_MIN (대기)_x001D_","5",TEXT($AB99,"#,##0"),1),"_x001D_","'")</f>
        <v xml:space="preserve">   t3 = 5'MIN (대기)'</v>
      </c>
      <c r="AA99" s="39" t="s">
        <v>511</v>
      </c>
      <c r="AB99" s="8">
        <v>5</v>
      </c>
      <c r="AC99" s="39" t="s">
        <v>511</v>
      </c>
      <c r="AD99" s="9">
        <f>$AB99</f>
        <v>5</v>
      </c>
    </row>
    <row r="100" spans="1:50" ht="18.399999999999999" customHeight="1" x14ac:dyDescent="0.15">
      <c r="A100" s="42" t="s">
        <v>2859</v>
      </c>
      <c r="B100" s="3"/>
      <c r="C100" s="46"/>
      <c r="K100" s="3" t="s">
        <v>2859</v>
      </c>
    </row>
    <row r="101" spans="1:50" ht="18.399999999999999" customHeight="1" x14ac:dyDescent="0.15">
      <c r="A101" s="44" t="str">
        <f>CONCATENATE("   t4=",TEXT($AB101,"#,##0.00")," MIN (살수)")</f>
        <v xml:space="preserve">   t4=20.00 MIN (살수)</v>
      </c>
      <c r="B101" s="3"/>
      <c r="C101" s="46"/>
      <c r="K101" s="12" t="str">
        <f>SUBSTITUTE(SUBSTITUTE("   t4 = 20_x001D_MIN (살수)_x001D_","20",TEXT($AB101,"#,##0"),1),"_x001D_","'")</f>
        <v xml:space="preserve">   t4 = 20'MIN (살수)'</v>
      </c>
      <c r="AA101" s="39" t="s">
        <v>1531</v>
      </c>
      <c r="AB101" s="8">
        <v>20</v>
      </c>
      <c r="AC101" s="39" t="s">
        <v>1531</v>
      </c>
      <c r="AD101" s="9">
        <f>$AB101</f>
        <v>20</v>
      </c>
    </row>
    <row r="102" spans="1:50" ht="18.399999999999999" customHeight="1" x14ac:dyDescent="0.15">
      <c r="A102" s="42" t="s">
        <v>2859</v>
      </c>
      <c r="B102" s="3"/>
      <c r="C102" s="46"/>
      <c r="K102" s="3" t="s">
        <v>2859</v>
      </c>
    </row>
    <row r="103" spans="1:50" ht="18.399999999999999" customHeight="1" x14ac:dyDescent="0.15">
      <c r="A103" s="44" t="str">
        <f>CONCATENATE("   CM = (",TEXT($AB103,"#,##0.00")," + ",TEXT($AF103,"#,##0.00")," + ",TEXT($AJ103,"#,##0.00")," + ",TEXT($AN103,"#,##0.00"),") = ",TEXT($AV103,"#,##0.00")," MIN ")</f>
        <v xml:space="preserve">   CM = (5.00 + 10.00 + 5.00 + 20.00) = 40.00 MIN </v>
      </c>
      <c r="B103" s="3"/>
      <c r="C103" s="46"/>
      <c r="K103" s="3" t="s">
        <v>1607</v>
      </c>
      <c r="AA103" s="39" t="s">
        <v>2330</v>
      </c>
      <c r="AB103" s="10">
        <f>$AD95</f>
        <v>5</v>
      </c>
      <c r="AC103" s="39" t="s">
        <v>2484</v>
      </c>
      <c r="AD103" s="9">
        <f>$AB103</f>
        <v>5</v>
      </c>
      <c r="AE103" s="39" t="s">
        <v>17</v>
      </c>
      <c r="AF103" s="10">
        <f>$AD97</f>
        <v>10</v>
      </c>
      <c r="AG103" s="39" t="s">
        <v>543</v>
      </c>
      <c r="AH103" s="9">
        <f>$AF103</f>
        <v>10</v>
      </c>
      <c r="AI103" s="39" t="s">
        <v>1970</v>
      </c>
      <c r="AJ103" s="10">
        <f>$AD99</f>
        <v>5</v>
      </c>
      <c r="AK103" s="39" t="s">
        <v>965</v>
      </c>
      <c r="AL103" s="9">
        <f>$AJ103</f>
        <v>5</v>
      </c>
      <c r="AM103" s="39" t="s">
        <v>1796</v>
      </c>
      <c r="AN103" s="10">
        <f>$AD101</f>
        <v>20</v>
      </c>
      <c r="AO103" s="39" t="s">
        <v>2701</v>
      </c>
      <c r="AP103" s="9">
        <f>$AN103</f>
        <v>20</v>
      </c>
      <c r="AQ103" s="39" t="s">
        <v>2302</v>
      </c>
      <c r="AR103" s="10">
        <f>ROUND(($AD103+$AH103+$AL103+$AP103),2)</f>
        <v>40</v>
      </c>
      <c r="AS103" s="39" t="s">
        <v>139</v>
      </c>
      <c r="AT103" s="9">
        <f>$AR103</f>
        <v>40</v>
      </c>
      <c r="AU103" s="39" t="s">
        <v>175</v>
      </c>
      <c r="AV103" s="10">
        <f>ROUND(ROUND(($AD103+$AH103+$AL103+$AP103),2),2)</f>
        <v>40</v>
      </c>
      <c r="AW103" s="39" t="s">
        <v>1556</v>
      </c>
      <c r="AX103" s="9">
        <f>$AV103</f>
        <v>40</v>
      </c>
    </row>
    <row r="104" spans="1:50" ht="18.399999999999999" customHeight="1" x14ac:dyDescent="0.15">
      <c r="A104" s="42" t="s">
        <v>2859</v>
      </c>
      <c r="B104" s="3"/>
      <c r="C104" s="46"/>
      <c r="K104" s="3" t="s">
        <v>2859</v>
      </c>
    </row>
    <row r="105" spans="1:50" ht="18.399999999999999" customHeight="1" x14ac:dyDescent="0.15">
      <c r="A105" s="44" t="str">
        <f>CONCATENATE("    Qw = (60*5500*0.9) / (",TEXT($AB105,"#,##0.00"),"*",TEXT($AF105,"#,##0.00"),") = ",TEXT($AN105,"#,##0.00")," M2/HR ")</f>
        <v xml:space="preserve">    Qw = (60*5500*0.9) / (40.00*70.80) = 104.87 M2/HR </v>
      </c>
      <c r="B105" s="3"/>
      <c r="C105" s="46"/>
      <c r="K105" s="3" t="s">
        <v>209</v>
      </c>
      <c r="AA105" s="39" t="s">
        <v>1037</v>
      </c>
      <c r="AB105" s="10">
        <f>$AT103</f>
        <v>40</v>
      </c>
      <c r="AC105" s="39" t="s">
        <v>1020</v>
      </c>
      <c r="AD105" s="9">
        <f>$AB105</f>
        <v>40</v>
      </c>
      <c r="AE105" s="39" t="s">
        <v>1568</v>
      </c>
      <c r="AF105" s="10">
        <f>$AH93</f>
        <v>70.8</v>
      </c>
      <c r="AG105" s="39" t="s">
        <v>2006</v>
      </c>
      <c r="AH105" s="9">
        <f>$AF105</f>
        <v>70.8</v>
      </c>
      <c r="AI105" s="39" t="s">
        <v>1397</v>
      </c>
      <c r="AJ105" s="10">
        <f>ROUND((60*5500*0.9)/($AD105*$AH105),2)</f>
        <v>104.87</v>
      </c>
      <c r="AK105" s="39" t="s">
        <v>212</v>
      </c>
      <c r="AL105" s="9">
        <f>$AJ105</f>
        <v>104.87</v>
      </c>
      <c r="AM105" s="39" t="s">
        <v>639</v>
      </c>
      <c r="AN105" s="10">
        <f>ROUND(ROUND((60*5500*0.9)/($AD105*$AH105),2),2)</f>
        <v>104.87</v>
      </c>
      <c r="AO105" s="39" t="s">
        <v>2325</v>
      </c>
      <c r="AP105" s="9">
        <f>$AN105</f>
        <v>104.87</v>
      </c>
    </row>
    <row r="106" spans="1:50" ht="18.399999999999999" customHeight="1" x14ac:dyDescent="0.15">
      <c r="A106" s="42" t="s">
        <v>2859</v>
      </c>
      <c r="B106" s="3"/>
      <c r="C106" s="46"/>
      <c r="K106" s="3" t="s">
        <v>2859</v>
      </c>
    </row>
    <row r="107" spans="1:50" ht="18.399999999999999" customHeight="1" x14ac:dyDescent="0.15">
      <c r="A107" s="44" t="str">
        <f>CONCATENATE("          1 / Qw  = ","qty hr/m3")</f>
        <v xml:space="preserve">          1 / Qw  = qty hr/m3</v>
      </c>
      <c r="B107" s="3">
        <f>$AB107</f>
        <v>9.4999999999999998E-3</v>
      </c>
      <c r="C107" s="46"/>
      <c r="K107" s="3" t="s">
        <v>875</v>
      </c>
      <c r="AA107" s="39" t="s">
        <v>1268</v>
      </c>
      <c r="AB107" s="10">
        <f>ROUND(1/$AL105,4)</f>
        <v>9.4999999999999998E-3</v>
      </c>
      <c r="AC107" s="39" t="s">
        <v>2080</v>
      </c>
      <c r="AD107" s="9">
        <f>$AB107</f>
        <v>9.4999999999999998E-3</v>
      </c>
    </row>
    <row r="108" spans="1:50" ht="18.399999999999999" customHeight="1" x14ac:dyDescent="0.15">
      <c r="A108" s="42"/>
      <c r="B108" s="3"/>
      <c r="C108" s="46"/>
    </row>
    <row r="109" spans="1:50" ht="18.399999999999999" customHeight="1" thickBot="1" x14ac:dyDescent="0.2">
      <c r="A109" s="45"/>
      <c r="B109" s="5"/>
      <c r="C109" s="49"/>
    </row>
    <row r="110" spans="1:50" ht="18.399999999999999" customHeight="1" x14ac:dyDescent="0.15">
      <c r="A110" s="42"/>
      <c r="B110" s="3"/>
      <c r="C110" s="46"/>
    </row>
    <row r="111" spans="1:50" ht="18.399999999999999" customHeight="1" x14ac:dyDescent="0.15">
      <c r="A111" s="42" t="s">
        <v>142</v>
      </c>
      <c r="B111" s="36">
        <v>1</v>
      </c>
      <c r="C111" s="46" t="s">
        <v>2859</v>
      </c>
    </row>
    <row r="112" spans="1:50" ht="18.399999999999999" customHeight="1" x14ac:dyDescent="0.15">
      <c r="A112" s="43"/>
      <c r="B112" s="3"/>
      <c r="C112" s="46"/>
    </row>
    <row r="113" spans="1:38" ht="18.399999999999999" customHeight="1" x14ac:dyDescent="0.15">
      <c r="A113" s="42" t="s">
        <v>853</v>
      </c>
      <c r="B113" s="3"/>
      <c r="C113" s="46"/>
      <c r="G113" s="3" t="s">
        <v>2859</v>
      </c>
    </row>
    <row r="114" spans="1:38" ht="18.399999999999999" customHeight="1" x14ac:dyDescent="0.15">
      <c r="A114" s="42" t="s">
        <v>2859</v>
      </c>
      <c r="B114" s="3"/>
      <c r="C114" s="46"/>
      <c r="K114" s="3" t="s">
        <v>2859</v>
      </c>
    </row>
    <row r="115" spans="1:38" ht="18.399999999999999" customHeight="1" x14ac:dyDescent="0.15">
      <c r="A115" s="42" t="s">
        <v>2686</v>
      </c>
      <c r="B115" s="3"/>
      <c r="C115" s="46"/>
      <c r="K115" s="3" t="s">
        <v>2686</v>
      </c>
    </row>
    <row r="116" spans="1:38" ht="18.399999999999999" customHeight="1" x14ac:dyDescent="0.15">
      <c r="A116" s="42" t="s">
        <v>1372</v>
      </c>
      <c r="B116" s="3"/>
      <c r="C116" s="46"/>
      <c r="K116" s="3" t="s">
        <v>725</v>
      </c>
    </row>
    <row r="117" spans="1:38" ht="18.399999999999999" customHeight="1" x14ac:dyDescent="0.15">
      <c r="A117" s="42" t="s">
        <v>2859</v>
      </c>
      <c r="B117" s="3"/>
      <c r="C117" s="46"/>
      <c r="K117" s="3" t="s">
        <v>2859</v>
      </c>
    </row>
    <row r="118" spans="1:38" ht="18.399999999999999" customHeight="1" x14ac:dyDescent="0.15">
      <c r="A118" s="42" t="s">
        <v>27</v>
      </c>
      <c r="B118" s="3"/>
      <c r="C118" s="46"/>
      <c r="K118" s="3" t="s">
        <v>621</v>
      </c>
    </row>
    <row r="119" spans="1:38" ht="18.399999999999999" customHeight="1" x14ac:dyDescent="0.15">
      <c r="A119" s="42" t="s">
        <v>2859</v>
      </c>
      <c r="B119" s="3"/>
      <c r="C119" s="46"/>
      <c r="K119" s="3" t="s">
        <v>2859</v>
      </c>
    </row>
    <row r="120" spans="1:38" ht="18.399999999999999" customHeight="1" x14ac:dyDescent="0.15">
      <c r="A120" s="44" t="str">
        <f>CONCATENATE("          q=",TEXT($AB120,"#,##0.0"),"  ,  e=",TEXT($AF120,"#,##0.00"))</f>
        <v xml:space="preserve">          q=3.2  ,  e=0.96</v>
      </c>
      <c r="B120" s="3"/>
      <c r="C120" s="46"/>
      <c r="K120" s="12" t="str">
        <f>SUBSTITUTE(SUBSTITUTE(SUBSTITUTE("          q = 3.2  ,  e = 0.96","3.2",TEXT($AB120,"#,##0.0"),1),"0.96",TEXT($AF120,"#,##0.00"),1),"_x001D_","'")</f>
        <v xml:space="preserve">          q = 3.2  ,  e = 0.96</v>
      </c>
      <c r="AA120" s="39" t="s">
        <v>1972</v>
      </c>
      <c r="AB120" s="8">
        <v>3.2</v>
      </c>
      <c r="AC120" s="39" t="s">
        <v>1972</v>
      </c>
      <c r="AD120" s="9">
        <f>$AB120</f>
        <v>3.2</v>
      </c>
      <c r="AE120" s="39" t="s">
        <v>1383</v>
      </c>
      <c r="AF120" s="8">
        <v>0.96</v>
      </c>
      <c r="AG120" s="39" t="s">
        <v>1383</v>
      </c>
      <c r="AH120" s="9">
        <f>$AF120</f>
        <v>0.96</v>
      </c>
    </row>
    <row r="121" spans="1:38" ht="18.399999999999999" customHeight="1" x14ac:dyDescent="0.15">
      <c r="A121" s="42" t="s">
        <v>2859</v>
      </c>
      <c r="B121" s="3"/>
      <c r="C121" s="46"/>
      <c r="K121" s="3" t="s">
        <v>2859</v>
      </c>
    </row>
    <row r="122" spans="1:38" ht="18.399999999999999" customHeight="1" x14ac:dyDescent="0.15">
      <c r="A122" s="44" t="str">
        <f>CONCATENATE("          L=",TEXT($AB122,"#,##0.000"),",  C=",TEXT($AF122,"#,##0.00"),", T=",TEXT($AJ122,"#,##0.0")," M")</f>
        <v xml:space="preserve">          L=1.175,  C=0.95, T=0.3 M</v>
      </c>
      <c r="B122" s="3"/>
      <c r="C122" s="46"/>
      <c r="K122" s="12" t="str">
        <f>SUBSTITUTE(SUBSTITUTE(SUBSTITUTE(SUBSTITUTE("          L = 1.175,  C = 0.95, T = 0.3_x001D_M_x001D_","1.175",TEXT($AB122,"#,##0.000"),1),"0.95",TEXT($AF122,"#,##0.00"),1),"0.3",TEXT($AJ122,"#,##0.0"),1),"_x001D_","'")</f>
        <v xml:space="preserve">          L = 1.175,  C = 0.95, T = 0.3'M'</v>
      </c>
      <c r="AA122" s="39" t="s">
        <v>2704</v>
      </c>
      <c r="AB122" s="8">
        <v>1.175</v>
      </c>
      <c r="AC122" s="39" t="s">
        <v>2704</v>
      </c>
      <c r="AD122" s="9">
        <f>$AB122</f>
        <v>1.175</v>
      </c>
      <c r="AE122" s="39" t="s">
        <v>1846</v>
      </c>
      <c r="AF122" s="8">
        <v>0.95</v>
      </c>
      <c r="AG122" s="39" t="s">
        <v>1846</v>
      </c>
      <c r="AH122" s="9">
        <f>$AF122</f>
        <v>0.95</v>
      </c>
      <c r="AI122" s="39" t="s">
        <v>1444</v>
      </c>
      <c r="AJ122" s="8">
        <v>0.3</v>
      </c>
      <c r="AK122" s="39" t="s">
        <v>1444</v>
      </c>
      <c r="AL122" s="9">
        <f>$AJ122</f>
        <v>0.3</v>
      </c>
    </row>
    <row r="123" spans="1:38" ht="18.399999999999999" customHeight="1" x14ac:dyDescent="0.15">
      <c r="A123" s="42" t="s">
        <v>2859</v>
      </c>
      <c r="B123" s="3"/>
      <c r="C123" s="46"/>
      <c r="K123" s="3" t="s">
        <v>2859</v>
      </c>
    </row>
    <row r="124" spans="1:38" ht="18.399999999999999" customHeight="1" x14ac:dyDescent="0.15">
      <c r="A124" s="44" t="str">
        <f>CONCATENATE("          qo = q * e = ",TEXT($AF124,"#,##0.00")," m3")</f>
        <v xml:space="preserve">          qo = q * e = 3.07 m3</v>
      </c>
      <c r="B124" s="3"/>
      <c r="C124" s="46"/>
      <c r="K124" s="3" t="s">
        <v>94</v>
      </c>
      <c r="AA124" s="39" t="s">
        <v>684</v>
      </c>
      <c r="AB124" s="10">
        <f>ROUND($AD120*$AH120,2)</f>
        <v>3.07</v>
      </c>
      <c r="AC124" s="39" t="s">
        <v>1136</v>
      </c>
      <c r="AD124" s="9">
        <f>$AB124</f>
        <v>3.07</v>
      </c>
      <c r="AE124" s="39" t="s">
        <v>403</v>
      </c>
      <c r="AF124" s="10">
        <f>ROUND(ROUND($AD120*$AH120,2),2)</f>
        <v>3.07</v>
      </c>
      <c r="AG124" s="39" t="s">
        <v>726</v>
      </c>
      <c r="AH124" s="9">
        <f>$AF124</f>
        <v>3.07</v>
      </c>
    </row>
    <row r="125" spans="1:38" ht="18.399999999999999" customHeight="1" x14ac:dyDescent="0.15">
      <c r="A125" s="42" t="s">
        <v>2859</v>
      </c>
      <c r="B125" s="3"/>
      <c r="C125" s="46"/>
      <c r="K125" s="3" t="s">
        <v>2859</v>
      </c>
    </row>
    <row r="126" spans="1:38" ht="18.399999999999999" customHeight="1" x14ac:dyDescent="0.15">
      <c r="A126" s="44" t="str">
        <f>CONCATENATE("          f = C / L = ",TEXT($AF126,"#,##0.00")," , E=",TEXT($AJ126,"#,##0.00"))</f>
        <v xml:space="preserve">          f = C / L = 0.81 , E=0.60</v>
      </c>
      <c r="B126" s="3"/>
      <c r="C126" s="46"/>
      <c r="K126" s="12" t="str">
        <f>SUBSTITUTE(SUBSTITUTE("          f = C / L = {?,_x001D_9.9R_x001D_} , E = 0.60","0.60",TEXT($AJ126,"#,##0.00"),1),"_x001D_","'")</f>
        <v xml:space="preserve">          f = C / L = {?,'9.9R'} , E = 0.60</v>
      </c>
      <c r="AA126" s="39" t="s">
        <v>1802</v>
      </c>
      <c r="AB126" s="10">
        <f>ROUND($AH122/$AD122,2)</f>
        <v>0.81</v>
      </c>
      <c r="AC126" s="39" t="s">
        <v>1652</v>
      </c>
      <c r="AD126" s="9">
        <f>$AB126</f>
        <v>0.81</v>
      </c>
      <c r="AE126" s="39" t="s">
        <v>1811</v>
      </c>
      <c r="AF126" s="10">
        <f>ROUND(ROUND($AH122/$AD122,2),2)</f>
        <v>0.81</v>
      </c>
      <c r="AG126" s="39" t="s">
        <v>682</v>
      </c>
      <c r="AH126" s="9">
        <f>$AF126</f>
        <v>0.81</v>
      </c>
      <c r="AI126" s="39" t="s">
        <v>1383</v>
      </c>
      <c r="AJ126" s="8">
        <v>0.6</v>
      </c>
      <c r="AK126" s="39" t="s">
        <v>1383</v>
      </c>
      <c r="AL126" s="9">
        <f>$AJ126</f>
        <v>0.6</v>
      </c>
    </row>
    <row r="127" spans="1:38" ht="18.399999999999999" customHeight="1" x14ac:dyDescent="0.15">
      <c r="A127" s="42" t="s">
        <v>2859</v>
      </c>
      <c r="B127" s="3"/>
      <c r="C127" s="46"/>
      <c r="K127" s="3" t="s">
        <v>2859</v>
      </c>
    </row>
    <row r="128" spans="1:38" ht="18.399999999999999" customHeight="1" x14ac:dyDescent="0.15">
      <c r="A128" s="42" t="s">
        <v>2166</v>
      </c>
      <c r="B128" s="3"/>
      <c r="C128" s="46"/>
      <c r="K128" s="12" t="str">
        <f>SUBSTITUTE(SUBSTITUTE("          L1_x001D_(운반거리)_x001D_ = 20.0 _x001D_M_x001D_","20.0",TEXT($AB128,"#,##0.0"),1),"_x001D_","'")</f>
        <v xml:space="preserve">          L1'(운반거리)' = 20.0 'M'</v>
      </c>
      <c r="AA128" s="39" t="s">
        <v>2790</v>
      </c>
      <c r="AB128" s="8">
        <v>20</v>
      </c>
      <c r="AC128" s="39" t="s">
        <v>2790</v>
      </c>
      <c r="AD128" s="9">
        <f>$AB128</f>
        <v>20</v>
      </c>
    </row>
    <row r="129" spans="1:54" ht="18.399999999999999" customHeight="1" x14ac:dyDescent="0.15">
      <c r="A129" s="42" t="s">
        <v>2859</v>
      </c>
      <c r="B129" s="3"/>
      <c r="C129" s="46"/>
      <c r="K129" s="3" t="s">
        <v>2859</v>
      </c>
    </row>
    <row r="130" spans="1:54" ht="18.399999999999999" customHeight="1" x14ac:dyDescent="0.15">
      <c r="A130" s="44" t="str">
        <f>CONCATENATE("          V1=",TEXT($AB130,"#,##0.00")," m/min ,  V2=",TEXT($AF130,"#,##0.00")," m/min  , t=",TEXT($AJ130,"#,##0.00"))</f>
        <v xml:space="preserve">          V1=75.00 m/min ,  V2=98.00 m/min  , t=0.25</v>
      </c>
      <c r="B130" s="3"/>
      <c r="C130" s="46"/>
      <c r="K130" s="12" t="str">
        <f>SUBSTITUTE(SUBSTITUTE(SUBSTITUTE(SUBSTITUTE("          V1 = 75_x001D_m/min_x001D_,  V2 = 98_x001D_m/min_x001D_ , t = 0.25","75",TEXT($AB130,"#,##0"),1),"98",TEXT($AF130,"#,##0"),1),"0.25",TEXT($AJ130,"#,##0.00"),1),"_x001D_","'")</f>
        <v xml:space="preserve">          V1 = 75'm/min',  V2 = 98'm/min' , t = 0.25</v>
      </c>
      <c r="AA130" s="39" t="s">
        <v>2457</v>
      </c>
      <c r="AB130" s="8">
        <v>75</v>
      </c>
      <c r="AC130" s="39" t="s">
        <v>2457</v>
      </c>
      <c r="AD130" s="9">
        <f>$AB130</f>
        <v>75</v>
      </c>
      <c r="AE130" s="39" t="s">
        <v>559</v>
      </c>
      <c r="AF130" s="8">
        <v>98</v>
      </c>
      <c r="AG130" s="39" t="s">
        <v>559</v>
      </c>
      <c r="AH130" s="9">
        <f>$AF130</f>
        <v>98</v>
      </c>
      <c r="AI130" s="39" t="s">
        <v>1444</v>
      </c>
      <c r="AJ130" s="8">
        <v>0.25</v>
      </c>
      <c r="AK130" s="39" t="s">
        <v>1444</v>
      </c>
      <c r="AL130" s="9">
        <f>$AJ130</f>
        <v>0.25</v>
      </c>
    </row>
    <row r="131" spans="1:54" ht="18.399999999999999" customHeight="1" x14ac:dyDescent="0.15">
      <c r="A131" s="42" t="s">
        <v>2859</v>
      </c>
      <c r="B131" s="3"/>
      <c r="C131" s="46"/>
      <c r="K131" s="3" t="s">
        <v>2859</v>
      </c>
    </row>
    <row r="132" spans="1:54" ht="18.399999999999999" customHeight="1" x14ac:dyDescent="0.15">
      <c r="A132" s="44" t="str">
        <f>CONCATENATE("          Cm = (",TEXT($AB132,"#,##0.00")," /",TEXT($AF132,"#,##0.00"),") + (",TEXT($AJ132,"#,##0.00")," / ",TEXT($AN132,"#,##0.00"),") + ",TEXT($AR132,"#,##0.00")," = ",TEXT($AZ132,"#,##0.00")," min")</f>
        <v xml:space="preserve">          Cm = (20.00 /75.00) + (20.00 / 98.00) + 0.25 = 0.72 min</v>
      </c>
      <c r="B132" s="3"/>
      <c r="C132" s="46"/>
      <c r="K132" s="3" t="s">
        <v>2361</v>
      </c>
      <c r="AA132" s="39" t="s">
        <v>1626</v>
      </c>
      <c r="AB132" s="10">
        <f>$AD128</f>
        <v>20</v>
      </c>
      <c r="AC132" s="39" t="s">
        <v>1500</v>
      </c>
      <c r="AD132" s="9">
        <f>$AB132</f>
        <v>20</v>
      </c>
      <c r="AE132" s="39" t="s">
        <v>714</v>
      </c>
      <c r="AF132" s="10">
        <f>$AD130</f>
        <v>75</v>
      </c>
      <c r="AG132" s="39" t="s">
        <v>1194</v>
      </c>
      <c r="AH132" s="9">
        <f>$AF132</f>
        <v>75</v>
      </c>
      <c r="AI132" s="39" t="s">
        <v>2724</v>
      </c>
      <c r="AJ132" s="10">
        <f>$AD128</f>
        <v>20</v>
      </c>
      <c r="AK132" s="39" t="s">
        <v>141</v>
      </c>
      <c r="AL132" s="9">
        <f>$AJ132</f>
        <v>20</v>
      </c>
      <c r="AM132" s="39" t="s">
        <v>2542</v>
      </c>
      <c r="AN132" s="10">
        <f>$AH130</f>
        <v>98</v>
      </c>
      <c r="AO132" s="39" t="s">
        <v>1997</v>
      </c>
      <c r="AP132" s="9">
        <f>$AN132</f>
        <v>98</v>
      </c>
      <c r="AQ132" s="39" t="s">
        <v>918</v>
      </c>
      <c r="AR132" s="10">
        <f>$AL130</f>
        <v>0.25</v>
      </c>
      <c r="AS132" s="39" t="s">
        <v>2331</v>
      </c>
      <c r="AT132" s="9">
        <f>$AR132</f>
        <v>0.25</v>
      </c>
      <c r="AU132" s="39" t="s">
        <v>2302</v>
      </c>
      <c r="AV132" s="10">
        <f>ROUND(($AD132/$AH132)+($AL132/$AP132)+$AT132,2)</f>
        <v>0.72</v>
      </c>
      <c r="AW132" s="39" t="s">
        <v>139</v>
      </c>
      <c r="AX132" s="9">
        <f>$AV132</f>
        <v>0.72</v>
      </c>
      <c r="AY132" s="39" t="s">
        <v>1461</v>
      </c>
      <c r="AZ132" s="10">
        <f>ROUND(ROUND(($AD132/$AH132)+($AL132/$AP132)+$AT132,2),2)</f>
        <v>0.72</v>
      </c>
      <c r="BA132" s="39" t="s">
        <v>683</v>
      </c>
      <c r="BB132" s="9">
        <f>$AZ132</f>
        <v>0.72</v>
      </c>
    </row>
    <row r="133" spans="1:54" ht="18.399999999999999" customHeight="1" x14ac:dyDescent="0.15">
      <c r="A133" s="42" t="s">
        <v>2859</v>
      </c>
      <c r="B133" s="3"/>
      <c r="C133" s="46"/>
      <c r="K133" s="3" t="s">
        <v>2859</v>
      </c>
    </row>
    <row r="134" spans="1:54" ht="18.399999999999999" customHeight="1" x14ac:dyDescent="0.15">
      <c r="A134" s="44" t="str">
        <f>CONCATENATE("      Q = 60 * ",TEXT($AB134,"#,##0.00")," * ",TEXT($AF134,"#,##0.00")," * ",TEXT($AJ134,"#,##0.00")," / ",TEXT($AN134,"#,##0.00")," = ",TEXT($AV134,"#,##0.00")," m3/hr")</f>
        <v xml:space="preserve">      Q = 60 * 3.07 * 0.81 * 0.60 / 0.72 = 124.34 m3/hr</v>
      </c>
      <c r="B134" s="3"/>
      <c r="C134" s="46"/>
      <c r="K134" s="3" t="s">
        <v>2571</v>
      </c>
      <c r="AA134" s="39" t="s">
        <v>285</v>
      </c>
      <c r="AB134" s="10">
        <f>$AD124</f>
        <v>3.07</v>
      </c>
      <c r="AC134" s="39" t="s">
        <v>16</v>
      </c>
      <c r="AD134" s="9">
        <f>$AB134</f>
        <v>3.07</v>
      </c>
      <c r="AE134" s="39" t="s">
        <v>2253</v>
      </c>
      <c r="AF134" s="10">
        <f>$AD126</f>
        <v>0.81</v>
      </c>
      <c r="AG134" s="39" t="s">
        <v>2702</v>
      </c>
      <c r="AH134" s="9">
        <f>$AF134</f>
        <v>0.81</v>
      </c>
      <c r="AI134" s="39" t="s">
        <v>1394</v>
      </c>
      <c r="AJ134" s="10">
        <f>$AL126</f>
        <v>0.6</v>
      </c>
      <c r="AK134" s="39" t="s">
        <v>1553</v>
      </c>
      <c r="AL134" s="9">
        <f>$AJ134</f>
        <v>0.6</v>
      </c>
      <c r="AM134" s="39" t="s">
        <v>1218</v>
      </c>
      <c r="AN134" s="10">
        <f>$AX132</f>
        <v>0.72</v>
      </c>
      <c r="AO134" s="39" t="s">
        <v>544</v>
      </c>
      <c r="AP134" s="9">
        <f>$AN134</f>
        <v>0.72</v>
      </c>
      <c r="AQ134" s="39" t="s">
        <v>504</v>
      </c>
      <c r="AR134" s="10">
        <f>ROUND(60*$AD134*$AH134*$AL134/$AP134,2)</f>
        <v>124.34</v>
      </c>
      <c r="AS134" s="39" t="s">
        <v>1972</v>
      </c>
      <c r="AT134" s="9">
        <f>$AR134</f>
        <v>124.34</v>
      </c>
      <c r="AU134" s="39" t="s">
        <v>2463</v>
      </c>
      <c r="AV134" s="10">
        <f>ROUND(ROUND(60*$AD134*$AH134*$AL134/$AP134,2),2)</f>
        <v>124.34</v>
      </c>
      <c r="AW134" s="39" t="s">
        <v>964</v>
      </c>
      <c r="AX134" s="9">
        <f>$AV134</f>
        <v>124.34</v>
      </c>
    </row>
    <row r="135" spans="1:54" ht="18.399999999999999" customHeight="1" x14ac:dyDescent="0.15">
      <c r="A135" s="42" t="s">
        <v>2859</v>
      </c>
      <c r="B135" s="3"/>
      <c r="C135" s="46"/>
      <c r="K135" s="3" t="s">
        <v>2859</v>
      </c>
    </row>
    <row r="136" spans="1:54" ht="18.399999999999999" customHeight="1" x14ac:dyDescent="0.15">
      <c r="A136" s="44" t="str">
        <f>CONCATENATE("          1 /",TEXT($AB136,"#,##0.00")," * 0.5 (50%적용)  = ","QTY hr/m3")</f>
        <v xml:space="preserve">          1 /124.34 * 0.5 (50%적용)  = QTY hr/m3</v>
      </c>
      <c r="B136" s="3">
        <f>$AF136</f>
        <v>4.0000000000000001E-3</v>
      </c>
      <c r="C136" s="46"/>
      <c r="K136" s="3" t="s">
        <v>1969</v>
      </c>
      <c r="AA136" s="39" t="s">
        <v>1753</v>
      </c>
      <c r="AB136" s="10">
        <f>$AT134</f>
        <v>124.34</v>
      </c>
      <c r="AC136" s="39" t="s">
        <v>1404</v>
      </c>
      <c r="AD136" s="9">
        <f>$AB136</f>
        <v>124.34</v>
      </c>
      <c r="AE136" s="39" t="s">
        <v>1268</v>
      </c>
      <c r="AF136" s="10">
        <f>ROUND(1/$AD136*0.5,4)</f>
        <v>4.0000000000000001E-3</v>
      </c>
      <c r="AG136" s="39" t="s">
        <v>2080</v>
      </c>
      <c r="AH136" s="9">
        <f>$AF136</f>
        <v>4.0000000000000001E-3</v>
      </c>
    </row>
    <row r="137" spans="1:54" ht="18.399999999999999" customHeight="1" x14ac:dyDescent="0.15">
      <c r="A137" s="42"/>
      <c r="B137" s="3"/>
      <c r="C137" s="46"/>
    </row>
    <row r="138" spans="1:54" ht="18.399999999999999" customHeight="1" thickBot="1" x14ac:dyDescent="0.2">
      <c r="A138" s="45"/>
      <c r="B138" s="5"/>
      <c r="C138" s="49"/>
    </row>
    <row r="139" spans="1:54" ht="18.399999999999999" customHeight="1" x14ac:dyDescent="0.15">
      <c r="A139" s="42"/>
      <c r="B139" s="3"/>
      <c r="C139" s="46"/>
    </row>
    <row r="140" spans="1:54" ht="18.399999999999999" customHeight="1" x14ac:dyDescent="0.15">
      <c r="A140" s="42" t="s">
        <v>2613</v>
      </c>
      <c r="B140" s="36">
        <v>1</v>
      </c>
      <c r="C140" s="46" t="s">
        <v>2859</v>
      </c>
    </row>
    <row r="141" spans="1:54" ht="18.399999999999999" customHeight="1" x14ac:dyDescent="0.15">
      <c r="A141" s="43"/>
      <c r="B141" s="3"/>
      <c r="C141" s="46"/>
    </row>
    <row r="142" spans="1:54" ht="18.399999999999999" customHeight="1" x14ac:dyDescent="0.15">
      <c r="A142" s="42" t="s">
        <v>361</v>
      </c>
      <c r="B142" s="3"/>
      <c r="C142" s="46"/>
      <c r="G142" s="3" t="s">
        <v>2859</v>
      </c>
    </row>
    <row r="143" spans="1:54" ht="18.399999999999999" customHeight="1" x14ac:dyDescent="0.15">
      <c r="A143" s="42" t="s">
        <v>2859</v>
      </c>
      <c r="B143" s="3"/>
      <c r="C143" s="46"/>
      <c r="K143" s="3" t="s">
        <v>2859</v>
      </c>
    </row>
    <row r="144" spans="1:54" ht="18.399999999999999" customHeight="1" x14ac:dyDescent="0.15">
      <c r="A144" s="42" t="s">
        <v>2686</v>
      </c>
      <c r="B144" s="3"/>
      <c r="C144" s="46"/>
      <c r="K144" s="3" t="s">
        <v>2686</v>
      </c>
    </row>
    <row r="145" spans="1:38" ht="18.399999999999999" customHeight="1" x14ac:dyDescent="0.15">
      <c r="A145" s="42" t="s">
        <v>1372</v>
      </c>
      <c r="B145" s="3"/>
      <c r="C145" s="46"/>
      <c r="K145" s="3" t="s">
        <v>725</v>
      </c>
    </row>
    <row r="146" spans="1:38" ht="18.399999999999999" customHeight="1" x14ac:dyDescent="0.15">
      <c r="A146" s="42" t="s">
        <v>2859</v>
      </c>
      <c r="B146" s="3"/>
      <c r="C146" s="46"/>
      <c r="K146" s="3" t="s">
        <v>2859</v>
      </c>
    </row>
    <row r="147" spans="1:38" ht="18.399999999999999" customHeight="1" x14ac:dyDescent="0.15">
      <c r="A147" s="42" t="s">
        <v>27</v>
      </c>
      <c r="B147" s="3"/>
      <c r="C147" s="46"/>
      <c r="K147" s="3" t="s">
        <v>621</v>
      </c>
    </row>
    <row r="148" spans="1:38" ht="18.399999999999999" customHeight="1" x14ac:dyDescent="0.15">
      <c r="A148" s="42" t="s">
        <v>2859</v>
      </c>
      <c r="B148" s="3"/>
      <c r="C148" s="46"/>
      <c r="K148" s="3" t="s">
        <v>2859</v>
      </c>
    </row>
    <row r="149" spans="1:38" ht="18.399999999999999" customHeight="1" x14ac:dyDescent="0.15">
      <c r="A149" s="44" t="str">
        <f>CONCATENATE("          q=",TEXT($AB149,"#,##0.0"),"  ,  e=",TEXT($AF149,"#,##0.00"))</f>
        <v xml:space="preserve">          q=3.2  ,  e=0.96</v>
      </c>
      <c r="B149" s="3"/>
      <c r="C149" s="46"/>
      <c r="K149" s="12" t="str">
        <f>SUBSTITUTE(SUBSTITUTE(SUBSTITUTE("          q = 3.2  ,  e = 0.96","3.2",TEXT($AB149,"#,##0.0"),1),"0.96",TEXT($AF149,"#,##0.00"),1),"_x001D_","'")</f>
        <v xml:space="preserve">          q = 3.2  ,  e = 0.96</v>
      </c>
      <c r="AA149" s="39" t="s">
        <v>1972</v>
      </c>
      <c r="AB149" s="8">
        <v>3.2</v>
      </c>
      <c r="AC149" s="39" t="s">
        <v>1972</v>
      </c>
      <c r="AD149" s="9">
        <f>$AB149</f>
        <v>3.2</v>
      </c>
      <c r="AE149" s="39" t="s">
        <v>1383</v>
      </c>
      <c r="AF149" s="8">
        <v>0.96</v>
      </c>
      <c r="AG149" s="39" t="s">
        <v>1383</v>
      </c>
      <c r="AH149" s="9">
        <f>$AF149</f>
        <v>0.96</v>
      </c>
    </row>
    <row r="150" spans="1:38" ht="18.399999999999999" customHeight="1" x14ac:dyDescent="0.15">
      <c r="A150" s="42" t="s">
        <v>2859</v>
      </c>
      <c r="B150" s="3"/>
      <c r="C150" s="46"/>
      <c r="K150" s="3" t="s">
        <v>2859</v>
      </c>
    </row>
    <row r="151" spans="1:38" ht="18.399999999999999" customHeight="1" x14ac:dyDescent="0.15">
      <c r="A151" s="44" t="str">
        <f>CONCATENATE("          L=",TEXT($AB151,"#,##0.000"),",  C=",TEXT($AF151,"#,##0.00"),", T=",TEXT($AJ151,"#,##0.0")," M")</f>
        <v xml:space="preserve">          L=1.175,  C=0.95, T=0.3 M</v>
      </c>
      <c r="B151" s="3"/>
      <c r="C151" s="46"/>
      <c r="K151" s="12" t="str">
        <f>SUBSTITUTE(SUBSTITUTE(SUBSTITUTE(SUBSTITUTE("          L = 1.175,  C = 0.95, T = 0.3_x001D_M_x001D_","1.175",TEXT($AB151,"#,##0.000"),1),"0.95",TEXT($AF151,"#,##0.00"),1),"0.3",TEXT($AJ151,"#,##0.0"),1),"_x001D_","'")</f>
        <v xml:space="preserve">          L = 1.175,  C = 0.95, T = 0.3'M'</v>
      </c>
      <c r="AA151" s="39" t="s">
        <v>2704</v>
      </c>
      <c r="AB151" s="8">
        <v>1.175</v>
      </c>
      <c r="AC151" s="39" t="s">
        <v>2704</v>
      </c>
      <c r="AD151" s="9">
        <f>$AB151</f>
        <v>1.175</v>
      </c>
      <c r="AE151" s="39" t="s">
        <v>1846</v>
      </c>
      <c r="AF151" s="8">
        <v>0.95</v>
      </c>
      <c r="AG151" s="39" t="s">
        <v>1846</v>
      </c>
      <c r="AH151" s="9">
        <f>$AF151</f>
        <v>0.95</v>
      </c>
      <c r="AI151" s="39" t="s">
        <v>1444</v>
      </c>
      <c r="AJ151" s="8">
        <v>0.3</v>
      </c>
      <c r="AK151" s="39" t="s">
        <v>1444</v>
      </c>
      <c r="AL151" s="9">
        <f>$AJ151</f>
        <v>0.3</v>
      </c>
    </row>
    <row r="152" spans="1:38" ht="18.399999999999999" customHeight="1" x14ac:dyDescent="0.15">
      <c r="A152" s="42" t="s">
        <v>2859</v>
      </c>
      <c r="B152" s="3"/>
      <c r="C152" s="46"/>
      <c r="K152" s="3" t="s">
        <v>2859</v>
      </c>
    </row>
    <row r="153" spans="1:38" ht="18.399999999999999" customHeight="1" x14ac:dyDescent="0.15">
      <c r="A153" s="44" t="str">
        <f>CONCATENATE("          qo = q * e = ",TEXT($AF153,"#,##0.00")," m3")</f>
        <v xml:space="preserve">          qo = q * e = 3.07 m3</v>
      </c>
      <c r="B153" s="3"/>
      <c r="C153" s="46"/>
      <c r="K153" s="3" t="s">
        <v>94</v>
      </c>
      <c r="AA153" s="39" t="s">
        <v>684</v>
      </c>
      <c r="AB153" s="10">
        <f>ROUND($AD149*$AH149,2)</f>
        <v>3.07</v>
      </c>
      <c r="AC153" s="39" t="s">
        <v>1136</v>
      </c>
      <c r="AD153" s="9">
        <f>$AB153</f>
        <v>3.07</v>
      </c>
      <c r="AE153" s="39" t="s">
        <v>1671</v>
      </c>
      <c r="AF153" s="10">
        <f>ROUND(ROUND($AD149*$AH149,2),2)</f>
        <v>3.07</v>
      </c>
      <c r="AG153" s="39" t="s">
        <v>1634</v>
      </c>
      <c r="AH153" s="9">
        <f>$AF153</f>
        <v>3.07</v>
      </c>
    </row>
    <row r="154" spans="1:38" ht="18.399999999999999" customHeight="1" x14ac:dyDescent="0.15">
      <c r="A154" s="42" t="s">
        <v>2859</v>
      </c>
      <c r="B154" s="3"/>
      <c r="C154" s="46"/>
      <c r="K154" s="3" t="s">
        <v>2859</v>
      </c>
    </row>
    <row r="155" spans="1:38" ht="18.399999999999999" customHeight="1" x14ac:dyDescent="0.15">
      <c r="A155" s="44" t="str">
        <f>CONCATENATE("          f = 1 / L = ",TEXT($AF155,"#,##0.00")," , E=",TEXT($AJ155,"#,##0.00"))</f>
        <v xml:space="preserve">          f = 1 / L = 0.85 , E=0.65</v>
      </c>
      <c r="B155" s="3"/>
      <c r="C155" s="46"/>
      <c r="K155" s="12" t="str">
        <f>SUBSTITUTE(SUBSTITUTE("          f = 1 / L = {?,_x001D_9.9R_x001D_} , E = 0.65","0.65",TEXT($AJ155,"#,##0.00"),1),"_x001D_","'")</f>
        <v xml:space="preserve">          f = 1 / L = {?,'9.9R'} , E = 0.65</v>
      </c>
      <c r="AA155" s="39" t="s">
        <v>1802</v>
      </c>
      <c r="AB155" s="10">
        <f>ROUND(1/$AD151,2)</f>
        <v>0.85</v>
      </c>
      <c r="AC155" s="39" t="s">
        <v>1652</v>
      </c>
      <c r="AD155" s="9">
        <f>$AB155</f>
        <v>0.85</v>
      </c>
      <c r="AE155" s="39" t="s">
        <v>341</v>
      </c>
      <c r="AF155" s="10">
        <f>ROUND(ROUND(1/$AD151,2),2)</f>
        <v>0.85</v>
      </c>
      <c r="AG155" s="39" t="s">
        <v>216</v>
      </c>
      <c r="AH155" s="9">
        <f>$AF155</f>
        <v>0.85</v>
      </c>
      <c r="AI155" s="39" t="s">
        <v>1383</v>
      </c>
      <c r="AJ155" s="8">
        <v>0.65</v>
      </c>
      <c r="AK155" s="39" t="s">
        <v>1383</v>
      </c>
      <c r="AL155" s="9">
        <f>$AJ155</f>
        <v>0.65</v>
      </c>
    </row>
    <row r="156" spans="1:38" ht="18.399999999999999" customHeight="1" x14ac:dyDescent="0.15">
      <c r="A156" s="42" t="s">
        <v>2859</v>
      </c>
      <c r="B156" s="3"/>
      <c r="C156" s="46"/>
      <c r="K156" s="3" t="s">
        <v>2859</v>
      </c>
    </row>
    <row r="157" spans="1:38" ht="18.399999999999999" customHeight="1" x14ac:dyDescent="0.15">
      <c r="A157" s="42" t="s">
        <v>2371</v>
      </c>
      <c r="B157" s="3"/>
      <c r="C157" s="46"/>
      <c r="K157" s="12" t="str">
        <f>SUBSTITUTE(SUBSTITUTE("          L1_x001D_(운반거리)_x001D_ = 25.0 _x001D_M_x001D_","25.0",TEXT($AB157,"#,##0.0"),1),"_x001D_","'")</f>
        <v xml:space="preserve">          L1'(운반거리)' = 25.0 'M'</v>
      </c>
      <c r="AA157" s="39" t="s">
        <v>2790</v>
      </c>
      <c r="AB157" s="8">
        <v>25</v>
      </c>
      <c r="AC157" s="39" t="s">
        <v>2790</v>
      </c>
      <c r="AD157" s="9">
        <f>$AB157</f>
        <v>25</v>
      </c>
    </row>
    <row r="158" spans="1:38" ht="18.399999999999999" customHeight="1" x14ac:dyDescent="0.15">
      <c r="A158" s="42" t="s">
        <v>2859</v>
      </c>
      <c r="B158" s="3"/>
      <c r="C158" s="46"/>
      <c r="K158" s="3" t="s">
        <v>2859</v>
      </c>
    </row>
    <row r="159" spans="1:38" ht="18.399999999999999" customHeight="1" x14ac:dyDescent="0.15">
      <c r="A159" s="44" t="str">
        <f>CONCATENATE("          V1=",TEXT($AB159,"#,##0.00")," m/min ,  V2=",TEXT($AF159,"#,##0.00")," m/min  , t=",TEXT($AJ159,"#,##0.00"))</f>
        <v xml:space="preserve">          V1=52.00 m/min ,  V2=58.00 m/min  , t=0.25</v>
      </c>
      <c r="B159" s="3"/>
      <c r="C159" s="46"/>
      <c r="K159" s="12" t="str">
        <f>SUBSTITUTE(SUBSTITUTE(SUBSTITUTE(SUBSTITUTE("          V1 = 52_x001D_m/min_x001D_,  V2 = 58_x001D_m/min_x001D_ , t = 0.25","52",TEXT($AB159,"#,##0"),1),"58",TEXT($AF159,"#,##0"),1),"0.25",TEXT($AJ159,"#,##0.00"),1),"_x001D_","'")</f>
        <v xml:space="preserve">          V1 = 52'm/min',  V2 = 58'm/min' , t = 0.25</v>
      </c>
      <c r="AA159" s="39" t="s">
        <v>2457</v>
      </c>
      <c r="AB159" s="8">
        <v>52</v>
      </c>
      <c r="AC159" s="39" t="s">
        <v>2457</v>
      </c>
      <c r="AD159" s="9">
        <f>$AB159</f>
        <v>52</v>
      </c>
      <c r="AE159" s="39" t="s">
        <v>559</v>
      </c>
      <c r="AF159" s="8">
        <v>58</v>
      </c>
      <c r="AG159" s="39" t="s">
        <v>559</v>
      </c>
      <c r="AH159" s="9">
        <f>$AF159</f>
        <v>58</v>
      </c>
      <c r="AI159" s="39" t="s">
        <v>1444</v>
      </c>
      <c r="AJ159" s="8">
        <v>0.25</v>
      </c>
      <c r="AK159" s="39" t="s">
        <v>1444</v>
      </c>
      <c r="AL159" s="9">
        <f>$AJ159</f>
        <v>0.25</v>
      </c>
    </row>
    <row r="160" spans="1:38" ht="18.399999999999999" customHeight="1" x14ac:dyDescent="0.15">
      <c r="A160" s="42" t="s">
        <v>2859</v>
      </c>
      <c r="B160" s="3"/>
      <c r="C160" s="46"/>
      <c r="K160" s="3" t="s">
        <v>2859</v>
      </c>
    </row>
    <row r="161" spans="1:54" ht="18.399999999999999" customHeight="1" x14ac:dyDescent="0.15">
      <c r="A161" s="44" t="str">
        <f>CONCATENATE("          Cm = (",TEXT($AB161,"#,##0.00")," /",TEXT($AF161,"#,##0.00"),") + (",TEXT($AJ161,"#,##0.00")," / ",TEXT($AN161,"#,##0.00"),") + ",TEXT($AR161,"#,##0.00")," = ",TEXT($AZ161,"#,##0.00")," min")</f>
        <v xml:space="preserve">          Cm = (25.00 /52.00) + (25.00 / 58.00) + 0.25 = 1.16 min</v>
      </c>
      <c r="B161" s="3"/>
      <c r="C161" s="46"/>
      <c r="K161" s="3" t="s">
        <v>2361</v>
      </c>
      <c r="AA161" s="39" t="s">
        <v>169</v>
      </c>
      <c r="AB161" s="10">
        <f>$AD157</f>
        <v>25</v>
      </c>
      <c r="AC161" s="39" t="s">
        <v>448</v>
      </c>
      <c r="AD161" s="9">
        <f>$AB161</f>
        <v>25</v>
      </c>
      <c r="AE161" s="39" t="s">
        <v>2129</v>
      </c>
      <c r="AF161" s="10">
        <f>$AD159</f>
        <v>52</v>
      </c>
      <c r="AG161" s="39" t="s">
        <v>2168</v>
      </c>
      <c r="AH161" s="9">
        <f>$AF161</f>
        <v>52</v>
      </c>
      <c r="AI161" s="39" t="s">
        <v>1275</v>
      </c>
      <c r="AJ161" s="10">
        <f>$AD157</f>
        <v>25</v>
      </c>
      <c r="AK161" s="39" t="s">
        <v>1793</v>
      </c>
      <c r="AL161" s="9">
        <f>$AJ161</f>
        <v>25</v>
      </c>
      <c r="AM161" s="39" t="s">
        <v>1105</v>
      </c>
      <c r="AN161" s="10">
        <f>$AH159</f>
        <v>58</v>
      </c>
      <c r="AO161" s="39" t="s">
        <v>250</v>
      </c>
      <c r="AP161" s="9">
        <f>$AN161</f>
        <v>58</v>
      </c>
      <c r="AQ161" s="39" t="s">
        <v>2314</v>
      </c>
      <c r="AR161" s="10">
        <f>$AL159</f>
        <v>0.25</v>
      </c>
      <c r="AS161" s="39" t="s">
        <v>1409</v>
      </c>
      <c r="AT161" s="9">
        <f>$AR161</f>
        <v>0.25</v>
      </c>
      <c r="AU161" s="39" t="s">
        <v>2302</v>
      </c>
      <c r="AV161" s="10">
        <f>ROUND(($AD161/$AH161)+($AL161/$AP161)+$AT161,2)</f>
        <v>1.1599999999999999</v>
      </c>
      <c r="AW161" s="39" t="s">
        <v>139</v>
      </c>
      <c r="AX161" s="9">
        <f>$AV161</f>
        <v>1.1599999999999999</v>
      </c>
      <c r="AY161" s="39" t="s">
        <v>4</v>
      </c>
      <c r="AZ161" s="10">
        <f>ROUND(ROUND(($AD161/$AH161)+($AL161/$AP161)+$AT161,2),2)</f>
        <v>1.1599999999999999</v>
      </c>
      <c r="BA161" s="39" t="s">
        <v>1649</v>
      </c>
      <c r="BB161" s="9">
        <f>$AZ161</f>
        <v>1.1599999999999999</v>
      </c>
    </row>
    <row r="162" spans="1:54" ht="18.399999999999999" customHeight="1" x14ac:dyDescent="0.15">
      <c r="A162" s="42" t="s">
        <v>2859</v>
      </c>
      <c r="B162" s="3"/>
      <c r="C162" s="46"/>
      <c r="K162" s="3" t="s">
        <v>2859</v>
      </c>
    </row>
    <row r="163" spans="1:54" ht="18.399999999999999" customHeight="1" x14ac:dyDescent="0.15">
      <c r="A163" s="44" t="str">
        <f>CONCATENATE("      Q = 60 * ",TEXT($AB163,"#,##0.00")," * ",TEXT($AF163,"#,##0.00")," * ",TEXT($AJ163,"#,##0.00")," / ",TEXT($AN163,"#,##0.00")," = ",TEXT($AV163,"#,##0.00")," m3/hr")</f>
        <v xml:space="preserve">      Q = 60 * 3.07 * 0.85 * 0.65 / 1.16 = 87.73 m3/hr</v>
      </c>
      <c r="B163" s="3"/>
      <c r="C163" s="46"/>
      <c r="K163" s="3" t="s">
        <v>2571</v>
      </c>
      <c r="AA163" s="39" t="s">
        <v>1674</v>
      </c>
      <c r="AB163" s="10">
        <f>$AD153</f>
        <v>3.07</v>
      </c>
      <c r="AC163" s="39" t="s">
        <v>974</v>
      </c>
      <c r="AD163" s="9">
        <f>$AB163</f>
        <v>3.07</v>
      </c>
      <c r="AE163" s="39" t="s">
        <v>776</v>
      </c>
      <c r="AF163" s="10">
        <f>$AD155</f>
        <v>0.85</v>
      </c>
      <c r="AG163" s="39" t="s">
        <v>2057</v>
      </c>
      <c r="AH163" s="9">
        <f>$AF163</f>
        <v>0.85</v>
      </c>
      <c r="AI163" s="39" t="s">
        <v>2782</v>
      </c>
      <c r="AJ163" s="10">
        <f>$AL155</f>
        <v>0.65</v>
      </c>
      <c r="AK163" s="39" t="s">
        <v>2478</v>
      </c>
      <c r="AL163" s="9">
        <f>$AJ163</f>
        <v>0.65</v>
      </c>
      <c r="AM163" s="39" t="s">
        <v>2582</v>
      </c>
      <c r="AN163" s="10">
        <f>$AX161</f>
        <v>1.1599999999999999</v>
      </c>
      <c r="AO163" s="39" t="s">
        <v>1153</v>
      </c>
      <c r="AP163" s="9">
        <f>$AN163</f>
        <v>1.1599999999999999</v>
      </c>
      <c r="AQ163" s="39" t="s">
        <v>504</v>
      </c>
      <c r="AR163" s="10">
        <f>ROUND(60*$AD163*$AH163*$AL163/$AP163,2)</f>
        <v>87.73</v>
      </c>
      <c r="AS163" s="39" t="s">
        <v>1972</v>
      </c>
      <c r="AT163" s="9">
        <f>$AR163</f>
        <v>87.73</v>
      </c>
      <c r="AU163" s="39" t="s">
        <v>963</v>
      </c>
      <c r="AV163" s="10">
        <f>ROUND(ROUND(60*$AD163*$AH163*$AL163/$AP163,2),2)</f>
        <v>87.73</v>
      </c>
      <c r="AW163" s="39" t="s">
        <v>8</v>
      </c>
      <c r="AX163" s="9">
        <f>$AV163</f>
        <v>87.73</v>
      </c>
    </row>
    <row r="164" spans="1:54" ht="18.399999999999999" customHeight="1" x14ac:dyDescent="0.15">
      <c r="A164" s="42" t="s">
        <v>2859</v>
      </c>
      <c r="B164" s="3"/>
      <c r="C164" s="46"/>
      <c r="K164" s="3" t="s">
        <v>2859</v>
      </c>
    </row>
    <row r="165" spans="1:54" ht="18.399999999999999" customHeight="1" x14ac:dyDescent="0.15">
      <c r="A165" s="44" t="str">
        <f>CONCATENATE("          1 /",TEXT($AB165,"#,##0.00")," = ","QTY hr/m3")</f>
        <v xml:space="preserve">          1 /87.73 = QTY hr/m3</v>
      </c>
      <c r="B165" s="3">
        <f>$AF165</f>
        <v>1.14E-2</v>
      </c>
      <c r="C165" s="46"/>
      <c r="K165" s="3" t="s">
        <v>2744</v>
      </c>
      <c r="AA165" s="39" t="s">
        <v>305</v>
      </c>
      <c r="AB165" s="10">
        <f>$AT163</f>
        <v>87.73</v>
      </c>
      <c r="AC165" s="39" t="s">
        <v>2311</v>
      </c>
      <c r="AD165" s="9">
        <f>$AB165</f>
        <v>87.73</v>
      </c>
      <c r="AE165" s="39" t="s">
        <v>1268</v>
      </c>
      <c r="AF165" s="10">
        <f>ROUND(1/$AD165,4)</f>
        <v>1.14E-2</v>
      </c>
      <c r="AG165" s="39" t="s">
        <v>2080</v>
      </c>
      <c r="AH165" s="9">
        <f>$AF165</f>
        <v>1.14E-2</v>
      </c>
    </row>
    <row r="166" spans="1:54" ht="18.399999999999999" customHeight="1" x14ac:dyDescent="0.15">
      <c r="A166" s="42"/>
      <c r="B166" s="3"/>
      <c r="C166" s="46"/>
    </row>
    <row r="167" spans="1:54" ht="18.399999999999999" customHeight="1" thickBot="1" x14ac:dyDescent="0.2">
      <c r="A167" s="45"/>
      <c r="B167" s="5"/>
      <c r="C167" s="49"/>
    </row>
    <row r="168" spans="1:54" ht="18.399999999999999" customHeight="1" x14ac:dyDescent="0.15">
      <c r="A168" s="42"/>
      <c r="B168" s="3"/>
      <c r="C168" s="46"/>
    </row>
    <row r="169" spans="1:54" ht="18.399999999999999" customHeight="1" x14ac:dyDescent="0.15">
      <c r="A169" s="42" t="s">
        <v>1185</v>
      </c>
      <c r="B169" s="36">
        <v>1</v>
      </c>
      <c r="C169" s="46" t="s">
        <v>2859</v>
      </c>
    </row>
    <row r="170" spans="1:54" ht="18.399999999999999" customHeight="1" x14ac:dyDescent="0.15">
      <c r="A170" s="43"/>
      <c r="B170" s="3"/>
      <c r="C170" s="46"/>
    </row>
    <row r="171" spans="1:54" ht="18.399999999999999" customHeight="1" x14ac:dyDescent="0.15">
      <c r="A171" s="42" t="s">
        <v>815</v>
      </c>
      <c r="B171" s="3"/>
      <c r="C171" s="46"/>
      <c r="G171" s="3" t="s">
        <v>2859</v>
      </c>
    </row>
    <row r="172" spans="1:54" ht="18.399999999999999" customHeight="1" x14ac:dyDescent="0.15">
      <c r="A172" s="42" t="s">
        <v>2859</v>
      </c>
      <c r="B172" s="3"/>
      <c r="C172" s="46"/>
      <c r="K172" s="3" t="s">
        <v>2859</v>
      </c>
    </row>
    <row r="173" spans="1:54" ht="18.399999999999999" customHeight="1" x14ac:dyDescent="0.15">
      <c r="A173" s="42" t="s">
        <v>1499</v>
      </c>
      <c r="B173" s="3"/>
      <c r="C173" s="46"/>
      <c r="K173" s="3" t="s">
        <v>1499</v>
      </c>
    </row>
    <row r="174" spans="1:54" ht="18.399999999999999" customHeight="1" x14ac:dyDescent="0.15">
      <c r="A174" s="42" t="s">
        <v>1372</v>
      </c>
      <c r="B174" s="3"/>
      <c r="C174" s="46"/>
      <c r="K174" s="3" t="s">
        <v>725</v>
      </c>
    </row>
    <row r="175" spans="1:54" ht="18.399999999999999" customHeight="1" x14ac:dyDescent="0.15">
      <c r="A175" s="42" t="s">
        <v>2859</v>
      </c>
      <c r="B175" s="3"/>
      <c r="C175" s="46"/>
      <c r="K175" s="3" t="s">
        <v>2859</v>
      </c>
    </row>
    <row r="176" spans="1:54" ht="18.399999999999999" customHeight="1" x14ac:dyDescent="0.15">
      <c r="A176" s="42" t="s">
        <v>27</v>
      </c>
      <c r="B176" s="3"/>
      <c r="C176" s="46"/>
      <c r="K176" s="3" t="s">
        <v>621</v>
      </c>
    </row>
    <row r="177" spans="1:54" ht="18.399999999999999" customHeight="1" x14ac:dyDescent="0.15">
      <c r="A177" s="42" t="s">
        <v>2859</v>
      </c>
      <c r="B177" s="3"/>
      <c r="C177" s="46"/>
      <c r="K177" s="3" t="s">
        <v>2859</v>
      </c>
    </row>
    <row r="178" spans="1:54" ht="18.399999999999999" customHeight="1" x14ac:dyDescent="0.15">
      <c r="A178" s="44" t="str">
        <f>CONCATENATE("          q=",TEXT($AB178,"#,##0.0"),"  ,  e=",TEXT($AF178,"#,##0.00"))</f>
        <v xml:space="preserve">          q=5.5  ,  e=0.96</v>
      </c>
      <c r="B178" s="3"/>
      <c r="C178" s="46"/>
      <c r="K178" s="12" t="str">
        <f>SUBSTITUTE(SUBSTITUTE(SUBSTITUTE("          q = 5.5  ,  e = 0.96","5.5",TEXT($AB178,"#,##0.0"),1),"0.96",TEXT($AF178,"#,##0.00"),1),"_x001D_","'")</f>
        <v xml:space="preserve">          q = 5.5  ,  e = 0.96</v>
      </c>
      <c r="AA178" s="39" t="s">
        <v>1972</v>
      </c>
      <c r="AB178" s="8">
        <v>5.5</v>
      </c>
      <c r="AC178" s="39" t="s">
        <v>1972</v>
      </c>
      <c r="AD178" s="9">
        <f>$AB178</f>
        <v>5.5</v>
      </c>
      <c r="AE178" s="39" t="s">
        <v>1383</v>
      </c>
      <c r="AF178" s="8">
        <v>0.96</v>
      </c>
      <c r="AG178" s="39" t="s">
        <v>1383</v>
      </c>
      <c r="AH178" s="9">
        <f>$AF178</f>
        <v>0.96</v>
      </c>
    </row>
    <row r="179" spans="1:54" ht="18.399999999999999" customHeight="1" x14ac:dyDescent="0.15">
      <c r="A179" s="42" t="s">
        <v>2859</v>
      </c>
      <c r="B179" s="3"/>
      <c r="C179" s="46"/>
      <c r="K179" s="3" t="s">
        <v>2859</v>
      </c>
    </row>
    <row r="180" spans="1:54" ht="18.399999999999999" customHeight="1" x14ac:dyDescent="0.15">
      <c r="A180" s="44" t="str">
        <f>CONCATENATE("          L=",TEXT($AB180,"#,##0.0"),",  C=",TEXT($AF180,"#,##0.00"),", T=",TEXT($AJ180,"#,##0.0")," M")</f>
        <v xml:space="preserve">          L=1.3,  C=0.95, T=0.2 M</v>
      </c>
      <c r="B180" s="3"/>
      <c r="C180" s="46"/>
      <c r="K180" s="12" t="str">
        <f>SUBSTITUTE(SUBSTITUTE(SUBSTITUTE(SUBSTITUTE("          L = 1.3,  C = 0.95, T = 0.2_x001D_M_x001D_","1.3",TEXT($AB180,"#,##0.0"),1),"0.95",TEXT($AF180,"#,##0.00"),1),"0.2",TEXT($AJ180,"#,##0.0"),1),"_x001D_","'")</f>
        <v xml:space="preserve">          L = 1.3,  C = 0.95, T = 0.2'M'</v>
      </c>
      <c r="AA180" s="39" t="s">
        <v>2704</v>
      </c>
      <c r="AB180" s="8">
        <v>1.3</v>
      </c>
      <c r="AC180" s="39" t="s">
        <v>2704</v>
      </c>
      <c r="AD180" s="9">
        <f>$AB180</f>
        <v>1.3</v>
      </c>
      <c r="AE180" s="39" t="s">
        <v>1846</v>
      </c>
      <c r="AF180" s="8">
        <v>0.95</v>
      </c>
      <c r="AG180" s="39" t="s">
        <v>1846</v>
      </c>
      <c r="AH180" s="9">
        <f>$AF180</f>
        <v>0.95</v>
      </c>
      <c r="AI180" s="39" t="s">
        <v>1444</v>
      </c>
      <c r="AJ180" s="8">
        <v>0.2</v>
      </c>
      <c r="AK180" s="39" t="s">
        <v>1444</v>
      </c>
      <c r="AL180" s="9">
        <f>$AJ180</f>
        <v>0.2</v>
      </c>
    </row>
    <row r="181" spans="1:54" ht="18.399999999999999" customHeight="1" x14ac:dyDescent="0.15">
      <c r="A181" s="42" t="s">
        <v>2859</v>
      </c>
      <c r="B181" s="3"/>
      <c r="C181" s="46"/>
      <c r="K181" s="3" t="s">
        <v>2859</v>
      </c>
    </row>
    <row r="182" spans="1:54" ht="18.399999999999999" customHeight="1" x14ac:dyDescent="0.15">
      <c r="A182" s="44" t="str">
        <f>CONCATENATE("          qo = q * e = ",TEXT($AF182,"#,##0.00")," m3")</f>
        <v xml:space="preserve">          qo = q * e = 5.28 m3</v>
      </c>
      <c r="B182" s="3"/>
      <c r="C182" s="46"/>
      <c r="K182" s="3" t="s">
        <v>94</v>
      </c>
      <c r="AA182" s="39" t="s">
        <v>684</v>
      </c>
      <c r="AB182" s="10">
        <f>ROUND($AD178*$AH178,2)</f>
        <v>5.28</v>
      </c>
      <c r="AC182" s="39" t="s">
        <v>1136</v>
      </c>
      <c r="AD182" s="9">
        <f>$AB182</f>
        <v>5.28</v>
      </c>
      <c r="AE182" s="39" t="s">
        <v>1162</v>
      </c>
      <c r="AF182" s="10">
        <f>ROUND(ROUND($AD178*$AH178,2),2)</f>
        <v>5.28</v>
      </c>
      <c r="AG182" s="39" t="s">
        <v>1040</v>
      </c>
      <c r="AH182" s="9">
        <f>$AF182</f>
        <v>5.28</v>
      </c>
    </row>
    <row r="183" spans="1:54" ht="18.399999999999999" customHeight="1" x14ac:dyDescent="0.15">
      <c r="A183" s="42" t="s">
        <v>2859</v>
      </c>
      <c r="B183" s="3"/>
      <c r="C183" s="46"/>
      <c r="K183" s="3" t="s">
        <v>2859</v>
      </c>
    </row>
    <row r="184" spans="1:54" ht="18.399999999999999" customHeight="1" x14ac:dyDescent="0.15">
      <c r="A184" s="44" t="str">
        <f>CONCATENATE("          f = 1 / L = ",TEXT($AF184,"#,##0.00")," , E=",TEXT($AJ184,"#,##0.00"))</f>
        <v xml:space="preserve">          f = 1 / L = 0.77 , E=0.65</v>
      </c>
      <c r="B184" s="3"/>
      <c r="C184" s="46"/>
      <c r="K184" s="12" t="str">
        <f>SUBSTITUTE(SUBSTITUTE("          f = 1 / L = {?,_x001D_9.9R_x001D_} , E = 0.65","0.65",TEXT($AJ184,"#,##0.00"),1),"_x001D_","'")</f>
        <v xml:space="preserve">          f = 1 / L = {?,'9.9R'} , E = 0.65</v>
      </c>
      <c r="AA184" s="39" t="s">
        <v>1802</v>
      </c>
      <c r="AB184" s="10">
        <f>ROUND(1/$AD180,2)</f>
        <v>0.77</v>
      </c>
      <c r="AC184" s="39" t="s">
        <v>1652</v>
      </c>
      <c r="AD184" s="9">
        <f>$AB184</f>
        <v>0.77</v>
      </c>
      <c r="AE184" s="39" t="s">
        <v>2662</v>
      </c>
      <c r="AF184" s="10">
        <f>ROUND(ROUND(1/$AD180,2),2)</f>
        <v>0.77</v>
      </c>
      <c r="AG184" s="39" t="s">
        <v>2467</v>
      </c>
      <c r="AH184" s="9">
        <f>$AF184</f>
        <v>0.77</v>
      </c>
      <c r="AI184" s="39" t="s">
        <v>1383</v>
      </c>
      <c r="AJ184" s="8">
        <v>0.65</v>
      </c>
      <c r="AK184" s="39" t="s">
        <v>1383</v>
      </c>
      <c r="AL184" s="9">
        <f>$AJ184</f>
        <v>0.65</v>
      </c>
    </row>
    <row r="185" spans="1:54" ht="18.399999999999999" customHeight="1" x14ac:dyDescent="0.15">
      <c r="A185" s="42" t="s">
        <v>2859</v>
      </c>
      <c r="B185" s="3"/>
      <c r="C185" s="46"/>
      <c r="K185" s="3" t="s">
        <v>2859</v>
      </c>
    </row>
    <row r="186" spans="1:54" ht="18.399999999999999" customHeight="1" x14ac:dyDescent="0.15">
      <c r="A186" s="42" t="s">
        <v>2166</v>
      </c>
      <c r="B186" s="3"/>
      <c r="C186" s="46"/>
      <c r="K186" s="12" t="str">
        <f>SUBSTITUTE(SUBSTITUTE("          L1_x001D_(운반거리)_x001D_ = 20.0 _x001D_M_x001D_","20.0",TEXT($AB186,"#,##0.0"),1),"_x001D_","'")</f>
        <v xml:space="preserve">          L1'(운반거리)' = 20.0 'M'</v>
      </c>
      <c r="AA186" s="39" t="s">
        <v>2790</v>
      </c>
      <c r="AB186" s="8">
        <v>20</v>
      </c>
      <c r="AC186" s="39" t="s">
        <v>2790</v>
      </c>
      <c r="AD186" s="9">
        <f>$AB186</f>
        <v>20</v>
      </c>
    </row>
    <row r="187" spans="1:54" ht="18.399999999999999" customHeight="1" x14ac:dyDescent="0.15">
      <c r="A187" s="42" t="s">
        <v>2859</v>
      </c>
      <c r="B187" s="3"/>
      <c r="C187" s="46"/>
      <c r="K187" s="3" t="s">
        <v>2859</v>
      </c>
    </row>
    <row r="188" spans="1:54" ht="18.399999999999999" customHeight="1" x14ac:dyDescent="0.15">
      <c r="A188" s="44" t="str">
        <f>CONCATENATE("          V1=",TEXT($AB188,"#,##0.00")," m/min ,  V2=",TEXT($AF188,"#,##0.00")," m/min")</f>
        <v xml:space="preserve">          V1=40.00 m/min ,  V2=46.00 m/min</v>
      </c>
      <c r="B188" s="3"/>
      <c r="C188" s="46"/>
      <c r="K188" s="12" t="str">
        <f>SUBSTITUTE(SUBSTITUTE(SUBSTITUTE("          V1 = 40_x001D_m/min_x001D_,  V2 = 46_x001D_m/min_x001D_","40",TEXT($AB188,"#,##0"),1),"46",TEXT($AF188,"#,##0"),1),"_x001D_","'")</f>
        <v xml:space="preserve">          V1 = 40'm/min',  V2 = 46'm/min'</v>
      </c>
      <c r="AA188" s="39" t="s">
        <v>2457</v>
      </c>
      <c r="AB188" s="8">
        <v>40</v>
      </c>
      <c r="AC188" s="39" t="s">
        <v>2457</v>
      </c>
      <c r="AD188" s="9">
        <f>$AB188</f>
        <v>40</v>
      </c>
      <c r="AE188" s="39" t="s">
        <v>559</v>
      </c>
      <c r="AF188" s="8">
        <v>46</v>
      </c>
      <c r="AG188" s="39" t="s">
        <v>559</v>
      </c>
      <c r="AH188" s="9">
        <f>$AF188</f>
        <v>46</v>
      </c>
    </row>
    <row r="189" spans="1:54" ht="18.399999999999999" customHeight="1" x14ac:dyDescent="0.15">
      <c r="A189" s="42" t="s">
        <v>2859</v>
      </c>
      <c r="B189" s="3"/>
      <c r="C189" s="46"/>
      <c r="K189" s="3" t="s">
        <v>2859</v>
      </c>
    </row>
    <row r="190" spans="1:54" ht="18.399999999999999" customHeight="1" x14ac:dyDescent="0.15">
      <c r="A190" s="44" t="str">
        <f>CONCATENATE("          Cm = (",TEXT($AB190,"#,##0.00")," /",TEXT($AF190,"#,##0.00"),") + (",TEXT($AJ190,"#,##0.00")," / ",TEXT($AN190,"#,##0.00"),") + 0.25 = ",TEXT($AV190,"#,##0.00")," min")</f>
        <v xml:space="preserve">          Cm = (20.00 /40.00) + (20.00 / 46.00) + 0.25 = 1.18 min</v>
      </c>
      <c r="B190" s="3"/>
      <c r="C190" s="46"/>
      <c r="K190" s="3" t="s">
        <v>2781</v>
      </c>
      <c r="AA190" s="39" t="s">
        <v>2508</v>
      </c>
      <c r="AB190" s="10">
        <f>$AD186</f>
        <v>20</v>
      </c>
      <c r="AC190" s="39" t="s">
        <v>1155</v>
      </c>
      <c r="AD190" s="9">
        <f>$AB190</f>
        <v>20</v>
      </c>
      <c r="AE190" s="39" t="s">
        <v>149</v>
      </c>
      <c r="AF190" s="10">
        <f>$AD188</f>
        <v>40</v>
      </c>
      <c r="AG190" s="39" t="s">
        <v>1563</v>
      </c>
      <c r="AH190" s="9">
        <f>$AF190</f>
        <v>40</v>
      </c>
      <c r="AI190" s="39" t="s">
        <v>2121</v>
      </c>
      <c r="AJ190" s="10">
        <f>$AD186</f>
        <v>20</v>
      </c>
      <c r="AK190" s="39" t="s">
        <v>2674</v>
      </c>
      <c r="AL190" s="9">
        <f>$AJ190</f>
        <v>20</v>
      </c>
      <c r="AM190" s="39" t="s">
        <v>1936</v>
      </c>
      <c r="AN190" s="10">
        <f>$AH188</f>
        <v>46</v>
      </c>
      <c r="AO190" s="39" t="s">
        <v>972</v>
      </c>
      <c r="AP190" s="9">
        <f>$AN190</f>
        <v>46</v>
      </c>
      <c r="AQ190" s="39" t="s">
        <v>2302</v>
      </c>
      <c r="AR190" s="10">
        <f>ROUND(($AD190/$AH190)+($AL190/$AP190)+0.25,2)</f>
        <v>1.18</v>
      </c>
      <c r="AS190" s="39" t="s">
        <v>139</v>
      </c>
      <c r="AT190" s="9">
        <f>$AR190</f>
        <v>1.18</v>
      </c>
      <c r="AU190" s="39" t="s">
        <v>319</v>
      </c>
      <c r="AV190" s="10">
        <f>ROUND(ROUND(($AD190/$AH190)+($AL190/$AP190)+0.25,2),2)</f>
        <v>1.18</v>
      </c>
      <c r="AW190" s="39" t="s">
        <v>529</v>
      </c>
      <c r="AX190" s="9">
        <f>$AV190</f>
        <v>1.18</v>
      </c>
    </row>
    <row r="191" spans="1:54" ht="18.399999999999999" customHeight="1" x14ac:dyDescent="0.15">
      <c r="A191" s="42" t="s">
        <v>2859</v>
      </c>
      <c r="B191" s="3"/>
      <c r="C191" s="46"/>
      <c r="K191" s="3" t="s">
        <v>2859</v>
      </c>
    </row>
    <row r="192" spans="1:54" ht="18.399999999999999" customHeight="1" x14ac:dyDescent="0.15">
      <c r="A192" s="44" t="str">
        <f>CONCATENATE("      Q = 60 * ",TEXT($AB192,"#,##0.00")," * ",TEXT($AF192,"#,##0.00")," * ",TEXT($AJ192,"#,##0.00")," / (",TEXT($AN192,"#,##0.00"),"*",TEXT($AR192,"#,##0.00"),") = ",TEXT($AZ192,"#,##0.00")," m3/hr")</f>
        <v xml:space="preserve">      Q = 60 * 5.28 * 0.77 * 0.65 / (1.18*0.20) = 671.86 m3/hr</v>
      </c>
      <c r="B192" s="3"/>
      <c r="C192" s="46"/>
      <c r="K192" s="3" t="s">
        <v>1062</v>
      </c>
      <c r="AA192" s="39" t="s">
        <v>1003</v>
      </c>
      <c r="AB192" s="10">
        <f>$AD182</f>
        <v>5.28</v>
      </c>
      <c r="AC192" s="39" t="s">
        <v>249</v>
      </c>
      <c r="AD192" s="9">
        <f>$AB192</f>
        <v>5.28</v>
      </c>
      <c r="AE192" s="39" t="s">
        <v>1528</v>
      </c>
      <c r="AF192" s="10">
        <f>$AD184</f>
        <v>0.77</v>
      </c>
      <c r="AG192" s="39" t="s">
        <v>2778</v>
      </c>
      <c r="AH192" s="9">
        <f>$AF192</f>
        <v>0.77</v>
      </c>
      <c r="AI192" s="39" t="s">
        <v>600</v>
      </c>
      <c r="AJ192" s="10">
        <f>$AL184</f>
        <v>0.65</v>
      </c>
      <c r="AK192" s="39" t="s">
        <v>1648</v>
      </c>
      <c r="AL192" s="9">
        <f>$AJ192</f>
        <v>0.65</v>
      </c>
      <c r="AM192" s="39" t="s">
        <v>434</v>
      </c>
      <c r="AN192" s="10">
        <f>$AT190</f>
        <v>1.18</v>
      </c>
      <c r="AO192" s="39" t="s">
        <v>447</v>
      </c>
      <c r="AP192" s="9">
        <f>$AN192</f>
        <v>1.18</v>
      </c>
      <c r="AQ192" s="39" t="s">
        <v>1693</v>
      </c>
      <c r="AR192" s="10">
        <f>$AL180</f>
        <v>0.2</v>
      </c>
      <c r="AS192" s="39" t="s">
        <v>887</v>
      </c>
      <c r="AT192" s="9">
        <f>$AR192</f>
        <v>0.2</v>
      </c>
      <c r="AU192" s="39" t="s">
        <v>504</v>
      </c>
      <c r="AV192" s="10">
        <f>ROUND(60*$AD192*$AH192*$AL192/($AP192*$AT192),2)</f>
        <v>671.86</v>
      </c>
      <c r="AW192" s="39" t="s">
        <v>1972</v>
      </c>
      <c r="AX192" s="9">
        <f>$AV192</f>
        <v>671.86</v>
      </c>
      <c r="AY192" s="39" t="s">
        <v>794</v>
      </c>
      <c r="AZ192" s="10">
        <f>ROUND(ROUND(60*$AD192*$AH192*$AL192/($AP192*$AT192),2),2)</f>
        <v>671.86</v>
      </c>
      <c r="BA192" s="39" t="s">
        <v>1794</v>
      </c>
      <c r="BB192" s="9">
        <f>$AZ192</f>
        <v>671.86</v>
      </c>
    </row>
    <row r="193" spans="1:34" ht="18.399999999999999" customHeight="1" x14ac:dyDescent="0.15">
      <c r="A193" s="42" t="s">
        <v>2859</v>
      </c>
      <c r="B193" s="3"/>
      <c r="C193" s="46"/>
      <c r="K193" s="3" t="s">
        <v>2859</v>
      </c>
    </row>
    <row r="194" spans="1:34" ht="18.399999999999999" customHeight="1" x14ac:dyDescent="0.15">
      <c r="A194" s="44" t="str">
        <f>CONCATENATE("          1 /",TEXT($AB194,"#,##0.00")," = ","QTY hr/m3")</f>
        <v xml:space="preserve">          1 /671.86 = QTY hr/m3</v>
      </c>
      <c r="B194" s="3">
        <f>$AF194</f>
        <v>1.5E-3</v>
      </c>
      <c r="C194" s="46"/>
      <c r="K194" s="3" t="s">
        <v>2744</v>
      </c>
      <c r="AA194" s="39" t="s">
        <v>2340</v>
      </c>
      <c r="AB194" s="10">
        <f>$AX192</f>
        <v>671.86</v>
      </c>
      <c r="AC194" s="39" t="s">
        <v>1771</v>
      </c>
      <c r="AD194" s="9">
        <f>$AB194</f>
        <v>671.86</v>
      </c>
      <c r="AE194" s="39" t="s">
        <v>1268</v>
      </c>
      <c r="AF194" s="10">
        <f>ROUND(1/$AD194,4)</f>
        <v>1.5E-3</v>
      </c>
      <c r="AG194" s="39" t="s">
        <v>2080</v>
      </c>
      <c r="AH194" s="9">
        <f>$AF194</f>
        <v>1.5E-3</v>
      </c>
    </row>
    <row r="195" spans="1:34" ht="18.399999999999999" customHeight="1" x14ac:dyDescent="0.15">
      <c r="A195" s="42"/>
      <c r="B195" s="3"/>
      <c r="C195" s="46"/>
    </row>
    <row r="196" spans="1:34" ht="18.399999999999999" customHeight="1" thickBot="1" x14ac:dyDescent="0.2">
      <c r="A196" s="45"/>
      <c r="B196" s="5"/>
      <c r="C196" s="49"/>
    </row>
    <row r="197" spans="1:34" ht="18.399999999999999" customHeight="1" x14ac:dyDescent="0.15">
      <c r="A197" s="42"/>
      <c r="B197" s="3"/>
      <c r="C197" s="46"/>
    </row>
    <row r="198" spans="1:34" ht="18.399999999999999" customHeight="1" x14ac:dyDescent="0.15">
      <c r="A198" s="42" t="s">
        <v>636</v>
      </c>
      <c r="B198" s="36">
        <v>1</v>
      </c>
      <c r="C198" s="46" t="s">
        <v>2859</v>
      </c>
    </row>
    <row r="199" spans="1:34" ht="18.399999999999999" customHeight="1" x14ac:dyDescent="0.15">
      <c r="A199" s="43"/>
      <c r="B199" s="3"/>
      <c r="C199" s="46"/>
    </row>
    <row r="200" spans="1:34" ht="18.399999999999999" customHeight="1" x14ac:dyDescent="0.15">
      <c r="A200" s="42" t="s">
        <v>854</v>
      </c>
      <c r="B200" s="3"/>
      <c r="C200" s="46"/>
      <c r="G200" s="3" t="s">
        <v>2859</v>
      </c>
    </row>
    <row r="201" spans="1:34" ht="18.399999999999999" customHeight="1" x14ac:dyDescent="0.15">
      <c r="A201" s="42" t="s">
        <v>2859</v>
      </c>
      <c r="B201" s="3"/>
      <c r="C201" s="46"/>
      <c r="K201" s="3" t="s">
        <v>2859</v>
      </c>
    </row>
    <row r="202" spans="1:34" ht="18.399999999999999" customHeight="1" x14ac:dyDescent="0.15">
      <c r="A202" s="42" t="s">
        <v>1116</v>
      </c>
      <c r="B202" s="3"/>
      <c r="C202" s="46"/>
      <c r="K202" s="3" t="s">
        <v>1116</v>
      </c>
    </row>
    <row r="203" spans="1:34" ht="18.399999999999999" customHeight="1" x14ac:dyDescent="0.15">
      <c r="A203" s="42" t="s">
        <v>1636</v>
      </c>
      <c r="B203" s="3"/>
      <c r="C203" s="46"/>
      <c r="K203" s="3" t="s">
        <v>2698</v>
      </c>
    </row>
    <row r="204" spans="1:34" ht="18.399999999999999" customHeight="1" x14ac:dyDescent="0.15">
      <c r="A204" s="42" t="s">
        <v>2859</v>
      </c>
      <c r="B204" s="3"/>
      <c r="C204" s="46"/>
      <c r="K204" s="3" t="s">
        <v>2859</v>
      </c>
    </row>
    <row r="205" spans="1:34" ht="18.399999999999999" customHeight="1" x14ac:dyDescent="0.15">
      <c r="A205" s="42" t="s">
        <v>1625</v>
      </c>
      <c r="B205" s="3"/>
      <c r="C205" s="46"/>
      <c r="K205" s="3" t="s">
        <v>1022</v>
      </c>
    </row>
    <row r="206" spans="1:34" ht="18.399999999999999" customHeight="1" x14ac:dyDescent="0.15">
      <c r="A206" s="42" t="s">
        <v>2859</v>
      </c>
      <c r="B206" s="3"/>
      <c r="C206" s="46"/>
      <c r="K206" s="3" t="s">
        <v>2859</v>
      </c>
    </row>
    <row r="207" spans="1:34" ht="18.399999999999999" customHeight="1" x14ac:dyDescent="0.15">
      <c r="A207" s="44" t="str">
        <f>CONCATENATE("          qo=",TEXT($AB207,"#,##0.0")," ㎥")</f>
        <v xml:space="preserve">          qo=0.8 ㎥</v>
      </c>
      <c r="B207" s="3"/>
      <c r="C207" s="46"/>
      <c r="K207" s="12" t="str">
        <f>SUBSTITUTE(SUBSTITUTE("          qo = 0.8_x001D_㎥_x001D_","0.8",TEXT($AB207,"#,##0.0"),1),"_x001D_","'")</f>
        <v xml:space="preserve">          qo = 0.8'㎥'</v>
      </c>
      <c r="AA207" s="39" t="s">
        <v>1136</v>
      </c>
      <c r="AB207" s="8">
        <v>0.8</v>
      </c>
      <c r="AC207" s="39" t="s">
        <v>1136</v>
      </c>
      <c r="AD207" s="9">
        <f>$AB207</f>
        <v>0.8</v>
      </c>
    </row>
    <row r="208" spans="1:34" ht="18.399999999999999" customHeight="1" x14ac:dyDescent="0.15">
      <c r="A208" s="42" t="s">
        <v>2859</v>
      </c>
      <c r="B208" s="3"/>
      <c r="C208" s="46"/>
      <c r="K208" s="3" t="s">
        <v>2859</v>
      </c>
    </row>
    <row r="209" spans="1:54" ht="18.399999999999999" customHeight="1" x14ac:dyDescent="0.15">
      <c r="A209" s="44" t="str">
        <f>CONCATENATE("          L=",TEXT($AB209,"#,##0.00")," ,  f = 1 / L= ",TEXT($AJ209,"#,##0.00"))</f>
        <v xml:space="preserve">          L=1.25 ,  f = 1 / L= 0.80</v>
      </c>
      <c r="B209" s="3"/>
      <c r="C209" s="46"/>
      <c r="K209" s="12" t="str">
        <f>SUBSTITUTE(SUBSTITUTE("          L = 1.25 ,  f = 1 / L= {?,_x001D_9.9R_x001D_}","1.25",TEXT($AB209,"#,##0.00"),1),"_x001D_","'")</f>
        <v xml:space="preserve">          L = 1.25 ,  f = 1 / L= {?,'9.9R'}</v>
      </c>
      <c r="AA209" s="39" t="s">
        <v>2704</v>
      </c>
      <c r="AB209" s="8">
        <v>1.25</v>
      </c>
      <c r="AC209" s="39" t="s">
        <v>2704</v>
      </c>
      <c r="AD209" s="9">
        <f>$AB209</f>
        <v>1.25</v>
      </c>
      <c r="AE209" s="39" t="s">
        <v>1802</v>
      </c>
      <c r="AF209" s="10">
        <f>ROUND(1/$AD209,2)</f>
        <v>0.8</v>
      </c>
      <c r="AG209" s="39" t="s">
        <v>1652</v>
      </c>
      <c r="AH209" s="9">
        <f>$AF209</f>
        <v>0.8</v>
      </c>
      <c r="AI209" s="39" t="s">
        <v>2354</v>
      </c>
      <c r="AJ209" s="10">
        <f>ROUND(ROUND(1/$AD209,2),2)</f>
        <v>0.8</v>
      </c>
      <c r="AK209" s="39" t="s">
        <v>2044</v>
      </c>
      <c r="AL209" s="9">
        <f>$AJ209</f>
        <v>0.8</v>
      </c>
    </row>
    <row r="210" spans="1:54" ht="18.399999999999999" customHeight="1" x14ac:dyDescent="0.15">
      <c r="A210" s="42" t="s">
        <v>2859</v>
      </c>
      <c r="B210" s="3"/>
      <c r="C210" s="46"/>
      <c r="K210" s="3" t="s">
        <v>2859</v>
      </c>
    </row>
    <row r="211" spans="1:54" ht="18.399999999999999" customHeight="1" x14ac:dyDescent="0.15">
      <c r="A211" s="44" t="str">
        <f>CONCATENATE("          E = 0.70 - 0.05 = ",TEXT($AF211,"#,##0.00"))</f>
        <v xml:space="preserve">          E = 0.70 - 0.05 = 0.65</v>
      </c>
      <c r="B211" s="3"/>
      <c r="C211" s="46"/>
      <c r="K211" s="3" t="s">
        <v>2084</v>
      </c>
      <c r="AA211" s="39" t="s">
        <v>1296</v>
      </c>
      <c r="AB211" s="10">
        <f>ROUND(0.7-0.05,2)</f>
        <v>0.65</v>
      </c>
      <c r="AC211" s="39" t="s">
        <v>1383</v>
      </c>
      <c r="AD211" s="9">
        <f>$AB211</f>
        <v>0.65</v>
      </c>
      <c r="AE211" s="39" t="s">
        <v>1195</v>
      </c>
      <c r="AF211" s="10">
        <f>ROUND(ROUND(0.7-0.05,2),2)</f>
        <v>0.65</v>
      </c>
      <c r="AG211" s="39" t="s">
        <v>2537</v>
      </c>
      <c r="AH211" s="9">
        <f>$AF211</f>
        <v>0.65</v>
      </c>
    </row>
    <row r="212" spans="1:54" ht="18.399999999999999" customHeight="1" x14ac:dyDescent="0.15">
      <c r="A212" s="42" t="s">
        <v>2859</v>
      </c>
      <c r="B212" s="3"/>
      <c r="C212" s="46"/>
      <c r="K212" s="3" t="s">
        <v>2859</v>
      </c>
    </row>
    <row r="213" spans="1:54" ht="18.399999999999999" customHeight="1" x14ac:dyDescent="0.15">
      <c r="A213" s="44" t="str">
        <f>CONCATENATE("          K=",TEXT($AB213,"#,##0.00"),"    , Cm=",TEXT($AF213,"#,##0.00")," sec(135도)")</f>
        <v xml:space="preserve">          K=0.90    , Cm=20.00 sec(135도)</v>
      </c>
      <c r="B213" s="3"/>
      <c r="C213" s="46"/>
      <c r="K213" s="12" t="str">
        <f>SUBSTITUTE(SUBSTITUTE(SUBSTITUTE("          K = 0.90    , Cm = 20_x001D_sec(135도)_x001D_","0.90",TEXT($AB213,"#,##0.00"),1),"20",TEXT($AF213,"#,##0"),1),"_x001D_","'")</f>
        <v xml:space="preserve">          K = 0.90    , Cm = 20'sec(135도)'</v>
      </c>
      <c r="AA213" s="39" t="s">
        <v>806</v>
      </c>
      <c r="AB213" s="8">
        <v>0.9</v>
      </c>
      <c r="AC213" s="39" t="s">
        <v>806</v>
      </c>
      <c r="AD213" s="9">
        <f>$AB213</f>
        <v>0.9</v>
      </c>
      <c r="AE213" s="39" t="s">
        <v>139</v>
      </c>
      <c r="AF213" s="8">
        <v>20</v>
      </c>
      <c r="AG213" s="39" t="s">
        <v>139</v>
      </c>
      <c r="AH213" s="9">
        <f>$AF213</f>
        <v>20</v>
      </c>
    </row>
    <row r="214" spans="1:54" ht="18.399999999999999" customHeight="1" x14ac:dyDescent="0.15">
      <c r="A214" s="42" t="s">
        <v>2859</v>
      </c>
      <c r="B214" s="3"/>
      <c r="C214" s="46"/>
      <c r="K214" s="3" t="s">
        <v>2859</v>
      </c>
    </row>
    <row r="215" spans="1:54" ht="18.399999999999999" customHeight="1" x14ac:dyDescent="0.15">
      <c r="A215" s="44" t="str">
        <f>CONCATENATE("      Q = 3600 * ",TEXT($AB215,"#,##0.00")," *",TEXT($AF215,"#,##0.00")," *",TEXT($AJ215,"#,##0.00")," * ",TEXT($AN215,"#,##0.00")," / ",TEXT($AR215,"#,##0.00")," = ",TEXT($AZ215,"#,##0.00")," m3/hr")</f>
        <v xml:space="preserve">      Q = 3600 * 0.80 *0.90 *0.80 * 0.65 / 20.00 = 67.39 m3/hr</v>
      </c>
      <c r="B215" s="3"/>
      <c r="C215" s="46"/>
      <c r="K215" s="3" t="s">
        <v>31</v>
      </c>
      <c r="AA215" s="39" t="s">
        <v>1142</v>
      </c>
      <c r="AB215" s="10">
        <f>$AD207</f>
        <v>0.8</v>
      </c>
      <c r="AC215" s="39" t="s">
        <v>280</v>
      </c>
      <c r="AD215" s="9">
        <f>$AB215</f>
        <v>0.8</v>
      </c>
      <c r="AE215" s="39" t="s">
        <v>2003</v>
      </c>
      <c r="AF215" s="10">
        <f>$AD213</f>
        <v>0.9</v>
      </c>
      <c r="AG215" s="39" t="s">
        <v>2755</v>
      </c>
      <c r="AH215" s="9">
        <f>$AF215</f>
        <v>0.9</v>
      </c>
      <c r="AI215" s="39" t="s">
        <v>51</v>
      </c>
      <c r="AJ215" s="10">
        <f>$AH209</f>
        <v>0.8</v>
      </c>
      <c r="AK215" s="39" t="s">
        <v>1623</v>
      </c>
      <c r="AL215" s="9">
        <f>$AJ215</f>
        <v>0.8</v>
      </c>
      <c r="AM215" s="39" t="s">
        <v>205</v>
      </c>
      <c r="AN215" s="10">
        <f>$AD211</f>
        <v>0.65</v>
      </c>
      <c r="AO215" s="39" t="s">
        <v>426</v>
      </c>
      <c r="AP215" s="9">
        <f>$AN215</f>
        <v>0.65</v>
      </c>
      <c r="AQ215" s="39" t="s">
        <v>1834</v>
      </c>
      <c r="AR215" s="10">
        <f>$AH213</f>
        <v>20</v>
      </c>
      <c r="AS215" s="39" t="s">
        <v>856</v>
      </c>
      <c r="AT215" s="9">
        <f>$AR215</f>
        <v>20</v>
      </c>
      <c r="AU215" s="39" t="s">
        <v>504</v>
      </c>
      <c r="AV215" s="10">
        <f>ROUND(3600*$AD215*$AH215*$AL215*$AP215/$AT215,2)</f>
        <v>67.39</v>
      </c>
      <c r="AW215" s="39" t="s">
        <v>1972</v>
      </c>
      <c r="AX215" s="9">
        <f>$AV215</f>
        <v>67.39</v>
      </c>
      <c r="AY215" s="39" t="s">
        <v>1316</v>
      </c>
      <c r="AZ215" s="10">
        <f>ROUND(ROUND(3600*$AD215*$AH215*$AL215*$AP215/$AT215,2),2)</f>
        <v>67.39</v>
      </c>
      <c r="BA215" s="39" t="s">
        <v>1821</v>
      </c>
      <c r="BB215" s="9">
        <f>$AZ215</f>
        <v>67.39</v>
      </c>
    </row>
    <row r="216" spans="1:54" ht="18.399999999999999" customHeight="1" x14ac:dyDescent="0.15">
      <c r="A216" s="42" t="s">
        <v>2859</v>
      </c>
      <c r="B216" s="3"/>
      <c r="C216" s="46"/>
      <c r="K216" s="3" t="s">
        <v>2859</v>
      </c>
    </row>
    <row r="217" spans="1:54" ht="18.399999999999999" customHeight="1" x14ac:dyDescent="0.15">
      <c r="A217" s="44" t="str">
        <f>CONCATENATE("          1 / ",TEXT($AB217,"#,##0.00")," = ","qty hr/m3")</f>
        <v xml:space="preserve">          1 / 67.39 = qty hr/m3</v>
      </c>
      <c r="B217" s="3">
        <f>$AF217</f>
        <v>1.4800000000000001E-2</v>
      </c>
      <c r="C217" s="46"/>
      <c r="K217" s="3" t="s">
        <v>2856</v>
      </c>
      <c r="AA217" s="39" t="s">
        <v>2555</v>
      </c>
      <c r="AB217" s="10">
        <f>$AX215</f>
        <v>67.39</v>
      </c>
      <c r="AC217" s="39" t="s">
        <v>1184</v>
      </c>
      <c r="AD217" s="9">
        <f>$AB217</f>
        <v>67.39</v>
      </c>
      <c r="AE217" s="39" t="s">
        <v>1268</v>
      </c>
      <c r="AF217" s="10">
        <f>ROUND(1/$AD217,4)</f>
        <v>1.4800000000000001E-2</v>
      </c>
      <c r="AG217" s="39" t="s">
        <v>2080</v>
      </c>
      <c r="AH217" s="9">
        <f>$AF217</f>
        <v>1.4800000000000001E-2</v>
      </c>
    </row>
    <row r="218" spans="1:54" ht="18.399999999999999" customHeight="1" x14ac:dyDescent="0.15">
      <c r="A218" s="42"/>
      <c r="B218" s="3"/>
      <c r="C218" s="46"/>
    </row>
    <row r="219" spans="1:54" ht="18.399999999999999" customHeight="1" thickBot="1" x14ac:dyDescent="0.2">
      <c r="A219" s="45"/>
      <c r="B219" s="5"/>
      <c r="C219" s="49"/>
    </row>
    <row r="220" spans="1:54" ht="18.399999999999999" customHeight="1" x14ac:dyDescent="0.15">
      <c r="A220" s="42"/>
      <c r="B220" s="3"/>
      <c r="C220" s="46"/>
    </row>
    <row r="221" spans="1:54" ht="18.399999999999999" customHeight="1" x14ac:dyDescent="0.15">
      <c r="A221" s="42" t="s">
        <v>1198</v>
      </c>
      <c r="B221" s="36">
        <v>1</v>
      </c>
      <c r="C221" s="46" t="s">
        <v>2859</v>
      </c>
    </row>
    <row r="222" spans="1:54" ht="18.399999999999999" customHeight="1" x14ac:dyDescent="0.15">
      <c r="A222" s="43"/>
      <c r="B222" s="3"/>
      <c r="C222" s="46"/>
    </row>
    <row r="223" spans="1:54" ht="18.399999999999999" customHeight="1" x14ac:dyDescent="0.15">
      <c r="A223" s="42" t="s">
        <v>1725</v>
      </c>
      <c r="B223" s="3"/>
      <c r="C223" s="46"/>
      <c r="G223" s="3" t="s">
        <v>2859</v>
      </c>
    </row>
    <row r="224" spans="1:54" ht="18.399999999999999" customHeight="1" x14ac:dyDescent="0.15">
      <c r="A224" s="42" t="s">
        <v>2859</v>
      </c>
      <c r="B224" s="3"/>
      <c r="C224" s="46"/>
      <c r="K224" s="3" t="s">
        <v>2859</v>
      </c>
    </row>
    <row r="225" spans="1:54" ht="18.399999999999999" customHeight="1" x14ac:dyDescent="0.15">
      <c r="A225" s="42" t="s">
        <v>1710</v>
      </c>
      <c r="B225" s="3"/>
      <c r="C225" s="46"/>
      <c r="K225" s="3" t="s">
        <v>1710</v>
      </c>
    </row>
    <row r="226" spans="1:54" ht="18.399999999999999" customHeight="1" x14ac:dyDescent="0.15">
      <c r="A226" s="42" t="s">
        <v>2225</v>
      </c>
      <c r="B226" s="3"/>
      <c r="C226" s="46"/>
      <c r="K226" s="3" t="s">
        <v>631</v>
      </c>
    </row>
    <row r="227" spans="1:54" ht="18.399999999999999" customHeight="1" x14ac:dyDescent="0.15">
      <c r="A227" s="42" t="s">
        <v>2859</v>
      </c>
      <c r="B227" s="3"/>
      <c r="C227" s="46"/>
      <c r="K227" s="3" t="s">
        <v>2859</v>
      </c>
    </row>
    <row r="228" spans="1:54" ht="18.399999999999999" customHeight="1" x14ac:dyDescent="0.15">
      <c r="A228" s="42" t="s">
        <v>1625</v>
      </c>
      <c r="B228" s="3"/>
      <c r="C228" s="46"/>
      <c r="K228" s="3" t="s">
        <v>2102</v>
      </c>
    </row>
    <row r="229" spans="1:54" ht="18.399999999999999" customHeight="1" x14ac:dyDescent="0.15">
      <c r="A229" s="42" t="s">
        <v>2859</v>
      </c>
      <c r="B229" s="3"/>
      <c r="C229" s="46"/>
      <c r="K229" s="3" t="s">
        <v>2859</v>
      </c>
    </row>
    <row r="230" spans="1:54" ht="18.399999999999999" customHeight="1" x14ac:dyDescent="0.15">
      <c r="A230" s="44" t="str">
        <f>CONCATENATE("          qo=",TEXT($AB230,"#,##0.0")," m3")</f>
        <v xml:space="preserve">          qo=0.8 m3</v>
      </c>
      <c r="B230" s="3"/>
      <c r="C230" s="46"/>
      <c r="K230" s="12" t="str">
        <f>SUBSTITUTE(SUBSTITUTE("          qo = 0.8_x001D_m3_x001D_","0.8",TEXT($AB230,"#,##0.0"),1),"_x001D_","'")</f>
        <v xml:space="preserve">          qo = 0.8'm3'</v>
      </c>
      <c r="AA230" s="39" t="s">
        <v>1136</v>
      </c>
      <c r="AB230" s="8">
        <v>0.8</v>
      </c>
      <c r="AC230" s="39" t="s">
        <v>1136</v>
      </c>
      <c r="AD230" s="9">
        <f>$AB230</f>
        <v>0.8</v>
      </c>
    </row>
    <row r="231" spans="1:54" ht="18.399999999999999" customHeight="1" x14ac:dyDescent="0.15">
      <c r="A231" s="42" t="s">
        <v>2859</v>
      </c>
      <c r="B231" s="3"/>
      <c r="C231" s="46"/>
      <c r="K231" s="3" t="s">
        <v>2859</v>
      </c>
    </row>
    <row r="232" spans="1:54" ht="18.399999999999999" customHeight="1" x14ac:dyDescent="0.15">
      <c r="A232" s="44" t="str">
        <f>CONCATENATE("          f  = 0.875 / 1.25 = ",TEXT($AF232,"#,##0.00"))</f>
        <v xml:space="preserve">          f  = 0.875 / 1.25 = 0.70</v>
      </c>
      <c r="B232" s="3"/>
      <c r="C232" s="46"/>
      <c r="K232" s="3" t="s">
        <v>43</v>
      </c>
      <c r="AA232" s="39" t="s">
        <v>1802</v>
      </c>
      <c r="AB232" s="10">
        <f>ROUND(0.875/1.25,2)</f>
        <v>0.7</v>
      </c>
      <c r="AC232" s="39" t="s">
        <v>1652</v>
      </c>
      <c r="AD232" s="9">
        <f>$AB232</f>
        <v>0.7</v>
      </c>
      <c r="AE232" s="39" t="s">
        <v>1612</v>
      </c>
      <c r="AF232" s="10">
        <f>ROUND(ROUND(0.875/1.25,2),2)</f>
        <v>0.7</v>
      </c>
      <c r="AG232" s="39" t="s">
        <v>1492</v>
      </c>
      <c r="AH232" s="9">
        <f>$AF232</f>
        <v>0.7</v>
      </c>
    </row>
    <row r="233" spans="1:54" ht="18.399999999999999" customHeight="1" x14ac:dyDescent="0.15">
      <c r="A233" s="42" t="s">
        <v>2859</v>
      </c>
      <c r="B233" s="3"/>
      <c r="C233" s="46"/>
      <c r="K233" s="3" t="s">
        <v>2859</v>
      </c>
    </row>
    <row r="234" spans="1:54" ht="18.399999999999999" customHeight="1" x14ac:dyDescent="0.15">
      <c r="A234" s="44" t="str">
        <f>CONCATENATE("          E=",TEXT($AB234,"#,##0.00")," , K=",TEXT($AF234,"#,##0.00"))</f>
        <v xml:space="preserve">          E=0.75 , K=0.90</v>
      </c>
      <c r="B234" s="3"/>
      <c r="C234" s="46"/>
      <c r="K234" s="12" t="str">
        <f>SUBSTITUTE(SUBSTITUTE(SUBSTITUTE("          E  = 0.75 , K  = 0.90","0.75",TEXT($AB234,"#,##0.00"),1),"0.90",TEXT($AF234,"#,##0.00"),1),"_x001D_","'")</f>
        <v xml:space="preserve">          E  = 0.75 , K  = 0.90</v>
      </c>
      <c r="AA234" s="39" t="s">
        <v>1383</v>
      </c>
      <c r="AB234" s="8">
        <v>0.75</v>
      </c>
      <c r="AC234" s="39" t="s">
        <v>1383</v>
      </c>
      <c r="AD234" s="9">
        <f>$AB234</f>
        <v>0.75</v>
      </c>
      <c r="AE234" s="39" t="s">
        <v>806</v>
      </c>
      <c r="AF234" s="8">
        <v>0.9</v>
      </c>
      <c r="AG234" s="39" t="s">
        <v>806</v>
      </c>
      <c r="AH234" s="9">
        <f>$AF234</f>
        <v>0.9</v>
      </c>
    </row>
    <row r="235" spans="1:54" ht="18.399999999999999" customHeight="1" x14ac:dyDescent="0.15">
      <c r="A235" s="42" t="s">
        <v>2859</v>
      </c>
      <c r="B235" s="3"/>
      <c r="C235" s="46"/>
      <c r="K235" s="3" t="s">
        <v>2859</v>
      </c>
    </row>
    <row r="236" spans="1:54" ht="18.399999999999999" customHeight="1" x14ac:dyDescent="0.15">
      <c r="A236" s="44" t="str">
        <f>CONCATENATE("          Cm=",TEXT($AB236,"#,##0.00")," sec(135도)")</f>
        <v xml:space="preserve">          Cm=20.00 sec(135도)</v>
      </c>
      <c r="B236" s="3"/>
      <c r="C236" s="46"/>
      <c r="K236" s="12" t="str">
        <f>SUBSTITUTE(SUBSTITUTE("          Cm = 20_x001D_sec(135도)_x001D_","20",TEXT($AB236,"#,##0"),1),"_x001D_","'")</f>
        <v xml:space="preserve">          Cm = 20'sec(135도)'</v>
      </c>
      <c r="AA236" s="39" t="s">
        <v>139</v>
      </c>
      <c r="AB236" s="8">
        <v>20</v>
      </c>
      <c r="AC236" s="39" t="s">
        <v>139</v>
      </c>
      <c r="AD236" s="9">
        <f>$AB236</f>
        <v>20</v>
      </c>
    </row>
    <row r="237" spans="1:54" ht="18.399999999999999" customHeight="1" x14ac:dyDescent="0.15">
      <c r="A237" s="42" t="s">
        <v>2859</v>
      </c>
      <c r="B237" s="3"/>
      <c r="C237" s="46"/>
      <c r="K237" s="3" t="s">
        <v>2859</v>
      </c>
    </row>
    <row r="238" spans="1:54" ht="18.399999999999999" customHeight="1" x14ac:dyDescent="0.15">
      <c r="A238" s="44" t="str">
        <f>CONCATENATE("      Q = 3600 * ",TEXT($AB238,"#,##0.00")," * ",TEXT($AF238,"#,##0.00")," * ",TEXT($AJ238,"#,##0.00")," * ",TEXT($AN238,"#,##0.00")," / ",TEXT($AR238,"#,##0.00")," = ",TEXT($AZ238,"#,##0.00")," m3/hr")</f>
        <v xml:space="preserve">      Q = 3600 * 0.80 * 0.70 * 0.90 * 0.75 / 20.00 = 68.04 m3/hr</v>
      </c>
      <c r="B238" s="3"/>
      <c r="C238" s="46"/>
      <c r="K238" s="3" t="s">
        <v>594</v>
      </c>
      <c r="AA238" s="39" t="s">
        <v>148</v>
      </c>
      <c r="AB238" s="10">
        <f>$AD230</f>
        <v>0.8</v>
      </c>
      <c r="AC238" s="39" t="s">
        <v>865</v>
      </c>
      <c r="AD238" s="9">
        <f>$AB238</f>
        <v>0.8</v>
      </c>
      <c r="AE238" s="39" t="s">
        <v>2510</v>
      </c>
      <c r="AF238" s="10">
        <f>$AD232</f>
        <v>0.7</v>
      </c>
      <c r="AG238" s="39" t="s">
        <v>1814</v>
      </c>
      <c r="AH238" s="9">
        <f>$AF238</f>
        <v>0.7</v>
      </c>
      <c r="AI238" s="39" t="s">
        <v>1249</v>
      </c>
      <c r="AJ238" s="10">
        <f>$AH234</f>
        <v>0.9</v>
      </c>
      <c r="AK238" s="39" t="s">
        <v>2187</v>
      </c>
      <c r="AL238" s="9">
        <f>$AJ238</f>
        <v>0.9</v>
      </c>
      <c r="AM238" s="39" t="s">
        <v>1416</v>
      </c>
      <c r="AN238" s="10">
        <f>$AD234</f>
        <v>0.75</v>
      </c>
      <c r="AO238" s="39" t="s">
        <v>1431</v>
      </c>
      <c r="AP238" s="9">
        <f>$AN238</f>
        <v>0.75</v>
      </c>
      <c r="AQ238" s="39" t="s">
        <v>2282</v>
      </c>
      <c r="AR238" s="10">
        <f>$AD236</f>
        <v>20</v>
      </c>
      <c r="AS238" s="39" t="s">
        <v>270</v>
      </c>
      <c r="AT238" s="9">
        <f>$AR238</f>
        <v>20</v>
      </c>
      <c r="AU238" s="39" t="s">
        <v>504</v>
      </c>
      <c r="AV238" s="10">
        <f>ROUND(3600*$AD238*$AH238*$AL238*$AP238/$AT238,2)</f>
        <v>68.040000000000006</v>
      </c>
      <c r="AW238" s="39" t="s">
        <v>1972</v>
      </c>
      <c r="AX238" s="9">
        <f>$AV238</f>
        <v>68.040000000000006</v>
      </c>
      <c r="AY238" s="39" t="s">
        <v>317</v>
      </c>
      <c r="AZ238" s="10">
        <f>ROUND(ROUND(3600*$AD238*$AH238*$AL238*$AP238/$AT238,2),2)</f>
        <v>68.040000000000006</v>
      </c>
      <c r="BA238" s="39" t="s">
        <v>2761</v>
      </c>
      <c r="BB238" s="9">
        <f>$AZ238</f>
        <v>68.040000000000006</v>
      </c>
    </row>
    <row r="239" spans="1:54" ht="18.399999999999999" customHeight="1" x14ac:dyDescent="0.15">
      <c r="A239" s="42" t="s">
        <v>2859</v>
      </c>
      <c r="B239" s="3"/>
      <c r="C239" s="46"/>
      <c r="K239" s="3" t="s">
        <v>2859</v>
      </c>
    </row>
    <row r="240" spans="1:54" ht="18.399999999999999" customHeight="1" x14ac:dyDescent="0.15">
      <c r="A240" s="44" t="str">
        <f>CONCATENATE("          1 / Q  =  ","qty hr/m3")</f>
        <v xml:space="preserve">          1 / Q  =  qty hr/m3</v>
      </c>
      <c r="B240" s="3">
        <f>$AB240</f>
        <v>1.47E-2</v>
      </c>
      <c r="C240" s="46"/>
      <c r="K240" s="3" t="s">
        <v>1094</v>
      </c>
      <c r="AA240" s="39" t="s">
        <v>1268</v>
      </c>
      <c r="AB240" s="10">
        <f>ROUND(1/$AX238,4)</f>
        <v>1.47E-2</v>
      </c>
      <c r="AC240" s="39" t="s">
        <v>2080</v>
      </c>
      <c r="AD240" s="9">
        <f>$AB240</f>
        <v>1.47E-2</v>
      </c>
    </row>
    <row r="241" spans="1:58" ht="18.399999999999999" customHeight="1" x14ac:dyDescent="0.15">
      <c r="A241" s="43"/>
      <c r="B241" s="3"/>
      <c r="C241" s="46"/>
    </row>
    <row r="242" spans="1:58" ht="18.399999999999999" customHeight="1" x14ac:dyDescent="0.15">
      <c r="A242" s="42" t="s">
        <v>2130</v>
      </c>
      <c r="B242" s="3"/>
      <c r="C242" s="46"/>
      <c r="G242" s="3" t="s">
        <v>2859</v>
      </c>
    </row>
    <row r="243" spans="1:58" ht="18.399999999999999" customHeight="1" x14ac:dyDescent="0.15">
      <c r="A243" s="42" t="s">
        <v>2634</v>
      </c>
      <c r="B243" s="3"/>
      <c r="C243" s="46"/>
      <c r="K243" s="3" t="s">
        <v>2634</v>
      </c>
    </row>
    <row r="244" spans="1:58" ht="18.399999999999999" customHeight="1" x14ac:dyDescent="0.15">
      <c r="A244" s="42" t="s">
        <v>388</v>
      </c>
      <c r="B244" s="3"/>
      <c r="C244" s="46"/>
      <c r="K244" s="3" t="s">
        <v>944</v>
      </c>
    </row>
    <row r="245" spans="1:58" ht="18.399999999999999" customHeight="1" x14ac:dyDescent="0.15">
      <c r="A245" s="42" t="s">
        <v>2859</v>
      </c>
      <c r="B245" s="3"/>
      <c r="C245" s="46"/>
      <c r="K245" s="3" t="s">
        <v>2859</v>
      </c>
    </row>
    <row r="246" spans="1:58" ht="18.399999999999999" customHeight="1" x14ac:dyDescent="0.15">
      <c r="A246" s="44" t="str">
        <f>CONCATENATE("          V=",TEXT($AB246,"#,##0.0")," ㎞/HR  ,  W=",TEXT($AF246,"#,##0.0")," M  , D=",TEXT($AJ246,"#,##0.0")," M")</f>
        <v xml:space="preserve">          V=1.0 ㎞/HR  ,  W=0.7 M  , D=0.2 M</v>
      </c>
      <c r="B246" s="3"/>
      <c r="C246" s="46"/>
      <c r="K246" s="12" t="str">
        <f>SUBSTITUTE(SUBSTITUTE(SUBSTITUTE(SUBSTITUTE("          V = 1.0_x001D_㎞/HR_x001D_ ,  W = 0.7_x001D_M_x001D_ , D = 0.2_x001D_M_x001D_","1.0",TEXT($AB246,"#,##0.0"),1),"0.7",TEXT($AF246,"#,##0.0"),1),"0.2",TEXT($AJ246,"#,##0.0"),1),"_x001D_","'")</f>
        <v xml:space="preserve">          V = 1.0'㎞/HR' ,  W = 0.7'M' , D = 0.2'M'</v>
      </c>
      <c r="AA246" s="39" t="s">
        <v>120</v>
      </c>
      <c r="AB246" s="8">
        <v>1</v>
      </c>
      <c r="AC246" s="39" t="s">
        <v>120</v>
      </c>
      <c r="AD246" s="9">
        <f>$AB246</f>
        <v>1</v>
      </c>
      <c r="AE246" s="39" t="s">
        <v>1242</v>
      </c>
      <c r="AF246" s="8">
        <v>0.7</v>
      </c>
      <c r="AG246" s="39" t="s">
        <v>1242</v>
      </c>
      <c r="AH246" s="9">
        <f>$AF246</f>
        <v>0.7</v>
      </c>
      <c r="AI246" s="39" t="s">
        <v>333</v>
      </c>
      <c r="AJ246" s="8">
        <v>0.2</v>
      </c>
      <c r="AK246" s="39" t="s">
        <v>333</v>
      </c>
      <c r="AL246" s="9">
        <f>$AJ246</f>
        <v>0.2</v>
      </c>
    </row>
    <row r="247" spans="1:58" ht="18.399999999999999" customHeight="1" x14ac:dyDescent="0.15">
      <c r="A247" s="42" t="s">
        <v>2859</v>
      </c>
      <c r="B247" s="3"/>
      <c r="C247" s="46"/>
      <c r="K247" s="3" t="s">
        <v>2859</v>
      </c>
    </row>
    <row r="248" spans="1:58" ht="18.399999999999999" customHeight="1" x14ac:dyDescent="0.15">
      <c r="A248" s="44" t="str">
        <f>CONCATENATE("          F=",TEXT($AB248,"#,##0.0"),"        ,  E=",TEXT($AF248,"#,##0.0"),"    , N=",TEXT($AJ248,"#,##0.00")," 회")</f>
        <v xml:space="preserve">          F=1.0        ,  E=0.4    , N=10.00 회</v>
      </c>
      <c r="B248" s="3"/>
      <c r="C248" s="46"/>
      <c r="K248" s="12" t="str">
        <f>SUBSTITUTE(SUBSTITUTE(SUBSTITUTE(SUBSTITUTE("          F = 1.0        ,  E = 0.4    , N = 10_x001D_회_x001D_","1.0",TEXT($AB248,"#,##0.0"),1),"0.4",TEXT($AF248,"#,##0.0"),1),"10",TEXT($AJ248,"#,##0"),1),"_x001D_","'")</f>
        <v xml:space="preserve">          F = 1.0        ,  E = 0.4    , N = 10'회'</v>
      </c>
      <c r="AA248" s="39" t="s">
        <v>1652</v>
      </c>
      <c r="AB248" s="8">
        <v>1</v>
      </c>
      <c r="AC248" s="39" t="s">
        <v>1652</v>
      </c>
      <c r="AD248" s="9">
        <f>$AB248</f>
        <v>1</v>
      </c>
      <c r="AE248" s="39" t="s">
        <v>1383</v>
      </c>
      <c r="AF248" s="8">
        <v>0.4</v>
      </c>
      <c r="AG248" s="39" t="s">
        <v>1383</v>
      </c>
      <c r="AH248" s="9">
        <f>$AF248</f>
        <v>0.4</v>
      </c>
      <c r="AI248" s="39" t="s">
        <v>1395</v>
      </c>
      <c r="AJ248" s="8">
        <v>10</v>
      </c>
      <c r="AK248" s="39" t="s">
        <v>1395</v>
      </c>
      <c r="AL248" s="9">
        <f>$AJ248</f>
        <v>10</v>
      </c>
    </row>
    <row r="249" spans="1:58" ht="18.399999999999999" customHeight="1" x14ac:dyDescent="0.15">
      <c r="A249" s="42" t="s">
        <v>2859</v>
      </c>
      <c r="B249" s="3"/>
      <c r="C249" s="46"/>
      <c r="K249" s="3" t="s">
        <v>2859</v>
      </c>
    </row>
    <row r="250" spans="1:58" ht="18.399999999999999" customHeight="1" x14ac:dyDescent="0.15">
      <c r="A250" s="44" t="str">
        <f>CONCATENATE("      Q = 1000 * ",TEXT($AB250,"#,##0.00")," * ",TEXT($AF250,"#,##0.00")," * ",TEXT($AJ250,"#,##0.00")," * ",TEXT($AN250,"#,##0.00")," * ",TEXT($AR250,"#,##0.00")," / ",TEXT($AV250,"#,##0.00"),"=",TEXT($BD250,"#,##0.00")," m3/hr")</f>
        <v xml:space="preserve">      Q = 1000 * 1.00 * 0.70 * 0.20 * 1.00 * 0.40 / 10.00=5.60 m3/hr</v>
      </c>
      <c r="B250" s="3"/>
      <c r="C250" s="46"/>
      <c r="K250" s="3" t="s">
        <v>2427</v>
      </c>
      <c r="AA250" s="39" t="s">
        <v>911</v>
      </c>
      <c r="AB250" s="10">
        <f>$AD246</f>
        <v>1</v>
      </c>
      <c r="AC250" s="39" t="s">
        <v>1294</v>
      </c>
      <c r="AD250" s="9">
        <f>$AB250</f>
        <v>1</v>
      </c>
      <c r="AE250" s="39" t="s">
        <v>1453</v>
      </c>
      <c r="AF250" s="10">
        <f>$AH246</f>
        <v>0.7</v>
      </c>
      <c r="AG250" s="39" t="s">
        <v>1738</v>
      </c>
      <c r="AH250" s="9">
        <f>$AF250</f>
        <v>0.7</v>
      </c>
      <c r="AI250" s="39" t="s">
        <v>522</v>
      </c>
      <c r="AJ250" s="10">
        <f>$AL246</f>
        <v>0.2</v>
      </c>
      <c r="AK250" s="39" t="s">
        <v>2801</v>
      </c>
      <c r="AL250" s="9">
        <f>$AJ250</f>
        <v>0.2</v>
      </c>
      <c r="AM250" s="39" t="s">
        <v>359</v>
      </c>
      <c r="AN250" s="10">
        <f>$AD248</f>
        <v>1</v>
      </c>
      <c r="AO250" s="39" t="s">
        <v>695</v>
      </c>
      <c r="AP250" s="9">
        <f>$AN250</f>
        <v>1</v>
      </c>
      <c r="AQ250" s="39" t="s">
        <v>1633</v>
      </c>
      <c r="AR250" s="10">
        <f>$AH248</f>
        <v>0.4</v>
      </c>
      <c r="AS250" s="39" t="s">
        <v>399</v>
      </c>
      <c r="AT250" s="9">
        <f>$AR250</f>
        <v>0.4</v>
      </c>
      <c r="AU250" s="39" t="s">
        <v>715</v>
      </c>
      <c r="AV250" s="10">
        <f>$AL248</f>
        <v>10</v>
      </c>
      <c r="AW250" s="39" t="s">
        <v>2252</v>
      </c>
      <c r="AX250" s="9">
        <f>$AV250</f>
        <v>10</v>
      </c>
      <c r="AY250" s="39" t="s">
        <v>504</v>
      </c>
      <c r="AZ250" s="10">
        <f>ROUND(1000*$AD250*$AH250*$AL250*$AP250*$AT250/$AX250,2)</f>
        <v>5.6</v>
      </c>
      <c r="BA250" s="39" t="s">
        <v>1972</v>
      </c>
      <c r="BB250" s="9">
        <f>$AZ250</f>
        <v>5.6</v>
      </c>
      <c r="BC250" s="39" t="s">
        <v>2720</v>
      </c>
      <c r="BD250" s="10">
        <f>ROUND(ROUND(1000*$AD250*$AH250*$AL250*$AP250*$AT250/$AX250,2),2)</f>
        <v>5.6</v>
      </c>
      <c r="BE250" s="39" t="s">
        <v>1935</v>
      </c>
      <c r="BF250" s="9">
        <f>$BD250</f>
        <v>5.6</v>
      </c>
    </row>
    <row r="251" spans="1:58" ht="18.399999999999999" customHeight="1" x14ac:dyDescent="0.15">
      <c r="A251" s="42" t="s">
        <v>2859</v>
      </c>
      <c r="B251" s="3"/>
      <c r="C251" s="46"/>
      <c r="K251" s="3" t="s">
        <v>2859</v>
      </c>
    </row>
    <row r="252" spans="1:58" ht="18.399999999999999" customHeight="1" x14ac:dyDescent="0.15">
      <c r="A252" s="44" t="str">
        <f>CONCATENATE("          1 /",TEXT($AB252,"#,##0.00")," = ","QTY hr/m3")</f>
        <v xml:space="preserve">          1 /5.60 = QTY hr/m3</v>
      </c>
      <c r="B252" s="3">
        <f>$AF252</f>
        <v>0.17860000000000001</v>
      </c>
      <c r="C252" s="46"/>
      <c r="K252" s="3" t="s">
        <v>2744</v>
      </c>
      <c r="AA252" s="39" t="s">
        <v>2414</v>
      </c>
      <c r="AB252" s="10">
        <f>$BB250</f>
        <v>5.6</v>
      </c>
      <c r="AC252" s="39" t="s">
        <v>154</v>
      </c>
      <c r="AD252" s="9">
        <f>$AB252</f>
        <v>5.6</v>
      </c>
      <c r="AE252" s="39" t="s">
        <v>1268</v>
      </c>
      <c r="AF252" s="10">
        <f>ROUND(1/$AD252,4)</f>
        <v>0.17860000000000001</v>
      </c>
      <c r="AG252" s="39" t="s">
        <v>2080</v>
      </c>
      <c r="AH252" s="9">
        <f>$AF252</f>
        <v>0.17860000000000001</v>
      </c>
    </row>
    <row r="253" spans="1:58" ht="18.399999999999999" customHeight="1" x14ac:dyDescent="0.15">
      <c r="A253" s="42"/>
      <c r="B253" s="3"/>
      <c r="C253" s="46"/>
    </row>
    <row r="254" spans="1:58" ht="18.399999999999999" customHeight="1" thickBot="1" x14ac:dyDescent="0.2">
      <c r="A254" s="45"/>
      <c r="B254" s="5"/>
      <c r="C254" s="49"/>
    </row>
    <row r="255" spans="1:58" ht="18.399999999999999" customHeight="1" x14ac:dyDescent="0.15">
      <c r="A255" s="42"/>
      <c r="B255" s="3"/>
      <c r="C255" s="46"/>
    </row>
    <row r="256" spans="1:58" ht="18.399999999999999" customHeight="1" x14ac:dyDescent="0.15">
      <c r="A256" s="42" t="s">
        <v>2677</v>
      </c>
      <c r="B256" s="36">
        <v>1</v>
      </c>
      <c r="C256" s="46" t="s">
        <v>2859</v>
      </c>
    </row>
    <row r="257" spans="1:30" ht="18.399999999999999" customHeight="1" x14ac:dyDescent="0.15">
      <c r="A257" s="43"/>
      <c r="B257" s="3"/>
      <c r="C257" s="46"/>
    </row>
    <row r="258" spans="1:30" ht="18.399999999999999" customHeight="1" x14ac:dyDescent="0.15">
      <c r="A258" s="42" t="s">
        <v>719</v>
      </c>
      <c r="B258" s="3"/>
      <c r="C258" s="46"/>
      <c r="G258" s="3" t="s">
        <v>2859</v>
      </c>
    </row>
    <row r="259" spans="1:30" ht="18.399999999999999" customHeight="1" x14ac:dyDescent="0.15">
      <c r="A259" s="42" t="s">
        <v>2859</v>
      </c>
      <c r="B259" s="3"/>
      <c r="C259" s="46"/>
      <c r="K259" s="3" t="s">
        <v>2859</v>
      </c>
    </row>
    <row r="260" spans="1:30" ht="18.399999999999999" customHeight="1" x14ac:dyDescent="0.15">
      <c r="A260" s="42" t="s">
        <v>1322</v>
      </c>
      <c r="B260" s="3"/>
      <c r="C260" s="46"/>
      <c r="K260" s="3" t="s">
        <v>1322</v>
      </c>
    </row>
    <row r="261" spans="1:30" ht="18.399999999999999" customHeight="1" x14ac:dyDescent="0.15">
      <c r="A261" s="42" t="s">
        <v>430</v>
      </c>
      <c r="B261" s="3"/>
      <c r="C261" s="46"/>
      <c r="K261" s="3" t="s">
        <v>2144</v>
      </c>
    </row>
    <row r="262" spans="1:30" ht="18.399999999999999" customHeight="1" x14ac:dyDescent="0.15">
      <c r="A262" s="42" t="s">
        <v>2859</v>
      </c>
      <c r="B262" s="3"/>
      <c r="C262" s="46"/>
      <c r="K262" s="3" t="s">
        <v>2859</v>
      </c>
    </row>
    <row r="263" spans="1:30" ht="18.399999999999999" customHeight="1" x14ac:dyDescent="0.15">
      <c r="A263" s="44" t="str">
        <f>CONCATENATE("          1 일  / 500 * 8 hr  = ","qty hr/m")</f>
        <v xml:space="preserve">          1 일  / 500 * 8 hr  = qty hr/m</v>
      </c>
      <c r="B263" s="3">
        <f>$AB263</f>
        <v>1.6E-2</v>
      </c>
      <c r="C263" s="46"/>
      <c r="K263" s="3" t="s">
        <v>1284</v>
      </c>
      <c r="AA263" s="39" t="s">
        <v>1268</v>
      </c>
      <c r="AB263" s="10">
        <f>ROUND(1/500*8,4)</f>
        <v>1.6E-2</v>
      </c>
      <c r="AC263" s="39" t="s">
        <v>2080</v>
      </c>
      <c r="AD263" s="9">
        <f>$AB263</f>
        <v>1.6E-2</v>
      </c>
    </row>
    <row r="264" spans="1:30" ht="18.399999999999999" customHeight="1" x14ac:dyDescent="0.15">
      <c r="A264" s="43"/>
      <c r="B264" s="3"/>
      <c r="C264" s="46"/>
    </row>
    <row r="265" spans="1:30" ht="18.399999999999999" customHeight="1" x14ac:dyDescent="0.15">
      <c r="A265" s="42" t="s">
        <v>1559</v>
      </c>
      <c r="B265" s="3"/>
      <c r="C265" s="46"/>
      <c r="G265" s="3" t="s">
        <v>2859</v>
      </c>
    </row>
    <row r="266" spans="1:30" ht="18.399999999999999" customHeight="1" x14ac:dyDescent="0.15">
      <c r="A266" s="42" t="s">
        <v>2859</v>
      </c>
      <c r="B266" s="3"/>
      <c r="C266" s="46"/>
      <c r="K266" s="3" t="s">
        <v>2859</v>
      </c>
    </row>
    <row r="267" spans="1:30" ht="18.399999999999999" customHeight="1" x14ac:dyDescent="0.15">
      <c r="A267" s="42" t="s">
        <v>2522</v>
      </c>
      <c r="B267" s="3"/>
      <c r="C267" s="46"/>
      <c r="K267" s="3" t="s">
        <v>2522</v>
      </c>
    </row>
    <row r="268" spans="1:30" ht="18.399999999999999" customHeight="1" x14ac:dyDescent="0.15">
      <c r="A268" s="42" t="s">
        <v>2859</v>
      </c>
      <c r="B268" s="3"/>
      <c r="C268" s="46"/>
      <c r="K268" s="3" t="s">
        <v>2859</v>
      </c>
    </row>
    <row r="269" spans="1:30" ht="18.399999999999999" customHeight="1" x14ac:dyDescent="0.15">
      <c r="A269" s="42" t="s">
        <v>751</v>
      </c>
      <c r="B269" s="3"/>
      <c r="C269" s="46"/>
      <c r="K269" s="3" t="s">
        <v>1415</v>
      </c>
    </row>
    <row r="270" spans="1:30" ht="18.399999999999999" customHeight="1" x14ac:dyDescent="0.15">
      <c r="A270" s="42" t="s">
        <v>2859</v>
      </c>
      <c r="B270" s="3"/>
      <c r="C270" s="46"/>
      <c r="K270" s="3" t="s">
        <v>2859</v>
      </c>
    </row>
    <row r="271" spans="1:30" ht="18.399999999999999" customHeight="1" x14ac:dyDescent="0.15">
      <c r="A271" s="44" t="str">
        <f>CONCATENATE("          0.27 / 100 = ","qty 개/m")</f>
        <v xml:space="preserve">          0.27 / 100 = qty 개/m</v>
      </c>
      <c r="B271" s="3">
        <f>$AB271</f>
        <v>2.7000000000000001E-3</v>
      </c>
      <c r="C271" s="46"/>
      <c r="K271" s="3" t="s">
        <v>1737</v>
      </c>
      <c r="AA271" s="39" t="s">
        <v>1268</v>
      </c>
      <c r="AB271" s="10">
        <f>ROUND(0.27/100,4)</f>
        <v>2.7000000000000001E-3</v>
      </c>
      <c r="AC271" s="39" t="s">
        <v>2080</v>
      </c>
      <c r="AD271" s="9">
        <f>$AB271</f>
        <v>2.7000000000000001E-3</v>
      </c>
    </row>
    <row r="272" spans="1:30" ht="18.399999999999999" customHeight="1" x14ac:dyDescent="0.15">
      <c r="A272" s="43"/>
      <c r="B272" s="3"/>
      <c r="C272" s="46"/>
    </row>
    <row r="273" spans="1:38" ht="18.399999999999999" customHeight="1" x14ac:dyDescent="0.15">
      <c r="A273" s="42" t="s">
        <v>516</v>
      </c>
      <c r="B273" s="3"/>
      <c r="C273" s="46"/>
      <c r="G273" s="3" t="s">
        <v>2859</v>
      </c>
    </row>
    <row r="274" spans="1:38" ht="18.399999999999999" customHeight="1" x14ac:dyDescent="0.15">
      <c r="A274" s="42" t="s">
        <v>2859</v>
      </c>
      <c r="B274" s="3"/>
      <c r="C274" s="46"/>
      <c r="K274" s="3" t="s">
        <v>2859</v>
      </c>
    </row>
    <row r="275" spans="1:38" ht="18.399999999999999" customHeight="1" x14ac:dyDescent="0.15">
      <c r="A275" s="42" t="s">
        <v>941</v>
      </c>
      <c r="B275" s="3"/>
      <c r="C275" s="46"/>
      <c r="K275" s="3" t="s">
        <v>941</v>
      </c>
    </row>
    <row r="276" spans="1:38" ht="18.399999999999999" customHeight="1" x14ac:dyDescent="0.15">
      <c r="A276" s="42" t="s">
        <v>2859</v>
      </c>
      <c r="B276" s="3"/>
      <c r="C276" s="46"/>
      <c r="K276" s="3" t="s">
        <v>2859</v>
      </c>
    </row>
    <row r="277" spans="1:38" ht="18.399999999999999" customHeight="1" x14ac:dyDescent="0.15">
      <c r="A277" s="44" t="str">
        <f>CONCATENATE("          L=",TEXT($AB277,"#,##0.00")," km  , V=",TEXT($AF277,"#,##0.00")," km/hr")</f>
        <v xml:space="preserve">          L=0.09 km  , V=25.00 km/hr</v>
      </c>
      <c r="B277" s="3"/>
      <c r="C277" s="46"/>
      <c r="K277" s="12" t="str">
        <f>SUBSTITUTE(SUBSTITUTE(SUBSTITUTE("          L = 0.09_x001D_km_x001D_ , V = 25_x001D_km/hr_x001D_","0.09",TEXT($AB277,"#,##0.00"),1),"25",TEXT($AF277,"#,##0"),1),"_x001D_","'")</f>
        <v xml:space="preserve">          L = 0.09'km' , V = 25'km/hr'</v>
      </c>
      <c r="AA277" s="39" t="s">
        <v>2704</v>
      </c>
      <c r="AB277" s="8">
        <v>0.09</v>
      </c>
      <c r="AC277" s="39" t="s">
        <v>2704</v>
      </c>
      <c r="AD277" s="9">
        <f>$AB277</f>
        <v>0.09</v>
      </c>
      <c r="AE277" s="39" t="s">
        <v>120</v>
      </c>
      <c r="AF277" s="8">
        <v>25</v>
      </c>
      <c r="AG277" s="39" t="s">
        <v>120</v>
      </c>
      <c r="AH277" s="9">
        <f>$AF277</f>
        <v>25</v>
      </c>
    </row>
    <row r="278" spans="1:38" ht="18.399999999999999" customHeight="1" x14ac:dyDescent="0.15">
      <c r="A278" s="42" t="s">
        <v>2859</v>
      </c>
      <c r="B278" s="3"/>
      <c r="C278" s="46"/>
      <c r="K278" s="3" t="s">
        <v>2859</v>
      </c>
    </row>
    <row r="279" spans="1:38" ht="18.399999999999999" customHeight="1" x14ac:dyDescent="0.15">
      <c r="A279" s="42" t="s">
        <v>2779</v>
      </c>
      <c r="B279" s="3"/>
      <c r="C279" s="46"/>
      <c r="K279" s="3" t="s">
        <v>1021</v>
      </c>
    </row>
    <row r="280" spans="1:38" ht="18.399999999999999" customHeight="1" x14ac:dyDescent="0.15">
      <c r="A280" s="42" t="s">
        <v>2859</v>
      </c>
      <c r="B280" s="3"/>
      <c r="C280" s="46"/>
      <c r="K280" s="3" t="s">
        <v>2859</v>
      </c>
    </row>
    <row r="281" spans="1:38" ht="18.399999999999999" customHeight="1" x14ac:dyDescent="0.15">
      <c r="A281" s="44" t="str">
        <f>CONCATENATE("          q=",TEXT($AB281,"#,##0.0"),",  f=",TEXT($AF281,"#,##0.0")," , E=",TEXT($AJ281,"#,##0.0"))</f>
        <v xml:space="preserve">          q=5.5,  f=1.0 , E=0.9</v>
      </c>
      <c r="B281" s="3"/>
      <c r="C281" s="46"/>
      <c r="K281" s="12" t="str">
        <f>SUBSTITUTE(SUBSTITUTE(SUBSTITUTE(SUBSTITUTE("          q = 5.5,  f = 1.0 , E = 0.9,","5.5",TEXT($AB281,"#,##0.0"),1),"1.0",TEXT($AF281,"#,##0.0"),1),"0.9",TEXT($AJ281,"#,##0.0"),1),"_x001D_","'")</f>
        <v xml:space="preserve">          q = 5.5,  f = 1.0 , E = 0.9,</v>
      </c>
      <c r="AA281" s="39" t="s">
        <v>1972</v>
      </c>
      <c r="AB281" s="8">
        <v>5.5</v>
      </c>
      <c r="AC281" s="39" t="s">
        <v>1972</v>
      </c>
      <c r="AD281" s="9">
        <f>$AB281</f>
        <v>5.5</v>
      </c>
      <c r="AE281" s="39" t="s">
        <v>1652</v>
      </c>
      <c r="AF281" s="8">
        <v>1</v>
      </c>
      <c r="AG281" s="39" t="s">
        <v>1652</v>
      </c>
      <c r="AH281" s="9">
        <f>$AF281</f>
        <v>1</v>
      </c>
      <c r="AI281" s="39" t="s">
        <v>1383</v>
      </c>
      <c r="AJ281" s="8">
        <v>0.9</v>
      </c>
      <c r="AK281" s="39" t="s">
        <v>1383</v>
      </c>
      <c r="AL281" s="9">
        <f>$AJ281</f>
        <v>0.9</v>
      </c>
    </row>
    <row r="282" spans="1:38" ht="18.399999999999999" customHeight="1" x14ac:dyDescent="0.15">
      <c r="A282" s="42" t="s">
        <v>2859</v>
      </c>
      <c r="B282" s="3"/>
      <c r="C282" s="46"/>
      <c r="K282" s="3" t="s">
        <v>2859</v>
      </c>
    </row>
    <row r="283" spans="1:38" ht="18.399999999999999" customHeight="1" x14ac:dyDescent="0.15">
      <c r="A283" s="44" t="str">
        <f>CONCATENATE("          t1=",TEXT($AB283,"#,##0.00")," min")</f>
        <v xml:space="preserve">          t1=15.00 min</v>
      </c>
      <c r="B283" s="3"/>
      <c r="C283" s="46"/>
      <c r="K283" s="12" t="str">
        <f>SUBSTITUTE(SUBSTITUTE("          t1 = 15_x001D_min_x001D_","15",TEXT($AB283,"#,##0"),1),"_x001D_","'")</f>
        <v xml:space="preserve">          t1 = 15'min'</v>
      </c>
      <c r="AA283" s="39" t="s">
        <v>2079</v>
      </c>
      <c r="AB283" s="8">
        <v>15</v>
      </c>
      <c r="AC283" s="39" t="s">
        <v>2079</v>
      </c>
      <c r="AD283" s="9">
        <f>$AB283</f>
        <v>15</v>
      </c>
    </row>
    <row r="284" spans="1:38" ht="18.399999999999999" customHeight="1" x14ac:dyDescent="0.15">
      <c r="A284" s="42" t="s">
        <v>2859</v>
      </c>
      <c r="B284" s="3"/>
      <c r="C284" s="46"/>
      <c r="K284" s="3" t="s">
        <v>2859</v>
      </c>
    </row>
    <row r="285" spans="1:38" ht="18.399999999999999" customHeight="1" x14ac:dyDescent="0.15">
      <c r="A285" s="44" t="str">
        <f>CONCATENATE("          t2 = ( L / V ) * 2 * 60 = ",TEXT($AF285,"#,##0.00")," min")</f>
        <v xml:space="preserve">          t2 = ( L / V ) * 2 * 60 = 0.43 min</v>
      </c>
      <c r="B285" s="3"/>
      <c r="C285" s="46"/>
      <c r="K285" s="3" t="s">
        <v>2369</v>
      </c>
      <c r="AA285" s="39" t="s">
        <v>2737</v>
      </c>
      <c r="AB285" s="10">
        <f>ROUND(($AD277/$AH277)*2*60,2)</f>
        <v>0.43</v>
      </c>
      <c r="AC285" s="39" t="s">
        <v>953</v>
      </c>
      <c r="AD285" s="9">
        <f>$AB285</f>
        <v>0.43</v>
      </c>
      <c r="AE285" s="39" t="s">
        <v>1930</v>
      </c>
      <c r="AF285" s="10">
        <f>ROUND(ROUND(($AD277/$AH277)*2*60,2),2)</f>
        <v>0.43</v>
      </c>
      <c r="AG285" s="39" t="s">
        <v>706</v>
      </c>
      <c r="AH285" s="9">
        <f>$AF285</f>
        <v>0.43</v>
      </c>
    </row>
    <row r="286" spans="1:38" ht="18.399999999999999" customHeight="1" x14ac:dyDescent="0.15">
      <c r="A286" s="42" t="s">
        <v>2859</v>
      </c>
      <c r="B286" s="3"/>
      <c r="C286" s="46"/>
      <c r="K286" s="3" t="s">
        <v>2859</v>
      </c>
    </row>
    <row r="287" spans="1:38" ht="18.399999999999999" customHeight="1" x14ac:dyDescent="0.15">
      <c r="A287" s="44" t="str">
        <f>CONCATENATE("          t3=",TEXT($AB287,"#,##0.00")," min  ,  t4=",TEXT($AF287,"#,##0.00"),"  min")</f>
        <v xml:space="preserve">          t3=10.00 min  ,  t4=5.00  min</v>
      </c>
      <c r="B287" s="3"/>
      <c r="C287" s="46"/>
      <c r="K287" s="12" t="str">
        <f>SUBSTITUTE(SUBSTITUTE(SUBSTITUTE("          t3 = 10_x001D_min_x001D_ ,  t4 = 5 _x001D_min_x001D_","10",TEXT($AB287,"#,##0"),1),"5",TEXT($AF287,"#,##0"),1),"_x001D_","'")</f>
        <v xml:space="preserve">          t3 = 10'min' ,  t4 = 5 'min'</v>
      </c>
      <c r="AA287" s="39" t="s">
        <v>511</v>
      </c>
      <c r="AB287" s="8">
        <v>10</v>
      </c>
      <c r="AC287" s="39" t="s">
        <v>511</v>
      </c>
      <c r="AD287" s="9">
        <f>$AB287</f>
        <v>10</v>
      </c>
      <c r="AE287" s="39" t="s">
        <v>1531</v>
      </c>
      <c r="AF287" s="8">
        <v>5</v>
      </c>
      <c r="AG287" s="39" t="s">
        <v>1531</v>
      </c>
      <c r="AH287" s="9">
        <f>$AF287</f>
        <v>5</v>
      </c>
    </row>
    <row r="288" spans="1:38" ht="18.399999999999999" customHeight="1" x14ac:dyDescent="0.15">
      <c r="A288" s="42" t="s">
        <v>2859</v>
      </c>
      <c r="B288" s="3"/>
      <c r="C288" s="46"/>
      <c r="K288" s="3" t="s">
        <v>2859</v>
      </c>
    </row>
    <row r="289" spans="1:54" ht="18.399999999999999" customHeight="1" x14ac:dyDescent="0.15">
      <c r="A289" s="44" t="str">
        <f>CONCATENATE("          Cm = ( t1 + t2 + t3 + t4 ) = ",TEXT($AF289,"#,##0.00")," min")</f>
        <v xml:space="preserve">          Cm = ( t1 + t2 + t3 + t4 ) = 30.43 min</v>
      </c>
      <c r="B289" s="3"/>
      <c r="C289" s="46"/>
      <c r="K289" s="3" t="s">
        <v>2615</v>
      </c>
      <c r="AA289" s="39" t="s">
        <v>2302</v>
      </c>
      <c r="AB289" s="10">
        <f>ROUND(($AD283+$AD285+$AD287+$AH287),2)</f>
        <v>30.43</v>
      </c>
      <c r="AC289" s="39" t="s">
        <v>139</v>
      </c>
      <c r="AD289" s="9">
        <f>$AB289</f>
        <v>30.43</v>
      </c>
      <c r="AE289" s="39" t="s">
        <v>2067</v>
      </c>
      <c r="AF289" s="10">
        <f>ROUND(ROUND(($AD283+$AD285+$AD287+$AH287),2),2)</f>
        <v>30.43</v>
      </c>
      <c r="AG289" s="39" t="s">
        <v>147</v>
      </c>
      <c r="AH289" s="9">
        <f>$AF289</f>
        <v>30.43</v>
      </c>
    </row>
    <row r="290" spans="1:54" ht="18.399999999999999" customHeight="1" x14ac:dyDescent="0.15">
      <c r="A290" s="42" t="s">
        <v>2859</v>
      </c>
      <c r="B290" s="3"/>
      <c r="C290" s="46"/>
      <c r="K290" s="3" t="s">
        <v>2859</v>
      </c>
    </row>
    <row r="291" spans="1:54" ht="18.399999999999999" customHeight="1" x14ac:dyDescent="0.15">
      <c r="A291" s="44" t="str">
        <f>CONCATENATE("      Q = ",TEXT($AB291,"#,##0.00")," * ",TEXT($AF291,"#,##0.00")," * ",TEXT($AJ291,"#,##0.00")," * ",TEXT($AN291,"#,##0.00")," / ",TEXT($AR291,"#,##0.00")," = ",TEXT($AZ291,"#,##0.00")," 톤/hr")</f>
        <v xml:space="preserve">      Q = 60.00 * 5.50 * 1.00 * 0.90 / 30.43 = 9.76 톤/hr</v>
      </c>
      <c r="B291" s="3"/>
      <c r="C291" s="46"/>
      <c r="K291" s="3" t="s">
        <v>832</v>
      </c>
      <c r="AA291" s="39" t="s">
        <v>2788</v>
      </c>
      <c r="AB291" s="8">
        <v>60</v>
      </c>
      <c r="AC291" s="39" t="s">
        <v>2788</v>
      </c>
      <c r="AD291" s="9">
        <f>$AB291</f>
        <v>60</v>
      </c>
      <c r="AE291" s="39" t="s">
        <v>848</v>
      </c>
      <c r="AF291" s="10">
        <f>$AD281</f>
        <v>5.5</v>
      </c>
      <c r="AG291" s="39" t="s">
        <v>235</v>
      </c>
      <c r="AH291" s="9">
        <f>$AF291</f>
        <v>5.5</v>
      </c>
      <c r="AI291" s="39" t="s">
        <v>2819</v>
      </c>
      <c r="AJ291" s="10">
        <f>$AH281</f>
        <v>1</v>
      </c>
      <c r="AK291" s="39" t="s">
        <v>1305</v>
      </c>
      <c r="AL291" s="9">
        <f>$AJ291</f>
        <v>1</v>
      </c>
      <c r="AM291" s="39" t="s">
        <v>2647</v>
      </c>
      <c r="AN291" s="10">
        <f>$AL281</f>
        <v>0.9</v>
      </c>
      <c r="AO291" s="39" t="s">
        <v>2242</v>
      </c>
      <c r="AP291" s="9">
        <f>$AN291</f>
        <v>0.9</v>
      </c>
      <c r="AQ291" s="39" t="s">
        <v>1042</v>
      </c>
      <c r="AR291" s="10">
        <f>$AD289</f>
        <v>30.43</v>
      </c>
      <c r="AS291" s="39" t="s">
        <v>1948</v>
      </c>
      <c r="AT291" s="9">
        <f>$AR291</f>
        <v>30.43</v>
      </c>
      <c r="AU291" s="39" t="s">
        <v>504</v>
      </c>
      <c r="AV291" s="10">
        <f>ROUND($AD291*$AH291*$AL291*$AP291/$AT291,2)</f>
        <v>9.76</v>
      </c>
      <c r="AW291" s="39" t="s">
        <v>1972</v>
      </c>
      <c r="AX291" s="9">
        <f>$AV291</f>
        <v>9.76</v>
      </c>
      <c r="AY291" s="39" t="s">
        <v>1583</v>
      </c>
      <c r="AZ291" s="10">
        <f>ROUND(ROUND($AD291*$AH291*$AL291*$AP291/$AT291,2),2)</f>
        <v>9.76</v>
      </c>
      <c r="BA291" s="39" t="s">
        <v>712</v>
      </c>
      <c r="BB291" s="9">
        <f>$AZ291</f>
        <v>9.76</v>
      </c>
    </row>
    <row r="292" spans="1:54" ht="18.399999999999999" customHeight="1" x14ac:dyDescent="0.15">
      <c r="A292" s="42" t="s">
        <v>2859</v>
      </c>
      <c r="B292" s="3"/>
      <c r="C292" s="46"/>
      <c r="K292" s="3" t="s">
        <v>2859</v>
      </c>
    </row>
    <row r="293" spans="1:54" ht="18.399999999999999" customHeight="1" x14ac:dyDescent="0.15">
      <c r="A293" s="42" t="s">
        <v>669</v>
      </c>
      <c r="B293" s="3"/>
      <c r="C293" s="46"/>
      <c r="K293" s="3" t="s">
        <v>635</v>
      </c>
    </row>
    <row r="294" spans="1:54" ht="18.399999999999999" customHeight="1" x14ac:dyDescent="0.15">
      <c r="A294" s="42" t="s">
        <v>2859</v>
      </c>
      <c r="B294" s="3"/>
      <c r="C294" s="46"/>
      <c r="K294" s="3" t="s">
        <v>2859</v>
      </c>
    </row>
    <row r="295" spans="1:54" ht="18.399999999999999" customHeight="1" x14ac:dyDescent="0.15">
      <c r="A295" s="44" t="str">
        <f>CONCATENATE("          ( 2 / 100 ) / Q = ","qty hr/m")</f>
        <v xml:space="preserve">          ( 2 / 100 ) / Q = qty hr/m</v>
      </c>
      <c r="B295" s="3">
        <f>$AB295</f>
        <v>2E-3</v>
      </c>
      <c r="C295" s="46"/>
      <c r="K295" s="3" t="s">
        <v>1049</v>
      </c>
      <c r="AA295" s="39" t="s">
        <v>1268</v>
      </c>
      <c r="AB295" s="10">
        <f>ROUND((2/100)/$AX291,4)</f>
        <v>2E-3</v>
      </c>
      <c r="AC295" s="39" t="s">
        <v>2080</v>
      </c>
      <c r="AD295" s="9">
        <f>$AB295</f>
        <v>2E-3</v>
      </c>
    </row>
    <row r="296" spans="1:54" ht="18.399999999999999" customHeight="1" x14ac:dyDescent="0.15">
      <c r="A296" s="43"/>
      <c r="B296" s="3"/>
      <c r="C296" s="46"/>
    </row>
    <row r="297" spans="1:54" ht="18.399999999999999" customHeight="1" x14ac:dyDescent="0.15">
      <c r="A297" s="42" t="s">
        <v>133</v>
      </c>
      <c r="B297" s="3"/>
      <c r="C297" s="46"/>
      <c r="G297" s="3" t="s">
        <v>2859</v>
      </c>
    </row>
    <row r="298" spans="1:54" ht="18.399999999999999" customHeight="1" x14ac:dyDescent="0.15">
      <c r="A298" s="42" t="s">
        <v>2859</v>
      </c>
      <c r="B298" s="3"/>
      <c r="C298" s="46"/>
      <c r="K298" s="3" t="s">
        <v>2859</v>
      </c>
    </row>
    <row r="299" spans="1:54" ht="18.399999999999999" customHeight="1" x14ac:dyDescent="0.15">
      <c r="A299" s="42" t="s">
        <v>838</v>
      </c>
      <c r="B299" s="3"/>
      <c r="C299" s="46"/>
      <c r="K299" s="3" t="s">
        <v>838</v>
      </c>
    </row>
    <row r="300" spans="1:54" ht="18.399999999999999" customHeight="1" x14ac:dyDescent="0.15">
      <c r="A300" s="42" t="s">
        <v>2859</v>
      </c>
      <c r="B300" s="3"/>
      <c r="C300" s="46"/>
      <c r="K300" s="3" t="s">
        <v>2859</v>
      </c>
    </row>
    <row r="301" spans="1:54" ht="18.399999999999999" customHeight="1" x14ac:dyDescent="0.15">
      <c r="A301" s="42" t="s">
        <v>36</v>
      </c>
      <c r="B301" s="3"/>
      <c r="C301" s="46"/>
      <c r="K301" s="3" t="s">
        <v>1114</v>
      </c>
    </row>
    <row r="302" spans="1:54" ht="18.399999999999999" customHeight="1" x14ac:dyDescent="0.15">
      <c r="A302" s="42" t="s">
        <v>2859</v>
      </c>
      <c r="B302" s="3"/>
      <c r="C302" s="46"/>
      <c r="K302" s="3" t="s">
        <v>2859</v>
      </c>
    </row>
    <row r="303" spans="1:54" ht="18.399999999999999" customHeight="1" x14ac:dyDescent="0.15">
      <c r="A303" s="44" t="str">
        <f>CONCATENATE("          1.0 / 500  = ","qty 인")</f>
        <v xml:space="preserve">          1.0 / 500  = qty 인</v>
      </c>
      <c r="B303" s="3">
        <f>$AB303</f>
        <v>2E-3</v>
      </c>
      <c r="C303" s="46"/>
      <c r="K303" s="3" t="s">
        <v>2002</v>
      </c>
      <c r="AA303" s="39" t="s">
        <v>1268</v>
      </c>
      <c r="AB303" s="10">
        <f>ROUND(1/500,4)</f>
        <v>2E-3</v>
      </c>
      <c r="AC303" s="39" t="s">
        <v>2080</v>
      </c>
      <c r="AD303" s="9">
        <f>$AB303</f>
        <v>2E-3</v>
      </c>
    </row>
    <row r="304" spans="1:54" ht="18.399999999999999" customHeight="1" x14ac:dyDescent="0.15">
      <c r="A304" s="43"/>
      <c r="B304" s="3"/>
      <c r="C304" s="46"/>
    </row>
    <row r="305" spans="1:30" ht="18.399999999999999" customHeight="1" x14ac:dyDescent="0.15">
      <c r="A305" s="42" t="s">
        <v>174</v>
      </c>
      <c r="B305" s="3"/>
      <c r="C305" s="46"/>
      <c r="G305" s="3" t="s">
        <v>2859</v>
      </c>
    </row>
    <row r="306" spans="1:30" ht="18.399999999999999" customHeight="1" x14ac:dyDescent="0.15">
      <c r="A306" s="42" t="s">
        <v>2859</v>
      </c>
      <c r="B306" s="3"/>
      <c r="C306" s="46"/>
      <c r="K306" s="3" t="s">
        <v>2859</v>
      </c>
    </row>
    <row r="307" spans="1:30" ht="18.399999999999999" customHeight="1" x14ac:dyDescent="0.15">
      <c r="A307" s="42" t="s">
        <v>389</v>
      </c>
      <c r="B307" s="3"/>
      <c r="C307" s="46"/>
      <c r="K307" s="3" t="s">
        <v>484</v>
      </c>
    </row>
    <row r="308" spans="1:30" ht="18.399999999999999" customHeight="1" x14ac:dyDescent="0.15">
      <c r="A308" s="42" t="s">
        <v>2859</v>
      </c>
      <c r="B308" s="3"/>
      <c r="C308" s="46"/>
      <c r="K308" s="3" t="s">
        <v>2859</v>
      </c>
    </row>
    <row r="309" spans="1:30" ht="18.399999999999999" customHeight="1" x14ac:dyDescent="0.15">
      <c r="A309" s="44" t="str">
        <f>CONCATENATE("          1.0 / 500 = ","qty 인")</f>
        <v xml:space="preserve">          1.0 / 500 = qty 인</v>
      </c>
      <c r="B309" s="3">
        <f>$AB309</f>
        <v>2E-3</v>
      </c>
      <c r="C309" s="46"/>
      <c r="K309" s="3" t="s">
        <v>1381</v>
      </c>
      <c r="AA309" s="39" t="s">
        <v>1268</v>
      </c>
      <c r="AB309" s="10">
        <f>ROUND(1/500,4)</f>
        <v>2E-3</v>
      </c>
      <c r="AC309" s="39" t="s">
        <v>2080</v>
      </c>
      <c r="AD309" s="9">
        <f>$AB309</f>
        <v>2E-3</v>
      </c>
    </row>
    <row r="310" spans="1:30" ht="18.399999999999999" customHeight="1" x14ac:dyDescent="0.15">
      <c r="A310" s="43"/>
      <c r="B310" s="3"/>
      <c r="C310" s="46"/>
    </row>
    <row r="311" spans="1:30" ht="18.399999999999999" customHeight="1" x14ac:dyDescent="0.15">
      <c r="A311" s="42" t="s">
        <v>2407</v>
      </c>
      <c r="B311" s="3"/>
      <c r="C311" s="46"/>
      <c r="G311" s="3" t="s">
        <v>2859</v>
      </c>
    </row>
    <row r="312" spans="1:30" ht="18.399999999999999" customHeight="1" x14ac:dyDescent="0.15">
      <c r="A312" s="42" t="s">
        <v>2859</v>
      </c>
      <c r="B312" s="3"/>
      <c r="C312" s="46"/>
      <c r="K312" s="3" t="s">
        <v>2859</v>
      </c>
    </row>
    <row r="313" spans="1:30" ht="18.399999999999999" customHeight="1" x14ac:dyDescent="0.15">
      <c r="A313" s="42" t="s">
        <v>2570</v>
      </c>
      <c r="B313" s="3"/>
      <c r="C313" s="46"/>
      <c r="K313" s="3" t="s">
        <v>2570</v>
      </c>
    </row>
    <row r="314" spans="1:30" ht="18.399999999999999" customHeight="1" x14ac:dyDescent="0.15">
      <c r="A314" s="42" t="s">
        <v>2859</v>
      </c>
      <c r="B314" s="3"/>
      <c r="C314" s="46"/>
      <c r="K314" s="3" t="s">
        <v>2859</v>
      </c>
    </row>
    <row r="315" spans="1:30" ht="18.399999999999999" customHeight="1" x14ac:dyDescent="0.15">
      <c r="A315" s="44" t="str">
        <f>CONCATENATE("          1 일  / 500 * 4 hr  = ","qty hr/m")</f>
        <v xml:space="preserve">          1 일  / 500 * 4 hr  = qty hr/m</v>
      </c>
      <c r="B315" s="3">
        <f>$AB315</f>
        <v>8.0000000000000002E-3</v>
      </c>
      <c r="C315" s="46"/>
      <c r="K315" s="3" t="s">
        <v>385</v>
      </c>
      <c r="AA315" s="39" t="s">
        <v>1268</v>
      </c>
      <c r="AB315" s="10">
        <f>ROUND(1/500*4,4)</f>
        <v>8.0000000000000002E-3</v>
      </c>
      <c r="AC315" s="39" t="s">
        <v>2080</v>
      </c>
      <c r="AD315" s="9">
        <f>$AB315</f>
        <v>8.0000000000000002E-3</v>
      </c>
    </row>
    <row r="316" spans="1:30" ht="18.399999999999999" customHeight="1" x14ac:dyDescent="0.15">
      <c r="A316" s="42"/>
      <c r="B316" s="3"/>
      <c r="C316" s="46"/>
    </row>
    <row r="317" spans="1:30" ht="18.399999999999999" customHeight="1" thickBot="1" x14ac:dyDescent="0.2">
      <c r="A317" s="45"/>
      <c r="B317" s="5"/>
      <c r="C317" s="49"/>
    </row>
    <row r="318" spans="1:30" ht="18.399999999999999" customHeight="1" x14ac:dyDescent="0.15">
      <c r="A318" s="42"/>
      <c r="B318" s="3"/>
      <c r="C318" s="46"/>
    </row>
    <row r="319" spans="1:30" ht="18.399999999999999" customHeight="1" x14ac:dyDescent="0.15">
      <c r="A319" s="42" t="s">
        <v>1210</v>
      </c>
      <c r="B319" s="36">
        <v>1</v>
      </c>
      <c r="C319" s="46" t="s">
        <v>2859</v>
      </c>
    </row>
    <row r="320" spans="1:30" ht="18.399999999999999" customHeight="1" x14ac:dyDescent="0.15">
      <c r="A320" s="43"/>
      <c r="B320" s="3"/>
      <c r="C320" s="46"/>
    </row>
    <row r="321" spans="1:30" ht="18.399999999999999" customHeight="1" x14ac:dyDescent="0.15">
      <c r="A321" s="42" t="s">
        <v>2062</v>
      </c>
      <c r="B321" s="3"/>
      <c r="C321" s="46"/>
      <c r="G321" s="3" t="s">
        <v>2859</v>
      </c>
    </row>
    <row r="322" spans="1:30" ht="18.399999999999999" customHeight="1" x14ac:dyDescent="0.15">
      <c r="A322" s="42" t="s">
        <v>2859</v>
      </c>
      <c r="B322" s="3"/>
      <c r="C322" s="46"/>
      <c r="K322" s="3" t="s">
        <v>2859</v>
      </c>
    </row>
    <row r="323" spans="1:30" ht="18.399999999999999" customHeight="1" x14ac:dyDescent="0.15">
      <c r="A323" s="42" t="s">
        <v>1855</v>
      </c>
      <c r="B323" s="3"/>
      <c r="C323" s="46"/>
      <c r="K323" s="3" t="s">
        <v>1855</v>
      </c>
    </row>
    <row r="324" spans="1:30" ht="18.399999999999999" customHeight="1" x14ac:dyDescent="0.15">
      <c r="A324" s="42" t="s">
        <v>138</v>
      </c>
      <c r="B324" s="3"/>
      <c r="C324" s="46"/>
      <c r="K324" s="3" t="s">
        <v>293</v>
      </c>
    </row>
    <row r="325" spans="1:30" ht="18.399999999999999" customHeight="1" x14ac:dyDescent="0.15">
      <c r="A325" s="42" t="s">
        <v>2859</v>
      </c>
      <c r="B325" s="3"/>
      <c r="C325" s="46"/>
      <c r="K325" s="3" t="s">
        <v>2859</v>
      </c>
    </row>
    <row r="326" spans="1:30" ht="18.399999999999999" customHeight="1" x14ac:dyDescent="0.15">
      <c r="A326" s="42" t="s">
        <v>940</v>
      </c>
      <c r="B326" s="3"/>
      <c r="C326" s="46"/>
      <c r="K326" s="3" t="s">
        <v>1151</v>
      </c>
    </row>
    <row r="327" spans="1:30" ht="18.399999999999999" customHeight="1" x14ac:dyDescent="0.15">
      <c r="A327" s="42" t="s">
        <v>2859</v>
      </c>
      <c r="B327" s="3"/>
      <c r="C327" s="46"/>
      <c r="K327" s="3" t="s">
        <v>2859</v>
      </c>
    </row>
    <row r="328" spans="1:30" ht="18.399999999999999" customHeight="1" x14ac:dyDescent="0.15">
      <c r="A328" s="44" t="str">
        <f>CONCATENATE("      Q=",TEXT($AB328,"#,##0.00")," m3/hr")</f>
        <v xml:space="preserve">      Q=16.00 m3/hr</v>
      </c>
      <c r="B328" s="3"/>
      <c r="C328" s="46"/>
      <c r="K328" s="12" t="str">
        <f>SUBSTITUTE(SUBSTITUTE("      Q =  16_x001D_m3/hr_x001D_","16",TEXT($AB328,"#,##0"),1),"_x001D_","'")</f>
        <v xml:space="preserve">      Q =  16'm3/hr'</v>
      </c>
      <c r="AA328" s="39" t="s">
        <v>1972</v>
      </c>
      <c r="AB328" s="8">
        <v>16</v>
      </c>
      <c r="AC328" s="39" t="s">
        <v>1972</v>
      </c>
      <c r="AD328" s="9">
        <f>$AB328</f>
        <v>16</v>
      </c>
    </row>
    <row r="329" spans="1:30" ht="18.399999999999999" customHeight="1" x14ac:dyDescent="0.15">
      <c r="A329" s="42" t="s">
        <v>2859</v>
      </c>
      <c r="B329" s="3"/>
      <c r="C329" s="46"/>
      <c r="K329" s="3" t="s">
        <v>2859</v>
      </c>
    </row>
    <row r="330" spans="1:30" ht="18.399999999999999" customHeight="1" x14ac:dyDescent="0.15">
      <c r="A330" s="44" t="str">
        <f>CONCATENATE("          1 / Q = ","qty hr/m3")</f>
        <v xml:space="preserve">          1 / Q = qty hr/m3</v>
      </c>
      <c r="B330" s="3">
        <f>$AB330</f>
        <v>6.25E-2</v>
      </c>
      <c r="C330" s="46"/>
      <c r="K330" s="3" t="s">
        <v>2014</v>
      </c>
      <c r="AA330" s="39" t="s">
        <v>1268</v>
      </c>
      <c r="AB330" s="10">
        <f>ROUND(1/$AD328,4)</f>
        <v>6.25E-2</v>
      </c>
      <c r="AC330" s="39" t="s">
        <v>2080</v>
      </c>
      <c r="AD330" s="9">
        <f>$AB330</f>
        <v>6.25E-2</v>
      </c>
    </row>
    <row r="331" spans="1:30" ht="18.399999999999999" customHeight="1" x14ac:dyDescent="0.15">
      <c r="A331" s="43"/>
      <c r="B331" s="3"/>
      <c r="C331" s="46"/>
    </row>
    <row r="332" spans="1:30" ht="18.399999999999999" customHeight="1" x14ac:dyDescent="0.15">
      <c r="A332" s="42" t="s">
        <v>2062</v>
      </c>
      <c r="B332" s="3"/>
      <c r="C332" s="46"/>
      <c r="G332" s="3" t="s">
        <v>2859</v>
      </c>
    </row>
    <row r="333" spans="1:30" ht="18.399999999999999" customHeight="1" x14ac:dyDescent="0.15">
      <c r="A333" s="42" t="s">
        <v>2859</v>
      </c>
      <c r="B333" s="3"/>
      <c r="C333" s="46"/>
      <c r="K333" s="3" t="s">
        <v>2859</v>
      </c>
    </row>
    <row r="334" spans="1:30" ht="18.399999999999999" customHeight="1" x14ac:dyDescent="0.15">
      <c r="A334" s="42" t="s">
        <v>2422</v>
      </c>
      <c r="B334" s="3"/>
      <c r="C334" s="46"/>
      <c r="K334" s="3" t="s">
        <v>2675</v>
      </c>
    </row>
    <row r="335" spans="1:30" ht="18.399999999999999" customHeight="1" x14ac:dyDescent="0.15">
      <c r="A335" s="42" t="s">
        <v>2859</v>
      </c>
      <c r="B335" s="3"/>
      <c r="C335" s="46"/>
      <c r="K335" s="3" t="s">
        <v>2859</v>
      </c>
    </row>
    <row r="336" spans="1:30" ht="18.399999999999999" customHeight="1" x14ac:dyDescent="0.15">
      <c r="A336" s="44" t="str">
        <f>CONCATENATE("      Q=",TEXT($AB336,"#,##0.00")," m3/hr")</f>
        <v xml:space="preserve">      Q=16.00 m3/hr</v>
      </c>
      <c r="B336" s="3"/>
      <c r="C336" s="46"/>
      <c r="K336" s="12" t="str">
        <f>SUBSTITUTE(SUBSTITUTE("      Q =  16_x001D_m3/hr_x001D_","16",TEXT($AB336,"#,##0"),1),"_x001D_","'")</f>
        <v xml:space="preserve">      Q =  16'm3/hr'</v>
      </c>
      <c r="AA336" s="39" t="s">
        <v>1972</v>
      </c>
      <c r="AB336" s="8">
        <v>16</v>
      </c>
      <c r="AC336" s="39" t="s">
        <v>1972</v>
      </c>
      <c r="AD336" s="9">
        <f>$AB336</f>
        <v>16</v>
      </c>
    </row>
    <row r="337" spans="1:38" ht="18.399999999999999" customHeight="1" x14ac:dyDescent="0.15">
      <c r="A337" s="42" t="s">
        <v>2859</v>
      </c>
      <c r="B337" s="3"/>
      <c r="C337" s="46"/>
      <c r="K337" s="3" t="s">
        <v>2859</v>
      </c>
    </row>
    <row r="338" spans="1:38" ht="18.399999999999999" customHeight="1" x14ac:dyDescent="0.15">
      <c r="A338" s="44" t="str">
        <f>CONCATENATE("          1 / Q = ","qty hr/m3")</f>
        <v xml:space="preserve">          1 / Q = qty hr/m3</v>
      </c>
      <c r="B338" s="3">
        <f>$AB338</f>
        <v>6.25E-2</v>
      </c>
      <c r="C338" s="46"/>
      <c r="K338" s="3" t="s">
        <v>2014</v>
      </c>
      <c r="AA338" s="39" t="s">
        <v>1268</v>
      </c>
      <c r="AB338" s="10">
        <f>ROUND(1/$AD336,4)</f>
        <v>6.25E-2</v>
      </c>
      <c r="AC338" s="39" t="s">
        <v>2080</v>
      </c>
      <c r="AD338" s="9">
        <f>$AB338</f>
        <v>6.25E-2</v>
      </c>
    </row>
    <row r="339" spans="1:38" ht="18.399999999999999" customHeight="1" x14ac:dyDescent="0.15">
      <c r="A339" s="43"/>
      <c r="B339" s="3"/>
      <c r="C339" s="46"/>
    </row>
    <row r="340" spans="1:38" ht="18.399999999999999" customHeight="1" x14ac:dyDescent="0.15">
      <c r="A340" s="42" t="s">
        <v>1315</v>
      </c>
      <c r="B340" s="3"/>
      <c r="C340" s="46"/>
      <c r="G340" s="3" t="s">
        <v>2859</v>
      </c>
    </row>
    <row r="341" spans="1:38" ht="18.399999999999999" customHeight="1" x14ac:dyDescent="0.15">
      <c r="A341" s="42" t="s">
        <v>2859</v>
      </c>
      <c r="B341" s="3"/>
      <c r="C341" s="46"/>
      <c r="K341" s="3" t="s">
        <v>2859</v>
      </c>
    </row>
    <row r="342" spans="1:38" ht="18.399999999999999" customHeight="1" x14ac:dyDescent="0.15">
      <c r="A342" s="42" t="s">
        <v>966</v>
      </c>
      <c r="B342" s="3"/>
      <c r="C342" s="46"/>
      <c r="K342" s="3" t="s">
        <v>1427</v>
      </c>
    </row>
    <row r="343" spans="1:38" ht="18.399999999999999" customHeight="1" x14ac:dyDescent="0.15">
      <c r="A343" s="42" t="s">
        <v>2859</v>
      </c>
      <c r="B343" s="3"/>
      <c r="C343" s="46"/>
      <c r="K343" s="3" t="s">
        <v>2859</v>
      </c>
    </row>
    <row r="344" spans="1:38" ht="18.399999999999999" customHeight="1" x14ac:dyDescent="0.15">
      <c r="A344" s="44" t="str">
        <f>CONCATENATE("      A=",TEXT($AB344,"#,##0.00")," 본/hr")</f>
        <v xml:space="preserve">      A=0.01 본/hr</v>
      </c>
      <c r="B344" s="3"/>
      <c r="C344" s="46"/>
      <c r="K344" s="12" t="str">
        <f>SUBSTITUTE(SUBSTITUTE("      A =  0.01_x001D_본/hr_x001D_","0.01",TEXT($AB344,"#,##0.00"),1),"_x001D_","'")</f>
        <v xml:space="preserve">      A =  0.01'본/hr'</v>
      </c>
      <c r="AA344" s="39" t="s">
        <v>474</v>
      </c>
      <c r="AB344" s="8">
        <v>0.01</v>
      </c>
      <c r="AC344" s="39" t="s">
        <v>474</v>
      </c>
      <c r="AD344" s="9">
        <f>$AB344</f>
        <v>0.01</v>
      </c>
    </row>
    <row r="345" spans="1:38" ht="18.399999999999999" customHeight="1" x14ac:dyDescent="0.15">
      <c r="A345" s="42" t="s">
        <v>2859</v>
      </c>
      <c r="B345" s="3"/>
      <c r="C345" s="46"/>
      <c r="K345" s="3" t="s">
        <v>2859</v>
      </c>
    </row>
    <row r="346" spans="1:38" ht="18.399999999999999" customHeight="1" x14ac:dyDescent="0.15">
      <c r="A346" s="44" t="str">
        <f>CONCATENATE("      Q=",TEXT($AB346,"#,##0.0")," m3/hr")</f>
        <v xml:space="preserve">      Q=16.0 m3/hr</v>
      </c>
      <c r="B346" s="3"/>
      <c r="C346" s="46"/>
      <c r="K346" s="12" t="str">
        <f>SUBSTITUTE(SUBSTITUTE("      Q =  16.0_x001D_m3/hr_x001D_","16.0",TEXT($AB346,"#,##0.0"),1),"_x001D_","'")</f>
        <v xml:space="preserve">      Q =  16.0'm3/hr'</v>
      </c>
      <c r="AA346" s="39" t="s">
        <v>1972</v>
      </c>
      <c r="AB346" s="8">
        <v>16</v>
      </c>
      <c r="AC346" s="39" t="s">
        <v>1972</v>
      </c>
      <c r="AD346" s="9">
        <f>$AB346</f>
        <v>16</v>
      </c>
    </row>
    <row r="347" spans="1:38" ht="18.399999999999999" customHeight="1" x14ac:dyDescent="0.15">
      <c r="A347" s="42" t="s">
        <v>2859</v>
      </c>
      <c r="B347" s="3"/>
      <c r="C347" s="46"/>
      <c r="K347" s="3" t="s">
        <v>2859</v>
      </c>
    </row>
    <row r="348" spans="1:38" ht="18.399999999999999" customHeight="1" x14ac:dyDescent="0.15">
      <c r="A348" s="44" t="str">
        <f>CONCATENATE("          1 / ",TEXT($AB348,"#,##0.00")," * ",TEXT($AF348,"#,##0.00")," = ","qty 본/m3")</f>
        <v xml:space="preserve">          1 / 16.00 * 0.01 = qty 본/m3</v>
      </c>
      <c r="B348" s="3">
        <f>$AJ348</f>
        <v>5.9999999999999995E-4</v>
      </c>
      <c r="C348" s="46"/>
      <c r="K348" s="3" t="s">
        <v>1460</v>
      </c>
      <c r="AA348" s="39" t="s">
        <v>2030</v>
      </c>
      <c r="AB348" s="10">
        <f>$AD346</f>
        <v>16</v>
      </c>
      <c r="AC348" s="39" t="s">
        <v>2064</v>
      </c>
      <c r="AD348" s="9">
        <f>$AB348</f>
        <v>16</v>
      </c>
      <c r="AE348" s="39" t="s">
        <v>1177</v>
      </c>
      <c r="AF348" s="10">
        <f>$AD344</f>
        <v>0.01</v>
      </c>
      <c r="AG348" s="39" t="s">
        <v>943</v>
      </c>
      <c r="AH348" s="9">
        <f>$AF348</f>
        <v>0.01</v>
      </c>
      <c r="AI348" s="39" t="s">
        <v>1268</v>
      </c>
      <c r="AJ348" s="10">
        <f>ROUND(1/$AD348*$AH348,4)</f>
        <v>5.9999999999999995E-4</v>
      </c>
      <c r="AK348" s="39" t="s">
        <v>2080</v>
      </c>
      <c r="AL348" s="9">
        <f>$AJ348</f>
        <v>5.9999999999999995E-4</v>
      </c>
    </row>
    <row r="349" spans="1:38" ht="18.399999999999999" customHeight="1" x14ac:dyDescent="0.15">
      <c r="A349" s="43"/>
      <c r="B349" s="3"/>
      <c r="C349" s="46"/>
    </row>
    <row r="350" spans="1:38" ht="18.399999999999999" customHeight="1" x14ac:dyDescent="0.15">
      <c r="A350" s="42" t="s">
        <v>2170</v>
      </c>
      <c r="B350" s="3"/>
      <c r="C350" s="46"/>
      <c r="G350" s="3" t="s">
        <v>2859</v>
      </c>
    </row>
    <row r="351" spans="1:38" ht="18.399999999999999" customHeight="1" x14ac:dyDescent="0.15">
      <c r="A351" s="42" t="s">
        <v>2859</v>
      </c>
      <c r="B351" s="3"/>
      <c r="C351" s="46"/>
      <c r="K351" s="3" t="s">
        <v>2859</v>
      </c>
    </row>
    <row r="352" spans="1:38" ht="18.399999999999999" customHeight="1" x14ac:dyDescent="0.15">
      <c r="A352" s="42" t="s">
        <v>723</v>
      </c>
      <c r="B352" s="3"/>
      <c r="C352" s="46"/>
      <c r="K352" s="3" t="s">
        <v>19</v>
      </c>
    </row>
    <row r="353" spans="1:30" ht="18.399999999999999" customHeight="1" x14ac:dyDescent="0.15">
      <c r="A353" s="42" t="s">
        <v>2859</v>
      </c>
      <c r="B353" s="3"/>
      <c r="C353" s="46"/>
      <c r="K353" s="3" t="s">
        <v>2859</v>
      </c>
    </row>
    <row r="354" spans="1:30" ht="18.399999999999999" customHeight="1" x14ac:dyDescent="0.15">
      <c r="A354" s="44" t="str">
        <f>CONCATENATE("          (1.0 인/일 * 1 / 8) /  16 m3/hr  = ","qty 인/m3")</f>
        <v xml:space="preserve">          (1.0 인/일 * 1 / 8) /  16 m3/hr  = qty 인/m3</v>
      </c>
      <c r="B354" s="3">
        <f>$AB354</f>
        <v>7.7999999999999996E-3</v>
      </c>
      <c r="C354" s="46"/>
      <c r="K354" s="3" t="s">
        <v>1697</v>
      </c>
      <c r="AA354" s="39" t="s">
        <v>1268</v>
      </c>
      <c r="AB354" s="10">
        <f>ROUND((1*1/8)/16,4)</f>
        <v>7.7999999999999996E-3</v>
      </c>
      <c r="AC354" s="39" t="s">
        <v>2080</v>
      </c>
      <c r="AD354" s="9">
        <f>$AB354</f>
        <v>7.7999999999999996E-3</v>
      </c>
    </row>
    <row r="355" spans="1:30" ht="18.399999999999999" customHeight="1" x14ac:dyDescent="0.15">
      <c r="A355" s="42"/>
      <c r="B355" s="3"/>
      <c r="C355" s="46"/>
    </row>
    <row r="356" spans="1:30" ht="18.399999999999999" customHeight="1" thickBot="1" x14ac:dyDescent="0.2">
      <c r="A356" s="45"/>
      <c r="B356" s="5"/>
      <c r="C356" s="49"/>
    </row>
    <row r="357" spans="1:30" ht="18.399999999999999" customHeight="1" x14ac:dyDescent="0.15">
      <c r="A357" s="42"/>
      <c r="B357" s="3"/>
      <c r="C357" s="46"/>
    </row>
    <row r="358" spans="1:30" ht="18.399999999999999" customHeight="1" x14ac:dyDescent="0.15">
      <c r="A358" s="42" t="s">
        <v>1868</v>
      </c>
      <c r="B358" s="36">
        <v>1</v>
      </c>
      <c r="C358" s="46" t="s">
        <v>2859</v>
      </c>
    </row>
    <row r="359" spans="1:30" ht="18.399999999999999" customHeight="1" x14ac:dyDescent="0.15">
      <c r="A359" s="43"/>
      <c r="B359" s="3"/>
      <c r="C359" s="46"/>
    </row>
    <row r="360" spans="1:30" ht="18.399999999999999" customHeight="1" x14ac:dyDescent="0.15">
      <c r="A360" s="42" t="s">
        <v>719</v>
      </c>
      <c r="B360" s="3"/>
      <c r="C360" s="46"/>
      <c r="G360" s="3" t="s">
        <v>2859</v>
      </c>
    </row>
    <row r="361" spans="1:30" ht="18.399999999999999" customHeight="1" x14ac:dyDescent="0.15">
      <c r="A361" s="42" t="s">
        <v>2859</v>
      </c>
      <c r="B361" s="3"/>
      <c r="C361" s="46"/>
      <c r="K361" s="3" t="s">
        <v>2859</v>
      </c>
    </row>
    <row r="362" spans="1:30" ht="18.399999999999999" customHeight="1" x14ac:dyDescent="0.15">
      <c r="A362" s="42" t="s">
        <v>1322</v>
      </c>
      <c r="B362" s="3"/>
      <c r="C362" s="46"/>
      <c r="K362" s="3" t="s">
        <v>1322</v>
      </c>
    </row>
    <row r="363" spans="1:30" ht="18.399999999999999" customHeight="1" x14ac:dyDescent="0.15">
      <c r="A363" s="42" t="s">
        <v>821</v>
      </c>
      <c r="B363" s="3"/>
      <c r="C363" s="46"/>
      <c r="K363" s="3" t="s">
        <v>1358</v>
      </c>
    </row>
    <row r="364" spans="1:30" ht="18.399999999999999" customHeight="1" x14ac:dyDescent="0.15">
      <c r="A364" s="42" t="s">
        <v>2859</v>
      </c>
      <c r="B364" s="3"/>
      <c r="C364" s="46"/>
      <c r="K364" s="3" t="s">
        <v>2859</v>
      </c>
    </row>
    <row r="365" spans="1:30" ht="18.399999999999999" customHeight="1" x14ac:dyDescent="0.15">
      <c r="A365" s="44" t="str">
        <f>CONCATENATE("          1 일  / 450 * 8 hr  = ","qty hr/m")</f>
        <v xml:space="preserve">          1 일  / 450 * 8 hr  = qty hr/m</v>
      </c>
      <c r="B365" s="3">
        <f>$AB365</f>
        <v>1.78E-2</v>
      </c>
      <c r="C365" s="46"/>
      <c r="K365" s="3" t="s">
        <v>2732</v>
      </c>
      <c r="AA365" s="39" t="s">
        <v>1268</v>
      </c>
      <c r="AB365" s="10">
        <f>ROUND(1/450*8,4)</f>
        <v>1.78E-2</v>
      </c>
      <c r="AC365" s="39" t="s">
        <v>2080</v>
      </c>
      <c r="AD365" s="9">
        <f>$AB365</f>
        <v>1.78E-2</v>
      </c>
    </row>
    <row r="366" spans="1:30" ht="18.399999999999999" customHeight="1" x14ac:dyDescent="0.15">
      <c r="A366" s="43"/>
      <c r="B366" s="3"/>
      <c r="C366" s="46"/>
    </row>
    <row r="367" spans="1:30" ht="18.399999999999999" customHeight="1" x14ac:dyDescent="0.15">
      <c r="A367" s="42" t="s">
        <v>1559</v>
      </c>
      <c r="B367" s="3"/>
      <c r="C367" s="46"/>
      <c r="G367" s="3" t="s">
        <v>2859</v>
      </c>
    </row>
    <row r="368" spans="1:30" ht="18.399999999999999" customHeight="1" x14ac:dyDescent="0.15">
      <c r="A368" s="42" t="s">
        <v>2859</v>
      </c>
      <c r="B368" s="3"/>
      <c r="C368" s="46"/>
      <c r="K368" s="3" t="s">
        <v>2859</v>
      </c>
    </row>
    <row r="369" spans="1:38" ht="18.399999999999999" customHeight="1" x14ac:dyDescent="0.15">
      <c r="A369" s="42" t="s">
        <v>2522</v>
      </c>
      <c r="B369" s="3"/>
      <c r="C369" s="46"/>
      <c r="K369" s="3" t="s">
        <v>2522</v>
      </c>
    </row>
    <row r="370" spans="1:38" ht="18.399999999999999" customHeight="1" x14ac:dyDescent="0.15">
      <c r="A370" s="42" t="s">
        <v>2859</v>
      </c>
      <c r="B370" s="3"/>
      <c r="C370" s="46"/>
      <c r="K370" s="3" t="s">
        <v>2859</v>
      </c>
    </row>
    <row r="371" spans="1:38" ht="18.399999999999999" customHeight="1" x14ac:dyDescent="0.15">
      <c r="A371" s="42" t="s">
        <v>751</v>
      </c>
      <c r="B371" s="3"/>
      <c r="C371" s="46"/>
      <c r="K371" s="3" t="s">
        <v>1415</v>
      </c>
    </row>
    <row r="372" spans="1:38" ht="18.399999999999999" customHeight="1" x14ac:dyDescent="0.15">
      <c r="A372" s="42" t="s">
        <v>2859</v>
      </c>
      <c r="B372" s="3"/>
      <c r="C372" s="46"/>
      <c r="K372" s="3" t="s">
        <v>2859</v>
      </c>
    </row>
    <row r="373" spans="1:38" ht="18.399999999999999" customHeight="1" x14ac:dyDescent="0.15">
      <c r="A373" s="44" t="str">
        <f>CONCATENATE("          0.27 / 100 = ","qty 개/m")</f>
        <v xml:space="preserve">          0.27 / 100 = qty 개/m</v>
      </c>
      <c r="B373" s="3">
        <f>$AB373</f>
        <v>2.7000000000000001E-3</v>
      </c>
      <c r="C373" s="46"/>
      <c r="K373" s="3" t="s">
        <v>1737</v>
      </c>
      <c r="AA373" s="39" t="s">
        <v>1268</v>
      </c>
      <c r="AB373" s="10">
        <f>ROUND(0.27/100,4)</f>
        <v>2.7000000000000001E-3</v>
      </c>
      <c r="AC373" s="39" t="s">
        <v>2080</v>
      </c>
      <c r="AD373" s="9">
        <f>$AB373</f>
        <v>2.7000000000000001E-3</v>
      </c>
    </row>
    <row r="374" spans="1:38" ht="18.399999999999999" customHeight="1" x14ac:dyDescent="0.15">
      <c r="A374" s="43"/>
      <c r="B374" s="3"/>
      <c r="C374" s="46"/>
    </row>
    <row r="375" spans="1:38" ht="18.399999999999999" customHeight="1" x14ac:dyDescent="0.15">
      <c r="A375" s="42" t="s">
        <v>516</v>
      </c>
      <c r="B375" s="3"/>
      <c r="C375" s="46"/>
      <c r="G375" s="3" t="s">
        <v>2859</v>
      </c>
    </row>
    <row r="376" spans="1:38" ht="18.399999999999999" customHeight="1" x14ac:dyDescent="0.15">
      <c r="A376" s="42" t="s">
        <v>2859</v>
      </c>
      <c r="B376" s="3"/>
      <c r="C376" s="46"/>
      <c r="K376" s="3" t="s">
        <v>2859</v>
      </c>
    </row>
    <row r="377" spans="1:38" ht="18.399999999999999" customHeight="1" x14ac:dyDescent="0.15">
      <c r="A377" s="42" t="s">
        <v>941</v>
      </c>
      <c r="B377" s="3"/>
      <c r="C377" s="46"/>
      <c r="K377" s="3" t="s">
        <v>941</v>
      </c>
    </row>
    <row r="378" spans="1:38" ht="18.399999999999999" customHeight="1" x14ac:dyDescent="0.15">
      <c r="A378" s="42" t="s">
        <v>2859</v>
      </c>
      <c r="B378" s="3"/>
      <c r="C378" s="46"/>
      <c r="K378" s="3" t="s">
        <v>2859</v>
      </c>
    </row>
    <row r="379" spans="1:38" ht="18.399999999999999" customHeight="1" x14ac:dyDescent="0.15">
      <c r="A379" s="44" t="str">
        <f>CONCATENATE("          L=",TEXT($AB379,"#,##0.00")," km  , V=",TEXT($AF379,"#,##0.00")," km/hr")</f>
        <v xml:space="preserve">          L=0.09 km  , V=25.00 km/hr</v>
      </c>
      <c r="B379" s="3"/>
      <c r="C379" s="46"/>
      <c r="K379" s="12" t="str">
        <f>SUBSTITUTE(SUBSTITUTE(SUBSTITUTE("          L = 0.09_x001D_km_x001D_ , V = 25_x001D_km/hr_x001D_","0.09",TEXT($AB379,"#,##0.00"),1),"25",TEXT($AF379,"#,##0"),1),"_x001D_","'")</f>
        <v xml:space="preserve">          L = 0.09'km' , V = 25'km/hr'</v>
      </c>
      <c r="AA379" s="39" t="s">
        <v>2704</v>
      </c>
      <c r="AB379" s="8">
        <v>0.09</v>
      </c>
      <c r="AC379" s="39" t="s">
        <v>2704</v>
      </c>
      <c r="AD379" s="9">
        <f>$AB379</f>
        <v>0.09</v>
      </c>
      <c r="AE379" s="39" t="s">
        <v>120</v>
      </c>
      <c r="AF379" s="8">
        <v>25</v>
      </c>
      <c r="AG379" s="39" t="s">
        <v>120</v>
      </c>
      <c r="AH379" s="9">
        <f>$AF379</f>
        <v>25</v>
      </c>
    </row>
    <row r="380" spans="1:38" ht="18.399999999999999" customHeight="1" x14ac:dyDescent="0.15">
      <c r="A380" s="42" t="s">
        <v>2859</v>
      </c>
      <c r="B380" s="3"/>
      <c r="C380" s="46"/>
      <c r="K380" s="3" t="s">
        <v>2859</v>
      </c>
    </row>
    <row r="381" spans="1:38" ht="18.399999999999999" customHeight="1" x14ac:dyDescent="0.15">
      <c r="A381" s="42" t="s">
        <v>2779</v>
      </c>
      <c r="B381" s="3"/>
      <c r="C381" s="46"/>
      <c r="K381" s="3" t="s">
        <v>1021</v>
      </c>
    </row>
    <row r="382" spans="1:38" ht="18.399999999999999" customHeight="1" x14ac:dyDescent="0.15">
      <c r="A382" s="42" t="s">
        <v>2859</v>
      </c>
      <c r="B382" s="3"/>
      <c r="C382" s="46"/>
      <c r="K382" s="3" t="s">
        <v>2859</v>
      </c>
    </row>
    <row r="383" spans="1:38" ht="18.399999999999999" customHeight="1" x14ac:dyDescent="0.15">
      <c r="A383" s="44" t="str">
        <f>CONCATENATE("          q=",TEXT($AB383,"#,##0.0"),",  f=",TEXT($AF383,"#,##0.0")," , E=",TEXT($AJ383,"#,##0.0"))</f>
        <v xml:space="preserve">          q=5.5,  f=1.0 , E=0.9</v>
      </c>
      <c r="B383" s="3"/>
      <c r="C383" s="46"/>
      <c r="K383" s="12" t="str">
        <f>SUBSTITUTE(SUBSTITUTE(SUBSTITUTE(SUBSTITUTE("          q = 5.5,  f = 1.0 , E = 0.9,","5.5",TEXT($AB383,"#,##0.0"),1),"1.0",TEXT($AF383,"#,##0.0"),1),"0.9",TEXT($AJ383,"#,##0.0"),1),"_x001D_","'")</f>
        <v xml:space="preserve">          q = 5.5,  f = 1.0 , E = 0.9,</v>
      </c>
      <c r="AA383" s="39" t="s">
        <v>1972</v>
      </c>
      <c r="AB383" s="8">
        <v>5.5</v>
      </c>
      <c r="AC383" s="39" t="s">
        <v>1972</v>
      </c>
      <c r="AD383" s="9">
        <f>$AB383</f>
        <v>5.5</v>
      </c>
      <c r="AE383" s="39" t="s">
        <v>1652</v>
      </c>
      <c r="AF383" s="8">
        <v>1</v>
      </c>
      <c r="AG383" s="39" t="s">
        <v>1652</v>
      </c>
      <c r="AH383" s="9">
        <f>$AF383</f>
        <v>1</v>
      </c>
      <c r="AI383" s="39" t="s">
        <v>1383</v>
      </c>
      <c r="AJ383" s="8">
        <v>0.9</v>
      </c>
      <c r="AK383" s="39" t="s">
        <v>1383</v>
      </c>
      <c r="AL383" s="9">
        <f>$AJ383</f>
        <v>0.9</v>
      </c>
    </row>
    <row r="384" spans="1:38" ht="18.399999999999999" customHeight="1" x14ac:dyDescent="0.15">
      <c r="A384" s="42" t="s">
        <v>2859</v>
      </c>
      <c r="B384" s="3"/>
      <c r="C384" s="46"/>
      <c r="K384" s="3" t="s">
        <v>2859</v>
      </c>
    </row>
    <row r="385" spans="1:54" ht="18.399999999999999" customHeight="1" x14ac:dyDescent="0.15">
      <c r="A385" s="44" t="str">
        <f>CONCATENATE("          t1=",TEXT($AB385,"#,##0.00")," min")</f>
        <v xml:space="preserve">          t1=15.00 min</v>
      </c>
      <c r="B385" s="3"/>
      <c r="C385" s="46"/>
      <c r="K385" s="12" t="str">
        <f>SUBSTITUTE(SUBSTITUTE("          t1 = 15_x001D_min_x001D_","15",TEXT($AB385,"#,##0"),1),"_x001D_","'")</f>
        <v xml:space="preserve">          t1 = 15'min'</v>
      </c>
      <c r="AA385" s="39" t="s">
        <v>2079</v>
      </c>
      <c r="AB385" s="8">
        <v>15</v>
      </c>
      <c r="AC385" s="39" t="s">
        <v>2079</v>
      </c>
      <c r="AD385" s="9">
        <f>$AB385</f>
        <v>15</v>
      </c>
    </row>
    <row r="386" spans="1:54" ht="18.399999999999999" customHeight="1" x14ac:dyDescent="0.15">
      <c r="A386" s="42" t="s">
        <v>2859</v>
      </c>
      <c r="B386" s="3"/>
      <c r="C386" s="46"/>
      <c r="K386" s="3" t="s">
        <v>2859</v>
      </c>
    </row>
    <row r="387" spans="1:54" ht="18.399999999999999" customHeight="1" x14ac:dyDescent="0.15">
      <c r="A387" s="44" t="str">
        <f>CONCATENATE("          t2 = ( L / V ) * 2 * 60 = ",TEXT($AF387,"#,##0.00")," min")</f>
        <v xml:space="preserve">          t2 = ( L / V ) * 2 * 60 = 0.43 min</v>
      </c>
      <c r="B387" s="3"/>
      <c r="C387" s="46"/>
      <c r="K387" s="3" t="s">
        <v>2369</v>
      </c>
      <c r="AA387" s="39" t="s">
        <v>2737</v>
      </c>
      <c r="AB387" s="10">
        <f>ROUND(($AD379/$AH379)*2*60,2)</f>
        <v>0.43</v>
      </c>
      <c r="AC387" s="39" t="s">
        <v>953</v>
      </c>
      <c r="AD387" s="9">
        <f>$AB387</f>
        <v>0.43</v>
      </c>
      <c r="AE387" s="39" t="s">
        <v>2604</v>
      </c>
      <c r="AF387" s="10">
        <f>ROUND(ROUND(($AD379/$AH379)*2*60,2),2)</f>
        <v>0.43</v>
      </c>
      <c r="AG387" s="39" t="s">
        <v>30</v>
      </c>
      <c r="AH387" s="9">
        <f>$AF387</f>
        <v>0.43</v>
      </c>
    </row>
    <row r="388" spans="1:54" ht="18.399999999999999" customHeight="1" x14ac:dyDescent="0.15">
      <c r="A388" s="42" t="s">
        <v>2859</v>
      </c>
      <c r="B388" s="3"/>
      <c r="C388" s="46"/>
      <c r="K388" s="3" t="s">
        <v>2859</v>
      </c>
    </row>
    <row r="389" spans="1:54" ht="18.399999999999999" customHeight="1" x14ac:dyDescent="0.15">
      <c r="A389" s="44" t="str">
        <f>CONCATENATE("          t3=",TEXT($AB389,"#,##0.00")," min  ,  t4=",TEXT($AF389,"#,##0.00"),"  min")</f>
        <v xml:space="preserve">          t3=10.00 min  ,  t4=5.00  min</v>
      </c>
      <c r="B389" s="3"/>
      <c r="C389" s="46"/>
      <c r="K389" s="12" t="str">
        <f>SUBSTITUTE(SUBSTITUTE(SUBSTITUTE("          t3 = 10_x001D_min_x001D_ ,  t4 = 5 _x001D_min_x001D_","10",TEXT($AB389,"#,##0"),1),"5",TEXT($AF389,"#,##0"),1),"_x001D_","'")</f>
        <v xml:space="preserve">          t3 = 10'min' ,  t4 = 5 'min'</v>
      </c>
      <c r="AA389" s="39" t="s">
        <v>511</v>
      </c>
      <c r="AB389" s="8">
        <v>10</v>
      </c>
      <c r="AC389" s="39" t="s">
        <v>511</v>
      </c>
      <c r="AD389" s="9">
        <f>$AB389</f>
        <v>10</v>
      </c>
      <c r="AE389" s="39" t="s">
        <v>1531</v>
      </c>
      <c r="AF389" s="8">
        <v>5</v>
      </c>
      <c r="AG389" s="39" t="s">
        <v>1531</v>
      </c>
      <c r="AH389" s="9">
        <f>$AF389</f>
        <v>5</v>
      </c>
    </row>
    <row r="390" spans="1:54" ht="18.399999999999999" customHeight="1" x14ac:dyDescent="0.15">
      <c r="A390" s="42" t="s">
        <v>2859</v>
      </c>
      <c r="B390" s="3"/>
      <c r="C390" s="46"/>
      <c r="K390" s="3" t="s">
        <v>2859</v>
      </c>
    </row>
    <row r="391" spans="1:54" ht="18.399999999999999" customHeight="1" x14ac:dyDescent="0.15">
      <c r="A391" s="44" t="str">
        <f>CONCATENATE("          Cm = ( t1 + t2 + t3 + t4 ) = ",TEXT($AF391,"#,##0.00")," min")</f>
        <v xml:space="preserve">          Cm = ( t1 + t2 + t3 + t4 ) = 30.43 min</v>
      </c>
      <c r="B391" s="3"/>
      <c r="C391" s="46"/>
      <c r="K391" s="3" t="s">
        <v>2615</v>
      </c>
      <c r="AA391" s="39" t="s">
        <v>2302</v>
      </c>
      <c r="AB391" s="10">
        <f>ROUND(($AD385+$AD387+$AD389+$AH389),2)</f>
        <v>30.43</v>
      </c>
      <c r="AC391" s="39" t="s">
        <v>139</v>
      </c>
      <c r="AD391" s="9">
        <f>$AB391</f>
        <v>30.43</v>
      </c>
      <c r="AE391" s="39" t="s">
        <v>1051</v>
      </c>
      <c r="AF391" s="10">
        <f>ROUND(ROUND(($AD385+$AD387+$AD389+$AH389),2),2)</f>
        <v>30.43</v>
      </c>
      <c r="AG391" s="39" t="s">
        <v>2189</v>
      </c>
      <c r="AH391" s="9">
        <f>$AF391</f>
        <v>30.43</v>
      </c>
    </row>
    <row r="392" spans="1:54" ht="18.399999999999999" customHeight="1" x14ac:dyDescent="0.15">
      <c r="A392" s="42" t="s">
        <v>2859</v>
      </c>
      <c r="B392" s="3"/>
      <c r="C392" s="46"/>
      <c r="K392" s="3" t="s">
        <v>2859</v>
      </c>
    </row>
    <row r="393" spans="1:54" ht="18.399999999999999" customHeight="1" x14ac:dyDescent="0.15">
      <c r="A393" s="44" t="str">
        <f>CONCATENATE("      Q = ",TEXT($AB393,"#,##0.00")," * ",TEXT($AF393,"#,##0.00")," * ",TEXT($AJ393,"#,##0.00")," * ",TEXT($AN393,"#,##0.00")," / ",TEXT($AR393,"#,##0.00")," = ",TEXT($AZ393,"#,##0.00")," 톤/hr")</f>
        <v xml:space="preserve">      Q = 60.00 * 5.50 * 1.00 * 0.90 / 30.43 = 9.76 톤/hr</v>
      </c>
      <c r="B393" s="3"/>
      <c r="C393" s="46"/>
      <c r="K393" s="3" t="s">
        <v>832</v>
      </c>
      <c r="AA393" s="39" t="s">
        <v>2076</v>
      </c>
      <c r="AB393" s="8">
        <v>60</v>
      </c>
      <c r="AC393" s="39" t="s">
        <v>2076</v>
      </c>
      <c r="AD393" s="9">
        <f>$AB393</f>
        <v>60</v>
      </c>
      <c r="AE393" s="39" t="s">
        <v>104</v>
      </c>
      <c r="AF393" s="10">
        <f>$AD383</f>
        <v>5.5</v>
      </c>
      <c r="AG393" s="39" t="s">
        <v>956</v>
      </c>
      <c r="AH393" s="9">
        <f>$AF393</f>
        <v>5.5</v>
      </c>
      <c r="AI393" s="39" t="s">
        <v>2068</v>
      </c>
      <c r="AJ393" s="10">
        <f>$AH383</f>
        <v>1</v>
      </c>
      <c r="AK393" s="39" t="s">
        <v>507</v>
      </c>
      <c r="AL393" s="9">
        <f>$AJ393</f>
        <v>1</v>
      </c>
      <c r="AM393" s="39" t="s">
        <v>1891</v>
      </c>
      <c r="AN393" s="10">
        <f>$AL383</f>
        <v>0.9</v>
      </c>
      <c r="AO393" s="39" t="s">
        <v>1541</v>
      </c>
      <c r="AP393" s="9">
        <f>$AN393</f>
        <v>0.9</v>
      </c>
      <c r="AQ393" s="39" t="s">
        <v>281</v>
      </c>
      <c r="AR393" s="10">
        <f>$AD391</f>
        <v>30.43</v>
      </c>
      <c r="AS393" s="39" t="s">
        <v>2659</v>
      </c>
      <c r="AT393" s="9">
        <f>$AR393</f>
        <v>30.43</v>
      </c>
      <c r="AU393" s="39" t="s">
        <v>504</v>
      </c>
      <c r="AV393" s="10">
        <f>ROUND($AD393*$AH393*$AL393*$AP393/$AT393,2)</f>
        <v>9.76</v>
      </c>
      <c r="AW393" s="39" t="s">
        <v>1972</v>
      </c>
      <c r="AX393" s="9">
        <f>$AV393</f>
        <v>9.76</v>
      </c>
      <c r="AY393" s="39" t="s">
        <v>2239</v>
      </c>
      <c r="AZ393" s="10">
        <f>ROUND(ROUND($AD393*$AH393*$AL393*$AP393/$AT393,2),2)</f>
        <v>9.76</v>
      </c>
      <c r="BA393" s="39" t="s">
        <v>25</v>
      </c>
      <c r="BB393" s="9">
        <f>$AZ393</f>
        <v>9.76</v>
      </c>
    </row>
    <row r="394" spans="1:54" ht="18.399999999999999" customHeight="1" x14ac:dyDescent="0.15">
      <c r="A394" s="42" t="s">
        <v>2859</v>
      </c>
      <c r="B394" s="3"/>
      <c r="C394" s="46"/>
      <c r="K394" s="3" t="s">
        <v>2859</v>
      </c>
    </row>
    <row r="395" spans="1:54" ht="18.399999999999999" customHeight="1" x14ac:dyDescent="0.15">
      <c r="A395" s="42" t="s">
        <v>669</v>
      </c>
      <c r="B395" s="3"/>
      <c r="C395" s="46"/>
      <c r="K395" s="3" t="s">
        <v>635</v>
      </c>
    </row>
    <row r="396" spans="1:54" ht="18.399999999999999" customHeight="1" x14ac:dyDescent="0.15">
      <c r="A396" s="42" t="s">
        <v>2859</v>
      </c>
      <c r="B396" s="3"/>
      <c r="C396" s="46"/>
      <c r="K396" s="3" t="s">
        <v>2859</v>
      </c>
    </row>
    <row r="397" spans="1:54" ht="18.399999999999999" customHeight="1" x14ac:dyDescent="0.15">
      <c r="A397" s="44" t="str">
        <f>CONCATENATE("          ( 2 / 100 ) / Q = ","qty hr/m")</f>
        <v xml:space="preserve">          ( 2 / 100 ) / Q = qty hr/m</v>
      </c>
      <c r="B397" s="3">
        <f>$AB397</f>
        <v>2E-3</v>
      </c>
      <c r="C397" s="46"/>
      <c r="K397" s="3" t="s">
        <v>1049</v>
      </c>
      <c r="AA397" s="39" t="s">
        <v>1268</v>
      </c>
      <c r="AB397" s="10">
        <f>ROUND((2/100)/$AX393,4)</f>
        <v>2E-3</v>
      </c>
      <c r="AC397" s="39" t="s">
        <v>2080</v>
      </c>
      <c r="AD397" s="9">
        <f>$AB397</f>
        <v>2E-3</v>
      </c>
    </row>
    <row r="398" spans="1:54" ht="18.399999999999999" customHeight="1" x14ac:dyDescent="0.15">
      <c r="A398" s="43"/>
      <c r="B398" s="3"/>
      <c r="C398" s="46"/>
    </row>
    <row r="399" spans="1:54" ht="18.399999999999999" customHeight="1" x14ac:dyDescent="0.15">
      <c r="A399" s="42" t="s">
        <v>133</v>
      </c>
      <c r="B399" s="3"/>
      <c r="C399" s="46"/>
      <c r="G399" s="3" t="s">
        <v>2859</v>
      </c>
    </row>
    <row r="400" spans="1:54" ht="18.399999999999999" customHeight="1" x14ac:dyDescent="0.15">
      <c r="A400" s="42" t="s">
        <v>2859</v>
      </c>
      <c r="B400" s="3"/>
      <c r="C400" s="46"/>
      <c r="K400" s="3" t="s">
        <v>2859</v>
      </c>
    </row>
    <row r="401" spans="1:30" ht="18.399999999999999" customHeight="1" x14ac:dyDescent="0.15">
      <c r="A401" s="42" t="s">
        <v>838</v>
      </c>
      <c r="B401" s="3"/>
      <c r="C401" s="46"/>
      <c r="K401" s="3" t="s">
        <v>838</v>
      </c>
    </row>
    <row r="402" spans="1:30" ht="18.399999999999999" customHeight="1" x14ac:dyDescent="0.15">
      <c r="A402" s="42" t="s">
        <v>2859</v>
      </c>
      <c r="B402" s="3"/>
      <c r="C402" s="46"/>
      <c r="K402" s="3" t="s">
        <v>2859</v>
      </c>
    </row>
    <row r="403" spans="1:30" ht="18.399999999999999" customHeight="1" x14ac:dyDescent="0.15">
      <c r="A403" s="42" t="s">
        <v>2661</v>
      </c>
      <c r="B403" s="3"/>
      <c r="C403" s="46"/>
      <c r="K403" s="3" t="s">
        <v>565</v>
      </c>
    </row>
    <row r="404" spans="1:30" ht="18.399999999999999" customHeight="1" x14ac:dyDescent="0.15">
      <c r="A404" s="42" t="s">
        <v>2859</v>
      </c>
      <c r="B404" s="3"/>
      <c r="C404" s="46"/>
      <c r="K404" s="3" t="s">
        <v>2859</v>
      </c>
    </row>
    <row r="405" spans="1:30" ht="18.399999999999999" customHeight="1" x14ac:dyDescent="0.15">
      <c r="A405" s="44" t="str">
        <f>CONCATENATE("          1.0 / 450  = ","qty 인")</f>
        <v xml:space="preserve">          1.0 / 450  = qty 인</v>
      </c>
      <c r="B405" s="3">
        <f>$AB405</f>
        <v>2.2000000000000001E-3</v>
      </c>
      <c r="C405" s="46"/>
      <c r="K405" s="3" t="s">
        <v>2620</v>
      </c>
      <c r="AA405" s="39" t="s">
        <v>1268</v>
      </c>
      <c r="AB405" s="10">
        <f>ROUND(1/450,4)</f>
        <v>2.2000000000000001E-3</v>
      </c>
      <c r="AC405" s="39" t="s">
        <v>2080</v>
      </c>
      <c r="AD405" s="9">
        <f>$AB405</f>
        <v>2.2000000000000001E-3</v>
      </c>
    </row>
    <row r="406" spans="1:30" ht="18.399999999999999" customHeight="1" x14ac:dyDescent="0.15">
      <c r="A406" s="43"/>
      <c r="B406" s="3"/>
      <c r="C406" s="46"/>
    </row>
    <row r="407" spans="1:30" ht="18.399999999999999" customHeight="1" x14ac:dyDescent="0.15">
      <c r="A407" s="42" t="s">
        <v>174</v>
      </c>
      <c r="B407" s="3"/>
      <c r="C407" s="46"/>
      <c r="G407" s="3" t="s">
        <v>2859</v>
      </c>
    </row>
    <row r="408" spans="1:30" ht="18.399999999999999" customHeight="1" x14ac:dyDescent="0.15">
      <c r="A408" s="42" t="s">
        <v>2859</v>
      </c>
      <c r="B408" s="3"/>
      <c r="C408" s="46"/>
      <c r="K408" s="3" t="s">
        <v>2859</v>
      </c>
    </row>
    <row r="409" spans="1:30" ht="18.399999999999999" customHeight="1" x14ac:dyDescent="0.15">
      <c r="A409" s="42" t="s">
        <v>2254</v>
      </c>
      <c r="B409" s="3"/>
      <c r="C409" s="46"/>
      <c r="K409" s="3" t="s">
        <v>1388</v>
      </c>
    </row>
    <row r="410" spans="1:30" ht="18.399999999999999" customHeight="1" x14ac:dyDescent="0.15">
      <c r="A410" s="42" t="s">
        <v>2859</v>
      </c>
      <c r="B410" s="3"/>
      <c r="C410" s="46"/>
      <c r="K410" s="3" t="s">
        <v>2859</v>
      </c>
    </row>
    <row r="411" spans="1:30" ht="18.399999999999999" customHeight="1" x14ac:dyDescent="0.15">
      <c r="A411" s="44" t="str">
        <f>CONCATENATE("          1.0 / 450 = ","qty 인")</f>
        <v xml:space="preserve">          1.0 / 450 = qty 인</v>
      </c>
      <c r="B411" s="3">
        <f>$AB411</f>
        <v>2.2000000000000001E-3</v>
      </c>
      <c r="C411" s="46"/>
      <c r="K411" s="3" t="s">
        <v>595</v>
      </c>
      <c r="AA411" s="39" t="s">
        <v>1268</v>
      </c>
      <c r="AB411" s="10">
        <f>ROUND(1/450,4)</f>
        <v>2.2000000000000001E-3</v>
      </c>
      <c r="AC411" s="39" t="s">
        <v>2080</v>
      </c>
      <c r="AD411" s="9">
        <f>$AB411</f>
        <v>2.2000000000000001E-3</v>
      </c>
    </row>
    <row r="412" spans="1:30" ht="18.399999999999999" customHeight="1" x14ac:dyDescent="0.15">
      <c r="A412" s="43"/>
      <c r="B412" s="3"/>
      <c r="C412" s="46"/>
    </row>
    <row r="413" spans="1:30" ht="18.399999999999999" customHeight="1" x14ac:dyDescent="0.15">
      <c r="A413" s="42" t="s">
        <v>2407</v>
      </c>
      <c r="B413" s="3"/>
      <c r="C413" s="46"/>
      <c r="G413" s="3" t="s">
        <v>2859</v>
      </c>
    </row>
    <row r="414" spans="1:30" ht="18.399999999999999" customHeight="1" x14ac:dyDescent="0.15">
      <c r="A414" s="42" t="s">
        <v>2859</v>
      </c>
      <c r="B414" s="3"/>
      <c r="C414" s="46"/>
      <c r="K414" s="3" t="s">
        <v>2859</v>
      </c>
    </row>
    <row r="415" spans="1:30" ht="18.399999999999999" customHeight="1" x14ac:dyDescent="0.15">
      <c r="A415" s="42" t="s">
        <v>2570</v>
      </c>
      <c r="B415" s="3"/>
      <c r="C415" s="46"/>
      <c r="K415" s="3" t="s">
        <v>2570</v>
      </c>
    </row>
    <row r="416" spans="1:30" ht="18.399999999999999" customHeight="1" x14ac:dyDescent="0.15">
      <c r="A416" s="42" t="s">
        <v>2859</v>
      </c>
      <c r="B416" s="3"/>
      <c r="C416" s="46"/>
      <c r="K416" s="3" t="s">
        <v>2859</v>
      </c>
    </row>
    <row r="417" spans="1:34" ht="18.399999999999999" customHeight="1" x14ac:dyDescent="0.15">
      <c r="A417" s="44" t="str">
        <f>CONCATENATE("          1 일  / 450 * 4 hr  = ","qty hr/m")</f>
        <v xml:space="preserve">          1 일  / 450 * 4 hr  = qty hr/m</v>
      </c>
      <c r="B417" s="3">
        <f>$AB417</f>
        <v>8.8999999999999999E-3</v>
      </c>
      <c r="C417" s="46"/>
      <c r="K417" s="3" t="s">
        <v>1828</v>
      </c>
      <c r="AA417" s="39" t="s">
        <v>1268</v>
      </c>
      <c r="AB417" s="10">
        <f>ROUND(1/450*4,4)</f>
        <v>8.8999999999999999E-3</v>
      </c>
      <c r="AC417" s="39" t="s">
        <v>2080</v>
      </c>
      <c r="AD417" s="9">
        <f>$AB417</f>
        <v>8.8999999999999999E-3</v>
      </c>
    </row>
    <row r="418" spans="1:34" ht="18.399999999999999" customHeight="1" x14ac:dyDescent="0.15">
      <c r="A418" s="42"/>
      <c r="B418" s="3"/>
      <c r="C418" s="46"/>
    </row>
    <row r="419" spans="1:34" ht="18.399999999999999" customHeight="1" thickBot="1" x14ac:dyDescent="0.2">
      <c r="A419" s="45"/>
      <c r="B419" s="5"/>
      <c r="C419" s="49"/>
    </row>
    <row r="420" spans="1:34" ht="18.399999999999999" customHeight="1" x14ac:dyDescent="0.15">
      <c r="A420" s="42"/>
      <c r="B420" s="3"/>
      <c r="C420" s="46"/>
    </row>
    <row r="421" spans="1:34" ht="18.399999999999999" customHeight="1" x14ac:dyDescent="0.15">
      <c r="A421" s="42" t="s">
        <v>2505</v>
      </c>
      <c r="B421" s="36">
        <v>1</v>
      </c>
      <c r="C421" s="46" t="s">
        <v>2859</v>
      </c>
    </row>
    <row r="422" spans="1:34" ht="18.399999999999999" customHeight="1" x14ac:dyDescent="0.15">
      <c r="A422" s="43"/>
      <c r="B422" s="3"/>
      <c r="C422" s="46"/>
    </row>
    <row r="423" spans="1:34" ht="18.399999999999999" customHeight="1" x14ac:dyDescent="0.15">
      <c r="A423" s="42" t="s">
        <v>2062</v>
      </c>
      <c r="B423" s="3"/>
      <c r="C423" s="46"/>
      <c r="G423" s="3" t="s">
        <v>2859</v>
      </c>
    </row>
    <row r="424" spans="1:34" ht="18.399999999999999" customHeight="1" x14ac:dyDescent="0.15">
      <c r="A424" s="42" t="s">
        <v>2859</v>
      </c>
      <c r="B424" s="3"/>
      <c r="C424" s="46"/>
      <c r="K424" s="3" t="s">
        <v>2859</v>
      </c>
    </row>
    <row r="425" spans="1:34" ht="18.399999999999999" customHeight="1" x14ac:dyDescent="0.15">
      <c r="A425" s="42" t="s">
        <v>530</v>
      </c>
      <c r="B425" s="3"/>
      <c r="C425" s="46"/>
      <c r="K425" s="3" t="s">
        <v>2429</v>
      </c>
    </row>
    <row r="426" spans="1:34" ht="18.399999999999999" customHeight="1" x14ac:dyDescent="0.15">
      <c r="A426" s="42" t="s">
        <v>2859</v>
      </c>
      <c r="B426" s="3"/>
      <c r="C426" s="46"/>
      <c r="K426" s="3" t="s">
        <v>2859</v>
      </c>
    </row>
    <row r="427" spans="1:34" ht="18.399999999999999" customHeight="1" x14ac:dyDescent="0.15">
      <c r="A427" s="42" t="s">
        <v>1855</v>
      </c>
      <c r="B427" s="3"/>
      <c r="C427" s="46"/>
      <c r="K427" s="3" t="s">
        <v>1855</v>
      </c>
    </row>
    <row r="428" spans="1:34" ht="18.399999999999999" customHeight="1" x14ac:dyDescent="0.15">
      <c r="A428" s="42" t="s">
        <v>2859</v>
      </c>
      <c r="B428" s="3"/>
      <c r="C428" s="46"/>
      <c r="K428" s="3" t="s">
        <v>2859</v>
      </c>
    </row>
    <row r="429" spans="1:34" ht="18.399999999999999" customHeight="1" x14ac:dyDescent="0.15">
      <c r="A429" s="42" t="s">
        <v>940</v>
      </c>
      <c r="B429" s="3"/>
      <c r="C429" s="46"/>
      <c r="K429" s="3" t="s">
        <v>1151</v>
      </c>
    </row>
    <row r="430" spans="1:34" ht="18.399999999999999" customHeight="1" x14ac:dyDescent="0.15">
      <c r="A430" s="42" t="s">
        <v>2859</v>
      </c>
      <c r="B430" s="3"/>
      <c r="C430" s="46"/>
      <c r="K430" s="3" t="s">
        <v>2859</v>
      </c>
    </row>
    <row r="431" spans="1:34" ht="18.399999999999999" customHeight="1" x14ac:dyDescent="0.15">
      <c r="A431" s="44" t="str">
        <f>CONCATENATE("      Q =  (1.6 + 3.3) / 2 = ",TEXT($AF431,"#,##0.00")," m3/HR")</f>
        <v xml:space="preserve">      Q =  (1.6 + 3.3) / 2 = 2.45 m3/HR</v>
      </c>
      <c r="B431" s="3"/>
      <c r="C431" s="46"/>
      <c r="K431" s="3" t="s">
        <v>1783</v>
      </c>
      <c r="AA431" s="39" t="s">
        <v>504</v>
      </c>
      <c r="AB431" s="10">
        <f>ROUND((1.6+3.3)/2,2)</f>
        <v>2.4500000000000002</v>
      </c>
      <c r="AC431" s="39" t="s">
        <v>1972</v>
      </c>
      <c r="AD431" s="9">
        <f>$AB431</f>
        <v>2.4500000000000002</v>
      </c>
      <c r="AE431" s="39" t="s">
        <v>237</v>
      </c>
      <c r="AF431" s="10">
        <f>ROUND(ROUND((1.6+3.3)/2,2),2)</f>
        <v>2.4500000000000002</v>
      </c>
      <c r="AG431" s="39" t="s">
        <v>354</v>
      </c>
      <c r="AH431" s="9">
        <f>$AF431</f>
        <v>2.4500000000000002</v>
      </c>
    </row>
    <row r="432" spans="1:34" ht="18.399999999999999" customHeight="1" x14ac:dyDescent="0.15">
      <c r="A432" s="42" t="s">
        <v>2859</v>
      </c>
      <c r="B432" s="3"/>
      <c r="C432" s="46"/>
      <c r="K432" s="3" t="s">
        <v>2859</v>
      </c>
    </row>
    <row r="433" spans="1:34" ht="18.399999999999999" customHeight="1" x14ac:dyDescent="0.15">
      <c r="A433" s="44" t="str">
        <f>CONCATENATE("          1 / Q = ","qty hr/m3")</f>
        <v xml:space="preserve">          1 / Q = qty hr/m3</v>
      </c>
      <c r="B433" s="3">
        <f>$AB433</f>
        <v>0.40820000000000001</v>
      </c>
      <c r="C433" s="46"/>
      <c r="K433" s="3" t="s">
        <v>2014</v>
      </c>
      <c r="AA433" s="39" t="s">
        <v>1268</v>
      </c>
      <c r="AB433" s="10">
        <f>ROUND(1/$AD431,4)</f>
        <v>0.40820000000000001</v>
      </c>
      <c r="AC433" s="39" t="s">
        <v>2080</v>
      </c>
      <c r="AD433" s="9">
        <f>$AB433</f>
        <v>0.40820000000000001</v>
      </c>
    </row>
    <row r="434" spans="1:34" ht="18.399999999999999" customHeight="1" x14ac:dyDescent="0.15">
      <c r="A434" s="43"/>
      <c r="B434" s="3"/>
      <c r="C434" s="46"/>
    </row>
    <row r="435" spans="1:34" ht="18.399999999999999" customHeight="1" x14ac:dyDescent="0.15">
      <c r="A435" s="42" t="s">
        <v>2062</v>
      </c>
      <c r="B435" s="3"/>
      <c r="C435" s="46"/>
      <c r="G435" s="3" t="s">
        <v>2859</v>
      </c>
    </row>
    <row r="436" spans="1:34" ht="18.399999999999999" customHeight="1" x14ac:dyDescent="0.15">
      <c r="A436" s="42" t="s">
        <v>2859</v>
      </c>
      <c r="B436" s="3"/>
      <c r="C436" s="46"/>
      <c r="K436" s="3" t="s">
        <v>2859</v>
      </c>
    </row>
    <row r="437" spans="1:34" ht="18.399999999999999" customHeight="1" x14ac:dyDescent="0.15">
      <c r="A437" s="42" t="s">
        <v>2422</v>
      </c>
      <c r="B437" s="3"/>
      <c r="C437" s="46"/>
      <c r="K437" s="3" t="s">
        <v>2675</v>
      </c>
    </row>
    <row r="438" spans="1:34" ht="18.399999999999999" customHeight="1" x14ac:dyDescent="0.15">
      <c r="A438" s="42" t="s">
        <v>2859</v>
      </c>
      <c r="B438" s="3"/>
      <c r="C438" s="46"/>
      <c r="K438" s="3" t="s">
        <v>2859</v>
      </c>
    </row>
    <row r="439" spans="1:34" ht="18.399999999999999" customHeight="1" x14ac:dyDescent="0.15">
      <c r="A439" s="44" t="str">
        <f>CONCATENATE("      Q =  (1.6 + 3.3) / 2 = ",TEXT($AF439,"#,##0.00")," m3/HR")</f>
        <v xml:space="preserve">      Q =  (1.6 + 3.3) / 2 = 2.45 m3/HR</v>
      </c>
      <c r="B439" s="3"/>
      <c r="C439" s="46"/>
      <c r="K439" s="3" t="s">
        <v>1783</v>
      </c>
      <c r="AA439" s="39" t="s">
        <v>504</v>
      </c>
      <c r="AB439" s="10">
        <f>ROUND((1.6+3.3)/2,2)</f>
        <v>2.4500000000000002</v>
      </c>
      <c r="AC439" s="39" t="s">
        <v>1972</v>
      </c>
      <c r="AD439" s="9">
        <f>$AB439</f>
        <v>2.4500000000000002</v>
      </c>
      <c r="AE439" s="39" t="s">
        <v>146</v>
      </c>
      <c r="AF439" s="10">
        <f>ROUND(ROUND((1.6+3.3)/2,2),2)</f>
        <v>2.4500000000000002</v>
      </c>
      <c r="AG439" s="39" t="s">
        <v>1656</v>
      </c>
      <c r="AH439" s="9">
        <f>$AF439</f>
        <v>2.4500000000000002</v>
      </c>
    </row>
    <row r="440" spans="1:34" ht="18.399999999999999" customHeight="1" x14ac:dyDescent="0.15">
      <c r="A440" s="42" t="s">
        <v>2859</v>
      </c>
      <c r="B440" s="3"/>
      <c r="C440" s="46"/>
      <c r="K440" s="3" t="s">
        <v>2859</v>
      </c>
    </row>
    <row r="441" spans="1:34" ht="18.399999999999999" customHeight="1" x14ac:dyDescent="0.15">
      <c r="A441" s="44" t="str">
        <f>CONCATENATE("          1 / Q = ","qty hr/m3")</f>
        <v xml:space="preserve">          1 / Q = qty hr/m3</v>
      </c>
      <c r="B441" s="3">
        <f>$AB441</f>
        <v>0.40820000000000001</v>
      </c>
      <c r="C441" s="46"/>
      <c r="K441" s="3" t="s">
        <v>2014</v>
      </c>
      <c r="AA441" s="39" t="s">
        <v>1268</v>
      </c>
      <c r="AB441" s="10">
        <f>ROUND(1/$AD439,4)</f>
        <v>0.40820000000000001</v>
      </c>
      <c r="AC441" s="39" t="s">
        <v>2080</v>
      </c>
      <c r="AD441" s="9">
        <f>$AB441</f>
        <v>0.40820000000000001</v>
      </c>
    </row>
    <row r="442" spans="1:34" ht="18.399999999999999" customHeight="1" x14ac:dyDescent="0.15">
      <c r="A442" s="43"/>
      <c r="B442" s="3"/>
      <c r="C442" s="46"/>
    </row>
    <row r="443" spans="1:34" ht="18.399999999999999" customHeight="1" x14ac:dyDescent="0.15">
      <c r="A443" s="42" t="s">
        <v>1655</v>
      </c>
      <c r="B443" s="3"/>
      <c r="C443" s="46"/>
      <c r="G443" s="3" t="s">
        <v>2859</v>
      </c>
    </row>
    <row r="444" spans="1:34" ht="18.399999999999999" customHeight="1" x14ac:dyDescent="0.15">
      <c r="A444" s="42" t="s">
        <v>2859</v>
      </c>
      <c r="B444" s="3"/>
      <c r="C444" s="46"/>
      <c r="K444" s="3" t="s">
        <v>2859</v>
      </c>
    </row>
    <row r="445" spans="1:34" ht="18.399999999999999" customHeight="1" x14ac:dyDescent="0.15">
      <c r="A445" s="42" t="s">
        <v>65</v>
      </c>
      <c r="B445" s="3"/>
      <c r="C445" s="46"/>
      <c r="K445" s="3" t="s">
        <v>597</v>
      </c>
    </row>
    <row r="446" spans="1:34" ht="18.399999999999999" customHeight="1" x14ac:dyDescent="0.15">
      <c r="A446" s="42" t="s">
        <v>2859</v>
      </c>
      <c r="B446" s="3"/>
      <c r="C446" s="46"/>
      <c r="K446" s="3" t="s">
        <v>2859</v>
      </c>
    </row>
    <row r="447" spans="1:34" ht="18.399999999999999" customHeight="1" x14ac:dyDescent="0.15">
      <c r="A447" s="44" t="str">
        <f>CONCATENATE("      A=",TEXT($AB447,"#,##0.00")," 본/HR")</f>
        <v xml:space="preserve">      A=0.01 본/HR</v>
      </c>
      <c r="B447" s="3"/>
      <c r="C447" s="46"/>
      <c r="K447" s="12" t="str">
        <f>SUBSTITUTE(SUBSTITUTE("      A=  0.01_x001D_본/HR_x001D_","0.01",TEXT($AB447,"#,##0.00"),1),"_x001D_","'")</f>
        <v xml:space="preserve">      A=  0.01'본/HR'</v>
      </c>
      <c r="AA447" s="39" t="s">
        <v>474</v>
      </c>
      <c r="AB447" s="8">
        <v>0.01</v>
      </c>
      <c r="AC447" s="39" t="s">
        <v>474</v>
      </c>
      <c r="AD447" s="9">
        <f>$AB447</f>
        <v>0.01</v>
      </c>
    </row>
    <row r="448" spans="1:34" ht="18.399999999999999" customHeight="1" x14ac:dyDescent="0.15">
      <c r="A448" s="42" t="s">
        <v>2859</v>
      </c>
      <c r="B448" s="3"/>
      <c r="C448" s="46"/>
      <c r="K448" s="3" t="s">
        <v>2859</v>
      </c>
    </row>
    <row r="449" spans="1:34" ht="18.399999999999999" customHeight="1" x14ac:dyDescent="0.15">
      <c r="A449" s="44" t="str">
        <f>CONCATENATE("      Q =  (1.6 + 3.3) / 2 = ",TEXT($AF449,"#,##0.00")," m3/HR")</f>
        <v xml:space="preserve">      Q =  (1.6 + 3.3) / 2 = 2.45 m3/HR</v>
      </c>
      <c r="B449" s="3"/>
      <c r="C449" s="46"/>
      <c r="K449" s="3" t="s">
        <v>1783</v>
      </c>
      <c r="AA449" s="39" t="s">
        <v>504</v>
      </c>
      <c r="AB449" s="10">
        <f>ROUND((1.6+3.3)/2,2)</f>
        <v>2.4500000000000002</v>
      </c>
      <c r="AC449" s="39" t="s">
        <v>1972</v>
      </c>
      <c r="AD449" s="9">
        <f>$AB449</f>
        <v>2.4500000000000002</v>
      </c>
      <c r="AE449" s="39" t="s">
        <v>1352</v>
      </c>
      <c r="AF449" s="10">
        <f>ROUND(ROUND((1.6+3.3)/2,2),2)</f>
        <v>2.4500000000000002</v>
      </c>
      <c r="AG449" s="39" t="s">
        <v>1079</v>
      </c>
      <c r="AH449" s="9">
        <f>$AF449</f>
        <v>2.4500000000000002</v>
      </c>
    </row>
    <row r="450" spans="1:34" ht="18.399999999999999" customHeight="1" x14ac:dyDescent="0.15">
      <c r="A450" s="42" t="s">
        <v>2859</v>
      </c>
      <c r="B450" s="3"/>
      <c r="C450" s="46"/>
      <c r="K450" s="3" t="s">
        <v>2859</v>
      </c>
    </row>
    <row r="451" spans="1:34" ht="18.399999999999999" customHeight="1" x14ac:dyDescent="0.15">
      <c r="A451" s="44" t="str">
        <f>CONCATENATE("          1 / Q * A= ","qty 본/m3")</f>
        <v xml:space="preserve">          1 / Q * A= qty 본/m3</v>
      </c>
      <c r="B451" s="3">
        <f>$AB451</f>
        <v>4.1000000000000003E-3</v>
      </c>
      <c r="C451" s="46"/>
      <c r="K451" s="3" t="s">
        <v>2775</v>
      </c>
      <c r="AA451" s="39" t="s">
        <v>1268</v>
      </c>
      <c r="AB451" s="10">
        <f>ROUND(1/$AD449*$AD447,4)</f>
        <v>4.1000000000000003E-3</v>
      </c>
      <c r="AC451" s="39" t="s">
        <v>2080</v>
      </c>
      <c r="AD451" s="9">
        <f>$AB451</f>
        <v>4.1000000000000003E-3</v>
      </c>
    </row>
    <row r="452" spans="1:34" ht="18.399999999999999" customHeight="1" x14ac:dyDescent="0.15">
      <c r="A452" s="43"/>
      <c r="B452" s="3"/>
      <c r="C452" s="46"/>
    </row>
    <row r="453" spans="1:34" ht="18.399999999999999" customHeight="1" x14ac:dyDescent="0.15">
      <c r="A453" s="42" t="s">
        <v>1456</v>
      </c>
      <c r="B453" s="3"/>
      <c r="C453" s="46"/>
      <c r="G453" s="3" t="s">
        <v>2859</v>
      </c>
    </row>
    <row r="454" spans="1:34" ht="18.399999999999999" customHeight="1" x14ac:dyDescent="0.15">
      <c r="A454" s="44" t="str">
        <f>CONCATENATE("          작업 보조인부 : ( 1.0  인/일  * 1 / 8 ) / 2.45 m3/hr  = ","qty 인/m3")</f>
        <v xml:space="preserve">          작업 보조인부 : ( 1.0  인/일  * 1 / 8 ) / 2.45 m3/hr  = qty 인/m3</v>
      </c>
      <c r="B454" s="3">
        <f>$AB454</f>
        <v>5.0999999999999997E-2</v>
      </c>
      <c r="C454" s="46"/>
      <c r="K454" s="3" t="s">
        <v>64</v>
      </c>
      <c r="AA454" s="39" t="s">
        <v>1268</v>
      </c>
      <c r="AB454" s="10">
        <f>ROUND((1*1/8)/2.45,4)</f>
        <v>5.0999999999999997E-2</v>
      </c>
      <c r="AC454" s="39" t="s">
        <v>2080</v>
      </c>
      <c r="AD454" s="9">
        <f>$AB454</f>
        <v>5.0999999999999997E-2</v>
      </c>
    </row>
    <row r="455" spans="1:34" ht="18.399999999999999" customHeight="1" x14ac:dyDescent="0.15">
      <c r="A455" s="42"/>
      <c r="B455" s="3"/>
      <c r="C455" s="46"/>
    </row>
    <row r="456" spans="1:34" ht="18.399999999999999" customHeight="1" thickBot="1" x14ac:dyDescent="0.2">
      <c r="A456" s="45"/>
      <c r="B456" s="5"/>
      <c r="C456" s="49"/>
    </row>
    <row r="457" spans="1:34" ht="18.399999999999999" customHeight="1" x14ac:dyDescent="0.15">
      <c r="A457" s="42"/>
      <c r="B457" s="3"/>
      <c r="C457" s="46"/>
    </row>
    <row r="458" spans="1:34" ht="18.399999999999999" customHeight="1" x14ac:dyDescent="0.15">
      <c r="A458" s="42" t="s">
        <v>1083</v>
      </c>
      <c r="B458" s="36">
        <v>1</v>
      </c>
      <c r="C458" s="46" t="s">
        <v>2859</v>
      </c>
    </row>
    <row r="459" spans="1:34" ht="18.399999999999999" customHeight="1" x14ac:dyDescent="0.15">
      <c r="A459" s="43"/>
      <c r="B459" s="3"/>
      <c r="C459" s="46"/>
    </row>
    <row r="460" spans="1:34" ht="18.399999999999999" customHeight="1" x14ac:dyDescent="0.15">
      <c r="A460" s="42" t="s">
        <v>2062</v>
      </c>
      <c r="B460" s="3"/>
      <c r="C460" s="46"/>
      <c r="G460" s="3" t="s">
        <v>2859</v>
      </c>
    </row>
    <row r="461" spans="1:34" ht="18.399999999999999" customHeight="1" x14ac:dyDescent="0.15">
      <c r="A461" s="42" t="s">
        <v>530</v>
      </c>
      <c r="B461" s="3"/>
      <c r="C461" s="46"/>
      <c r="K461" s="3" t="s">
        <v>2429</v>
      </c>
    </row>
    <row r="462" spans="1:34" ht="18.399999999999999" customHeight="1" x14ac:dyDescent="0.15">
      <c r="A462" s="42" t="s">
        <v>2859</v>
      </c>
      <c r="B462" s="3"/>
      <c r="C462" s="46"/>
      <c r="K462" s="3" t="s">
        <v>2859</v>
      </c>
    </row>
    <row r="463" spans="1:34" ht="18.399999999999999" customHeight="1" x14ac:dyDescent="0.15">
      <c r="A463" s="42" t="s">
        <v>1855</v>
      </c>
      <c r="B463" s="3"/>
      <c r="C463" s="46"/>
      <c r="K463" s="3" t="s">
        <v>1855</v>
      </c>
    </row>
    <row r="464" spans="1:34" ht="18.399999999999999" customHeight="1" x14ac:dyDescent="0.15">
      <c r="A464" s="42" t="s">
        <v>2859</v>
      </c>
      <c r="B464" s="3"/>
      <c r="C464" s="46"/>
      <c r="K464" s="3" t="s">
        <v>2859</v>
      </c>
    </row>
    <row r="465" spans="1:34" ht="18.399999999999999" customHeight="1" x14ac:dyDescent="0.15">
      <c r="A465" s="42" t="s">
        <v>940</v>
      </c>
      <c r="B465" s="3"/>
      <c r="C465" s="46"/>
      <c r="K465" s="3" t="s">
        <v>1151</v>
      </c>
    </row>
    <row r="466" spans="1:34" ht="18.399999999999999" customHeight="1" x14ac:dyDescent="0.15">
      <c r="A466" s="42" t="s">
        <v>2859</v>
      </c>
      <c r="B466" s="3"/>
      <c r="C466" s="46"/>
      <c r="K466" s="3" t="s">
        <v>2859</v>
      </c>
    </row>
    <row r="467" spans="1:34" ht="18.399999999999999" customHeight="1" x14ac:dyDescent="0.15">
      <c r="A467" s="44" t="str">
        <f>CONCATENATE("      Q =  (3.3 + 5.9) / 2 = ",TEXT($AF467,"#,##0.00")," m3/HR")</f>
        <v xml:space="preserve">      Q =  (3.3 + 5.9) / 2 = 4.60 m3/HR</v>
      </c>
      <c r="B467" s="3"/>
      <c r="C467" s="46"/>
      <c r="K467" s="3" t="s">
        <v>2319</v>
      </c>
      <c r="AA467" s="39" t="s">
        <v>504</v>
      </c>
      <c r="AB467" s="10">
        <f>ROUND((3.3+5.9)/2,2)</f>
        <v>4.5999999999999996</v>
      </c>
      <c r="AC467" s="39" t="s">
        <v>1972</v>
      </c>
      <c r="AD467" s="9">
        <f>$AB467</f>
        <v>4.5999999999999996</v>
      </c>
      <c r="AE467" s="39" t="s">
        <v>2423</v>
      </c>
      <c r="AF467" s="10">
        <f>ROUND(ROUND((3.3+5.9)/2,2),2)</f>
        <v>4.5999999999999996</v>
      </c>
      <c r="AG467" s="39" t="s">
        <v>2619</v>
      </c>
      <c r="AH467" s="9">
        <f>$AF467</f>
        <v>4.5999999999999996</v>
      </c>
    </row>
    <row r="468" spans="1:34" ht="18.399999999999999" customHeight="1" x14ac:dyDescent="0.15">
      <c r="A468" s="42" t="s">
        <v>2859</v>
      </c>
      <c r="B468" s="3"/>
      <c r="C468" s="46"/>
      <c r="K468" s="3" t="s">
        <v>2859</v>
      </c>
    </row>
    <row r="469" spans="1:34" ht="18.399999999999999" customHeight="1" x14ac:dyDescent="0.15">
      <c r="A469" s="44" t="str">
        <f>CONCATENATE("          1 / Q = ","qty hr/m3")</f>
        <v xml:space="preserve">          1 / Q = qty hr/m3</v>
      </c>
      <c r="B469" s="3">
        <f>$AB469</f>
        <v>0.21740000000000001</v>
      </c>
      <c r="C469" s="46"/>
      <c r="K469" s="3" t="s">
        <v>2014</v>
      </c>
      <c r="AA469" s="39" t="s">
        <v>1268</v>
      </c>
      <c r="AB469" s="10">
        <f>ROUND(1/$AD467,4)</f>
        <v>0.21740000000000001</v>
      </c>
      <c r="AC469" s="39" t="s">
        <v>2080</v>
      </c>
      <c r="AD469" s="9">
        <f>$AB469</f>
        <v>0.21740000000000001</v>
      </c>
    </row>
    <row r="470" spans="1:34" ht="18.399999999999999" customHeight="1" x14ac:dyDescent="0.15">
      <c r="A470" s="43"/>
      <c r="B470" s="3"/>
      <c r="C470" s="46"/>
    </row>
    <row r="471" spans="1:34" ht="18.399999999999999" customHeight="1" x14ac:dyDescent="0.15">
      <c r="A471" s="42" t="s">
        <v>2062</v>
      </c>
      <c r="B471" s="3"/>
      <c r="C471" s="46"/>
      <c r="G471" s="3" t="s">
        <v>2859</v>
      </c>
    </row>
    <row r="472" spans="1:34" ht="18.399999999999999" customHeight="1" x14ac:dyDescent="0.15">
      <c r="A472" s="42" t="s">
        <v>2859</v>
      </c>
      <c r="B472" s="3"/>
      <c r="C472" s="46"/>
      <c r="K472" s="3" t="s">
        <v>2859</v>
      </c>
    </row>
    <row r="473" spans="1:34" ht="18.399999999999999" customHeight="1" x14ac:dyDescent="0.15">
      <c r="A473" s="42" t="s">
        <v>2422</v>
      </c>
      <c r="B473" s="3"/>
      <c r="C473" s="46"/>
      <c r="K473" s="3" t="s">
        <v>2675</v>
      </c>
    </row>
    <row r="474" spans="1:34" ht="18.399999999999999" customHeight="1" x14ac:dyDescent="0.15">
      <c r="A474" s="42" t="s">
        <v>2859</v>
      </c>
      <c r="B474" s="3"/>
      <c r="C474" s="46"/>
      <c r="K474" s="3" t="s">
        <v>2859</v>
      </c>
    </row>
    <row r="475" spans="1:34" ht="18.399999999999999" customHeight="1" x14ac:dyDescent="0.15">
      <c r="A475" s="44" t="str">
        <f>CONCATENATE("      Q =  (3.3 + 5.9) / 2 = ",TEXT($AF475,"#,##0.00")," m3/HR")</f>
        <v xml:space="preserve">      Q =  (3.3 + 5.9) / 2 = 4.60 m3/HR</v>
      </c>
      <c r="B475" s="3"/>
      <c r="C475" s="46"/>
      <c r="K475" s="3" t="s">
        <v>2319</v>
      </c>
      <c r="AA475" s="39" t="s">
        <v>504</v>
      </c>
      <c r="AB475" s="10">
        <f>ROUND((3.3+5.9)/2,2)</f>
        <v>4.5999999999999996</v>
      </c>
      <c r="AC475" s="39" t="s">
        <v>1972</v>
      </c>
      <c r="AD475" s="9">
        <f>$AB475</f>
        <v>4.5999999999999996</v>
      </c>
      <c r="AE475" s="39" t="s">
        <v>1106</v>
      </c>
      <c r="AF475" s="10">
        <f>ROUND(ROUND((3.3+5.9)/2,2),2)</f>
        <v>4.5999999999999996</v>
      </c>
      <c r="AG475" s="39" t="s">
        <v>2416</v>
      </c>
      <c r="AH475" s="9">
        <f>$AF475</f>
        <v>4.5999999999999996</v>
      </c>
    </row>
    <row r="476" spans="1:34" ht="18.399999999999999" customHeight="1" x14ac:dyDescent="0.15">
      <c r="A476" s="42" t="s">
        <v>2859</v>
      </c>
      <c r="B476" s="3"/>
      <c r="C476" s="46"/>
      <c r="K476" s="3" t="s">
        <v>2859</v>
      </c>
    </row>
    <row r="477" spans="1:34" ht="18.399999999999999" customHeight="1" x14ac:dyDescent="0.15">
      <c r="A477" s="44" t="str">
        <f>CONCATENATE("          1 / Q = ","qty hr/m3")</f>
        <v xml:space="preserve">          1 / Q = qty hr/m3</v>
      </c>
      <c r="B477" s="3">
        <f>$AB477</f>
        <v>0.21740000000000001</v>
      </c>
      <c r="C477" s="46"/>
      <c r="K477" s="3" t="s">
        <v>2014</v>
      </c>
      <c r="AA477" s="39" t="s">
        <v>1268</v>
      </c>
      <c r="AB477" s="10">
        <f>ROUND(1/$AD475,4)</f>
        <v>0.21740000000000001</v>
      </c>
      <c r="AC477" s="39" t="s">
        <v>2080</v>
      </c>
      <c r="AD477" s="9">
        <f>$AB477</f>
        <v>0.21740000000000001</v>
      </c>
    </row>
    <row r="478" spans="1:34" ht="18.399999999999999" customHeight="1" x14ac:dyDescent="0.15">
      <c r="A478" s="43"/>
      <c r="B478" s="3"/>
      <c r="C478" s="46"/>
    </row>
    <row r="479" spans="1:34" ht="18.399999999999999" customHeight="1" x14ac:dyDescent="0.15">
      <c r="A479" s="42" t="s">
        <v>1655</v>
      </c>
      <c r="B479" s="3"/>
      <c r="C479" s="46"/>
      <c r="G479" s="3" t="s">
        <v>2859</v>
      </c>
    </row>
    <row r="480" spans="1:34" ht="18.399999999999999" customHeight="1" x14ac:dyDescent="0.15">
      <c r="A480" s="42" t="s">
        <v>2859</v>
      </c>
      <c r="B480" s="3"/>
      <c r="C480" s="46"/>
      <c r="K480" s="3" t="s">
        <v>2859</v>
      </c>
    </row>
    <row r="481" spans="1:34" ht="18.399999999999999" customHeight="1" x14ac:dyDescent="0.15">
      <c r="A481" s="42" t="s">
        <v>65</v>
      </c>
      <c r="B481" s="3"/>
      <c r="C481" s="46"/>
      <c r="K481" s="3" t="s">
        <v>597</v>
      </c>
    </row>
    <row r="482" spans="1:34" ht="18.399999999999999" customHeight="1" x14ac:dyDescent="0.15">
      <c r="A482" s="42" t="s">
        <v>2859</v>
      </c>
      <c r="B482" s="3"/>
      <c r="C482" s="46"/>
      <c r="K482" s="3" t="s">
        <v>2859</v>
      </c>
    </row>
    <row r="483" spans="1:34" ht="18.399999999999999" customHeight="1" x14ac:dyDescent="0.15">
      <c r="A483" s="44" t="str">
        <f>CONCATENATE("      A=",TEXT($AB483,"#,##0.00")," 본/HR")</f>
        <v xml:space="preserve">      A=0.01 본/HR</v>
      </c>
      <c r="B483" s="3"/>
      <c r="C483" s="46"/>
      <c r="K483" s="12" t="str">
        <f>SUBSTITUTE(SUBSTITUTE("      A =  0.01_x001D_본/HR_x001D_","0.01",TEXT($AB483,"#,##0.00"),1),"_x001D_","'")</f>
        <v xml:space="preserve">      A =  0.01'본/HR'</v>
      </c>
      <c r="AA483" s="39" t="s">
        <v>474</v>
      </c>
      <c r="AB483" s="8">
        <v>0.01</v>
      </c>
      <c r="AC483" s="39" t="s">
        <v>474</v>
      </c>
      <c r="AD483" s="9">
        <f>$AB483</f>
        <v>0.01</v>
      </c>
    </row>
    <row r="484" spans="1:34" ht="18.399999999999999" customHeight="1" x14ac:dyDescent="0.15">
      <c r="A484" s="42" t="s">
        <v>2859</v>
      </c>
      <c r="B484" s="3"/>
      <c r="C484" s="46"/>
      <c r="K484" s="3" t="s">
        <v>2859</v>
      </c>
    </row>
    <row r="485" spans="1:34" ht="18.399999999999999" customHeight="1" x14ac:dyDescent="0.15">
      <c r="A485" s="44" t="str">
        <f>CONCATENATE("      Q =  (3.3 + 5.9) / 2 = ",TEXT($AF485,"#,##0.00")," m3/HR")</f>
        <v xml:space="preserve">      Q =  (3.3 + 5.9) / 2 = 4.60 m3/HR</v>
      </c>
      <c r="B485" s="3"/>
      <c r="C485" s="46"/>
      <c r="K485" s="3" t="s">
        <v>2319</v>
      </c>
      <c r="AA485" s="39" t="s">
        <v>504</v>
      </c>
      <c r="AB485" s="10">
        <f>ROUND((3.3+5.9)/2,2)</f>
        <v>4.5999999999999996</v>
      </c>
      <c r="AC485" s="39" t="s">
        <v>1972</v>
      </c>
      <c r="AD485" s="9">
        <f>$AB485</f>
        <v>4.5999999999999996</v>
      </c>
      <c r="AE485" s="39" t="s">
        <v>2665</v>
      </c>
      <c r="AF485" s="10">
        <f>ROUND(ROUND((3.3+5.9)/2,2),2)</f>
        <v>4.5999999999999996</v>
      </c>
      <c r="AG485" s="39" t="s">
        <v>60</v>
      </c>
      <c r="AH485" s="9">
        <f>$AF485</f>
        <v>4.5999999999999996</v>
      </c>
    </row>
    <row r="486" spans="1:34" ht="18.399999999999999" customHeight="1" x14ac:dyDescent="0.15">
      <c r="A486" s="42" t="s">
        <v>2859</v>
      </c>
      <c r="B486" s="3"/>
      <c r="C486" s="46"/>
      <c r="K486" s="3" t="s">
        <v>2859</v>
      </c>
    </row>
    <row r="487" spans="1:34" ht="18.399999999999999" customHeight="1" x14ac:dyDescent="0.15">
      <c r="A487" s="44" t="str">
        <f>CONCATENATE("          1 / Q * A = ","qty 본/m3")</f>
        <v xml:space="preserve">          1 / Q * A = qty 본/m3</v>
      </c>
      <c r="B487" s="3">
        <f>$AB487</f>
        <v>2.2000000000000001E-3</v>
      </c>
      <c r="C487" s="46"/>
      <c r="K487" s="3" t="s">
        <v>795</v>
      </c>
      <c r="AA487" s="39" t="s">
        <v>1268</v>
      </c>
      <c r="AB487" s="10">
        <f>ROUND(1/$AD485*$AD483,4)</f>
        <v>2.2000000000000001E-3</v>
      </c>
      <c r="AC487" s="39" t="s">
        <v>2080</v>
      </c>
      <c r="AD487" s="9">
        <f>$AB487</f>
        <v>2.2000000000000001E-3</v>
      </c>
    </row>
    <row r="488" spans="1:34" ht="18.399999999999999" customHeight="1" x14ac:dyDescent="0.15">
      <c r="A488" s="43"/>
      <c r="B488" s="3"/>
      <c r="C488" s="46"/>
    </row>
    <row r="489" spans="1:34" ht="18.399999999999999" customHeight="1" x14ac:dyDescent="0.15">
      <c r="A489" s="42" t="s">
        <v>1456</v>
      </c>
      <c r="B489" s="3"/>
      <c r="C489" s="46"/>
      <c r="G489" s="3" t="s">
        <v>2859</v>
      </c>
    </row>
    <row r="490" spans="1:34" ht="18.399999999999999" customHeight="1" x14ac:dyDescent="0.15">
      <c r="A490" s="44" t="str">
        <f>CONCATENATE("          작업 보조인부 : ( 1.0  인/일  * 1 / 8 ) / 2.45 m3/hr  = ","qty 인/m3")</f>
        <v xml:space="preserve">          작업 보조인부 : ( 1.0  인/일  * 1 / 8 ) / 2.45 m3/hr  = qty 인/m3</v>
      </c>
      <c r="B490" s="3">
        <f>$AB490</f>
        <v>5.0999999999999997E-2</v>
      </c>
      <c r="C490" s="46"/>
      <c r="K490" s="3" t="s">
        <v>64</v>
      </c>
      <c r="AA490" s="39" t="s">
        <v>1268</v>
      </c>
      <c r="AB490" s="10">
        <f>ROUND((1*1/8)/2.45,4)</f>
        <v>5.0999999999999997E-2</v>
      </c>
      <c r="AC490" s="39" t="s">
        <v>2080</v>
      </c>
      <c r="AD490" s="9">
        <f>$AB490</f>
        <v>5.0999999999999997E-2</v>
      </c>
    </row>
    <row r="491" spans="1:34" ht="18.399999999999999" customHeight="1" x14ac:dyDescent="0.15">
      <c r="A491" s="42"/>
      <c r="B491" s="3"/>
      <c r="C491" s="46"/>
    </row>
    <row r="492" spans="1:34" ht="18.399999999999999" customHeight="1" thickBot="1" x14ac:dyDescent="0.2">
      <c r="A492" s="45"/>
      <c r="B492" s="5"/>
      <c r="C492" s="49"/>
    </row>
    <row r="493" spans="1:34" ht="18.399999999999999" customHeight="1" x14ac:dyDescent="0.15">
      <c r="A493" s="42"/>
      <c r="B493" s="3"/>
      <c r="C493" s="46"/>
    </row>
    <row r="494" spans="1:34" ht="18.399999999999999" customHeight="1" x14ac:dyDescent="0.15">
      <c r="A494" s="42" t="s">
        <v>1606</v>
      </c>
      <c r="B494" s="36">
        <v>1</v>
      </c>
      <c r="C494" s="46" t="s">
        <v>2859</v>
      </c>
    </row>
    <row r="495" spans="1:34" ht="18.399999999999999" customHeight="1" x14ac:dyDescent="0.15">
      <c r="A495" s="43"/>
      <c r="B495" s="3"/>
      <c r="C495" s="46"/>
    </row>
    <row r="496" spans="1:34" ht="18.399999999999999" customHeight="1" x14ac:dyDescent="0.15">
      <c r="A496" s="42" t="s">
        <v>1976</v>
      </c>
      <c r="B496" s="3"/>
      <c r="C496" s="46"/>
      <c r="G496" s="3" t="s">
        <v>2859</v>
      </c>
    </row>
    <row r="497" spans="1:54" ht="18.399999999999999" customHeight="1" x14ac:dyDescent="0.15">
      <c r="A497" s="42" t="s">
        <v>2859</v>
      </c>
      <c r="B497" s="3"/>
      <c r="C497" s="46"/>
      <c r="K497" s="3" t="s">
        <v>2859</v>
      </c>
    </row>
    <row r="498" spans="1:54" ht="18.399999999999999" customHeight="1" x14ac:dyDescent="0.15">
      <c r="A498" s="42" t="s">
        <v>648</v>
      </c>
      <c r="B498" s="3"/>
      <c r="C498" s="46"/>
      <c r="K498" s="3" t="s">
        <v>648</v>
      </c>
    </row>
    <row r="499" spans="1:54" ht="18.399999999999999" customHeight="1" x14ac:dyDescent="0.15">
      <c r="A499" s="42" t="s">
        <v>2859</v>
      </c>
      <c r="B499" s="3"/>
      <c r="C499" s="46"/>
      <c r="K499" s="3" t="s">
        <v>2859</v>
      </c>
    </row>
    <row r="500" spans="1:54" ht="18.399999999999999" customHeight="1" x14ac:dyDescent="0.15">
      <c r="A500" s="42" t="s">
        <v>1625</v>
      </c>
      <c r="B500" s="3"/>
      <c r="C500" s="46"/>
      <c r="K500" s="3" t="s">
        <v>2722</v>
      </c>
    </row>
    <row r="501" spans="1:54" ht="18.399999999999999" customHeight="1" x14ac:dyDescent="0.15">
      <c r="A501" s="42" t="s">
        <v>2859</v>
      </c>
      <c r="B501" s="3"/>
      <c r="C501" s="46"/>
      <c r="K501" s="3" t="s">
        <v>2859</v>
      </c>
    </row>
    <row r="502" spans="1:54" ht="18.399999999999999" customHeight="1" x14ac:dyDescent="0.15">
      <c r="A502" s="44" t="str">
        <f>CONCATENATE("          qo=",TEXT($AB502,"#,##0.0")," m3")</f>
        <v xml:space="preserve">          qo=0.6 m3</v>
      </c>
      <c r="B502" s="3"/>
      <c r="C502" s="46"/>
      <c r="K502" s="12" t="str">
        <f>SUBSTITUTE(SUBSTITUTE("          qo = 0.6_x001D_m3_x001D_","0.6",TEXT($AB502,"#,##0.0"),1),"_x001D_","'")</f>
        <v xml:space="preserve">          qo = 0.6'm3'</v>
      </c>
      <c r="AA502" s="39" t="s">
        <v>1136</v>
      </c>
      <c r="AB502" s="8">
        <v>0.6</v>
      </c>
      <c r="AC502" s="39" t="s">
        <v>1136</v>
      </c>
      <c r="AD502" s="9">
        <f>$AB502</f>
        <v>0.6</v>
      </c>
    </row>
    <row r="503" spans="1:54" ht="18.399999999999999" customHeight="1" x14ac:dyDescent="0.15">
      <c r="A503" s="42" t="s">
        <v>2859</v>
      </c>
      <c r="B503" s="3"/>
      <c r="C503" s="46"/>
      <c r="K503" s="3" t="s">
        <v>2859</v>
      </c>
    </row>
    <row r="504" spans="1:54" ht="18.399999999999999" customHeight="1" x14ac:dyDescent="0.15">
      <c r="A504" s="44" t="str">
        <f>CONCATENATE("          f  = 1 / L = 1 / 1.40 = ",TEXT($AF504,"#,##0.00"))</f>
        <v xml:space="preserve">          f  = 1 / L = 1 / 1.40 = 0.71</v>
      </c>
      <c r="B504" s="3"/>
      <c r="C504" s="46"/>
      <c r="K504" s="3" t="s">
        <v>2497</v>
      </c>
      <c r="AA504" s="39" t="s">
        <v>1802</v>
      </c>
      <c r="AB504" s="10">
        <f>ROUND(1/1.4,2)</f>
        <v>0.71</v>
      </c>
      <c r="AC504" s="39" t="s">
        <v>1652</v>
      </c>
      <c r="AD504" s="9">
        <f>$AB504</f>
        <v>0.71</v>
      </c>
      <c r="AE504" s="39" t="s">
        <v>1721</v>
      </c>
      <c r="AF504" s="10">
        <f>ROUND(ROUND(1/1.4,2),2)</f>
        <v>0.71</v>
      </c>
      <c r="AG504" s="39" t="s">
        <v>2119</v>
      </c>
      <c r="AH504" s="9">
        <f>$AF504</f>
        <v>0.71</v>
      </c>
    </row>
    <row r="505" spans="1:54" ht="18.399999999999999" customHeight="1" x14ac:dyDescent="0.15">
      <c r="A505" s="42" t="s">
        <v>2859</v>
      </c>
      <c r="B505" s="3"/>
      <c r="C505" s="46"/>
      <c r="K505" s="3" t="s">
        <v>2859</v>
      </c>
    </row>
    <row r="506" spans="1:54" ht="18.399999999999999" customHeight="1" x14ac:dyDescent="0.15">
      <c r="A506" s="44" t="str">
        <f>CONCATENATE("          E=",TEXT($AB506,"#,##0.00")," ,  K=",TEXT($AF506,"#,##0.00"))</f>
        <v xml:space="preserve">          E=0.35 ,  K=0.55</v>
      </c>
      <c r="B506" s="3"/>
      <c r="C506" s="46"/>
      <c r="K506" s="12" t="str">
        <f>SUBSTITUTE(SUBSTITUTE(SUBSTITUTE("          E  = 0.35 ,  K  = 0.55","0.35",TEXT($AB506,"#,##0.00"),1),"0.55",TEXT($AF506,"#,##0.00"),1),"_x001D_","'")</f>
        <v xml:space="preserve">          E  = 0.35 ,  K  = 0.55</v>
      </c>
      <c r="AA506" s="39" t="s">
        <v>1383</v>
      </c>
      <c r="AB506" s="8">
        <v>0.35</v>
      </c>
      <c r="AC506" s="39" t="s">
        <v>1383</v>
      </c>
      <c r="AD506" s="9">
        <f>$AB506</f>
        <v>0.35</v>
      </c>
      <c r="AE506" s="39" t="s">
        <v>806</v>
      </c>
      <c r="AF506" s="8">
        <v>0.55000000000000004</v>
      </c>
      <c r="AG506" s="39" t="s">
        <v>806</v>
      </c>
      <c r="AH506" s="9">
        <f>$AF506</f>
        <v>0.55000000000000004</v>
      </c>
    </row>
    <row r="507" spans="1:54" ht="18.399999999999999" customHeight="1" x14ac:dyDescent="0.15">
      <c r="A507" s="42" t="s">
        <v>2859</v>
      </c>
      <c r="B507" s="3"/>
      <c r="C507" s="46"/>
      <c r="K507" s="3" t="s">
        <v>2859</v>
      </c>
    </row>
    <row r="508" spans="1:54" ht="18.399999999999999" customHeight="1" x14ac:dyDescent="0.15">
      <c r="A508" s="44" t="str">
        <f>CONCATENATE("          Cm=",TEXT($AB508,"#,##0.00")," sec(180도)")</f>
        <v xml:space="preserve">          Cm=22.00 sec(180도)</v>
      </c>
      <c r="B508" s="3"/>
      <c r="C508" s="46"/>
      <c r="K508" s="12" t="str">
        <f>SUBSTITUTE(SUBSTITUTE("          Cm = 22_x001D_sec(180도)_x001D_","22",TEXT($AB508,"#,##0"),1),"_x001D_","'")</f>
        <v xml:space="preserve">          Cm = 22'sec(180도)'</v>
      </c>
      <c r="AA508" s="39" t="s">
        <v>139</v>
      </c>
      <c r="AB508" s="8">
        <v>22</v>
      </c>
      <c r="AC508" s="39" t="s">
        <v>139</v>
      </c>
      <c r="AD508" s="9">
        <f>$AB508</f>
        <v>22</v>
      </c>
    </row>
    <row r="509" spans="1:54" ht="18.399999999999999" customHeight="1" x14ac:dyDescent="0.15">
      <c r="A509" s="42" t="s">
        <v>2859</v>
      </c>
      <c r="B509" s="3"/>
      <c r="C509" s="46"/>
      <c r="K509" s="3" t="s">
        <v>2859</v>
      </c>
    </row>
    <row r="510" spans="1:54" ht="18.399999999999999" customHeight="1" x14ac:dyDescent="0.15">
      <c r="A510" s="44" t="str">
        <f>CONCATENATE("      Q = 3600 * ",TEXT($AB510,"#,##0.00")," * ",TEXT($AF510,"#,##0.00")," * ",TEXT($AJ510,"#,##0.00")," * ",TEXT($AN510,"#,##0.00")," / ",TEXT($AR510,"#,##0.00")," = ",TEXT($AZ510,"#,##0.00")," m3/hr")</f>
        <v xml:space="preserve">      Q = 3600 * 0.60 * 0.71 * 0.55 * 0.35 / 22.00 = 13.42 m3/hr</v>
      </c>
      <c r="B510" s="3"/>
      <c r="C510" s="46"/>
      <c r="K510" s="3" t="s">
        <v>594</v>
      </c>
      <c r="AA510" s="39" t="s">
        <v>1870</v>
      </c>
      <c r="AB510" s="10">
        <f>$AD502</f>
        <v>0.6</v>
      </c>
      <c r="AC510" s="39" t="s">
        <v>78</v>
      </c>
      <c r="AD510" s="9">
        <f>$AB510</f>
        <v>0.6</v>
      </c>
      <c r="AE510" s="39" t="s">
        <v>1374</v>
      </c>
      <c r="AF510" s="10">
        <f>$AD504</f>
        <v>0.71</v>
      </c>
      <c r="AG510" s="39" t="s">
        <v>2612</v>
      </c>
      <c r="AH510" s="9">
        <f>$AF510</f>
        <v>0.71</v>
      </c>
      <c r="AI510" s="39" t="s">
        <v>2209</v>
      </c>
      <c r="AJ510" s="10">
        <f>$AH506</f>
        <v>0.55000000000000004</v>
      </c>
      <c r="AK510" s="39" t="s">
        <v>1579</v>
      </c>
      <c r="AL510" s="9">
        <f>$AJ510</f>
        <v>0.55000000000000004</v>
      </c>
      <c r="AM510" s="39" t="s">
        <v>2424</v>
      </c>
      <c r="AN510" s="10">
        <f>$AD506</f>
        <v>0.35</v>
      </c>
      <c r="AO510" s="39" t="s">
        <v>562</v>
      </c>
      <c r="AP510" s="9">
        <f>$AN510</f>
        <v>0.35</v>
      </c>
      <c r="AQ510" s="39" t="s">
        <v>1186</v>
      </c>
      <c r="AR510" s="10">
        <f>$AD508</f>
        <v>22</v>
      </c>
      <c r="AS510" s="39" t="s">
        <v>899</v>
      </c>
      <c r="AT510" s="9">
        <f>$AR510</f>
        <v>22</v>
      </c>
      <c r="AU510" s="39" t="s">
        <v>504</v>
      </c>
      <c r="AV510" s="10">
        <f>ROUND(3600*$AD510*$AH510*$AL510*$AP510/$AT510,2)</f>
        <v>13.42</v>
      </c>
      <c r="AW510" s="39" t="s">
        <v>1972</v>
      </c>
      <c r="AX510" s="9">
        <f>$AV510</f>
        <v>13.42</v>
      </c>
      <c r="AY510" s="39" t="s">
        <v>2039</v>
      </c>
      <c r="AZ510" s="10">
        <f>ROUND(ROUND(3600*$AD510*$AH510*$AL510*$AP510/$AT510,2),2)</f>
        <v>13.42</v>
      </c>
      <c r="BA510" s="39" t="s">
        <v>2118</v>
      </c>
      <c r="BB510" s="9">
        <f>$AZ510</f>
        <v>13.42</v>
      </c>
    </row>
    <row r="511" spans="1:54" ht="18.399999999999999" customHeight="1" x14ac:dyDescent="0.15">
      <c r="A511" s="42" t="s">
        <v>2859</v>
      </c>
      <c r="B511" s="3"/>
      <c r="C511" s="46"/>
      <c r="K511" s="3" t="s">
        <v>2859</v>
      </c>
    </row>
    <row r="512" spans="1:54" ht="18.399999999999999" customHeight="1" x14ac:dyDescent="0.15">
      <c r="A512" s="44" t="str">
        <f>CONCATENATE("          1 / Q  =  ","qty hr/m3")</f>
        <v xml:space="preserve">          1 / Q  =  qty hr/m3</v>
      </c>
      <c r="B512" s="3">
        <f>$AB512</f>
        <v>7.4499999999999997E-2</v>
      </c>
      <c r="C512" s="46"/>
      <c r="K512" s="3" t="s">
        <v>1094</v>
      </c>
      <c r="AA512" s="39" t="s">
        <v>1268</v>
      </c>
      <c r="AB512" s="10">
        <f>ROUND(1/$AX510,4)</f>
        <v>7.4499999999999997E-2</v>
      </c>
      <c r="AC512" s="39" t="s">
        <v>2080</v>
      </c>
      <c r="AD512" s="9">
        <f>$AB512</f>
        <v>7.4499999999999997E-2</v>
      </c>
    </row>
    <row r="513" spans="1:30" ht="18.399999999999999" customHeight="1" x14ac:dyDescent="0.15">
      <c r="A513" s="42"/>
      <c r="B513" s="3"/>
      <c r="C513" s="46"/>
    </row>
    <row r="514" spans="1:30" ht="18.399999999999999" customHeight="1" thickBot="1" x14ac:dyDescent="0.2">
      <c r="A514" s="45"/>
      <c r="B514" s="5"/>
      <c r="C514" s="49"/>
    </row>
    <row r="515" spans="1:30" ht="18.399999999999999" customHeight="1" x14ac:dyDescent="0.15">
      <c r="A515" s="42"/>
      <c r="B515" s="3"/>
      <c r="C515" s="46"/>
    </row>
    <row r="516" spans="1:30" ht="18.399999999999999" customHeight="1" x14ac:dyDescent="0.15">
      <c r="A516" s="42" t="s">
        <v>2195</v>
      </c>
      <c r="B516" s="36">
        <v>1</v>
      </c>
      <c r="C516" s="46" t="s">
        <v>2859</v>
      </c>
    </row>
    <row r="517" spans="1:30" ht="18.399999999999999" customHeight="1" x14ac:dyDescent="0.15">
      <c r="A517" s="43"/>
      <c r="B517" s="3"/>
      <c r="C517" s="46"/>
    </row>
    <row r="518" spans="1:30" ht="18.399999999999999" customHeight="1" x14ac:dyDescent="0.15">
      <c r="A518" s="42" t="s">
        <v>174</v>
      </c>
      <c r="B518" s="3"/>
      <c r="C518" s="46"/>
      <c r="G518" s="3" t="s">
        <v>822</v>
      </c>
    </row>
    <row r="519" spans="1:30" ht="18.399999999999999" customHeight="1" x14ac:dyDescent="0.15">
      <c r="A519" s="42" t="s">
        <v>2859</v>
      </c>
      <c r="B519" s="3"/>
      <c r="C519" s="46"/>
      <c r="K519" s="3" t="s">
        <v>2859</v>
      </c>
    </row>
    <row r="520" spans="1:30" ht="18.399999999999999" customHeight="1" x14ac:dyDescent="0.15">
      <c r="A520" s="42" t="s">
        <v>551</v>
      </c>
      <c r="B520" s="3"/>
      <c r="C520" s="46"/>
      <c r="K520" s="3" t="s">
        <v>551</v>
      </c>
    </row>
    <row r="521" spans="1:30" ht="18.399999999999999" customHeight="1" x14ac:dyDescent="0.15">
      <c r="A521" s="42" t="s">
        <v>610</v>
      </c>
      <c r="B521" s="3"/>
      <c r="C521" s="46"/>
      <c r="K521" s="3" t="s">
        <v>2733</v>
      </c>
    </row>
    <row r="522" spans="1:30" ht="18.399999999999999" customHeight="1" x14ac:dyDescent="0.15">
      <c r="A522" s="42" t="s">
        <v>2859</v>
      </c>
      <c r="B522" s="3"/>
      <c r="C522" s="46"/>
      <c r="K522" s="3" t="s">
        <v>2859</v>
      </c>
    </row>
    <row r="523" spans="1:30" ht="18.399999999999999" customHeight="1" x14ac:dyDescent="0.15">
      <c r="A523" s="42" t="s">
        <v>752</v>
      </c>
      <c r="B523" s="3"/>
      <c r="C523" s="46"/>
      <c r="K523" s="3" t="s">
        <v>1704</v>
      </c>
    </row>
    <row r="524" spans="1:30" ht="18.399999999999999" customHeight="1" x14ac:dyDescent="0.15">
      <c r="A524" s="42" t="s">
        <v>2859</v>
      </c>
      <c r="B524" s="3"/>
      <c r="C524" s="46"/>
      <c r="K524" s="3" t="s">
        <v>2859</v>
      </c>
    </row>
    <row r="525" spans="1:30" ht="18.399999999999999" customHeight="1" x14ac:dyDescent="0.15">
      <c r="A525" s="44" t="str">
        <f>CONCATENATE("          0.11 * 0.8  = ","qty 인")</f>
        <v xml:space="preserve">          0.11 * 0.8  = qty 인</v>
      </c>
      <c r="B525" s="3">
        <f>$AB525</f>
        <v>8.7999999999999995E-2</v>
      </c>
      <c r="C525" s="46"/>
      <c r="K525" s="3" t="s">
        <v>252</v>
      </c>
      <c r="AA525" s="39" t="s">
        <v>1268</v>
      </c>
      <c r="AB525" s="10">
        <f>ROUND(0.11*0.8,4)</f>
        <v>8.7999999999999995E-2</v>
      </c>
      <c r="AC525" s="39" t="s">
        <v>2080</v>
      </c>
      <c r="AD525" s="9">
        <f>$AB525</f>
        <v>8.7999999999999995E-2</v>
      </c>
    </row>
    <row r="526" spans="1:30" ht="18.399999999999999" customHeight="1" x14ac:dyDescent="0.15">
      <c r="A526" s="43"/>
      <c r="B526" s="3"/>
      <c r="C526" s="46"/>
    </row>
    <row r="527" spans="1:30" ht="18.399999999999999" customHeight="1" x14ac:dyDescent="0.15">
      <c r="A527" s="42" t="s">
        <v>2130</v>
      </c>
      <c r="B527" s="3"/>
      <c r="C527" s="46"/>
      <c r="G527" s="3" t="s">
        <v>2859</v>
      </c>
    </row>
    <row r="528" spans="1:30" ht="18.399999999999999" customHeight="1" x14ac:dyDescent="0.15">
      <c r="A528" s="42" t="s">
        <v>2634</v>
      </c>
      <c r="B528" s="3"/>
      <c r="C528" s="46"/>
      <c r="K528" s="3" t="s">
        <v>2634</v>
      </c>
    </row>
    <row r="529" spans="1:58" ht="18.399999999999999" customHeight="1" x14ac:dyDescent="0.15">
      <c r="A529" s="42" t="s">
        <v>388</v>
      </c>
      <c r="B529" s="3"/>
      <c r="C529" s="46"/>
      <c r="K529" s="3" t="s">
        <v>944</v>
      </c>
    </row>
    <row r="530" spans="1:58" ht="18.399999999999999" customHeight="1" x14ac:dyDescent="0.15">
      <c r="A530" s="42" t="s">
        <v>2859</v>
      </c>
      <c r="B530" s="3"/>
      <c r="C530" s="46"/>
      <c r="K530" s="3" t="s">
        <v>2859</v>
      </c>
    </row>
    <row r="531" spans="1:58" ht="18.399999999999999" customHeight="1" x14ac:dyDescent="0.15">
      <c r="A531" s="44" t="str">
        <f>CONCATENATE("          V=",TEXT($AB531,"#,##0.0")," ㎞/HR  ,  W=",TEXT($AF531,"#,##0.0")," M  , D=",TEXT($AJ531,"#,##0.0")," M")</f>
        <v xml:space="preserve">          V=1.0 ㎞/HR  ,  W=0.7 M  , D=0.2 M</v>
      </c>
      <c r="B531" s="3"/>
      <c r="C531" s="46"/>
      <c r="K531" s="12" t="str">
        <f>SUBSTITUTE(SUBSTITUTE(SUBSTITUTE(SUBSTITUTE("          V = 1.0_x001D_㎞/HR_x001D_ ,  W = 0.7_x001D_M_x001D_ , D = 0.2_x001D_M_x001D_","1.0",TEXT($AB531,"#,##0.0"),1),"0.7",TEXT($AF531,"#,##0.0"),1),"0.2",TEXT($AJ531,"#,##0.0"),1),"_x001D_","'")</f>
        <v xml:space="preserve">          V = 1.0'㎞/HR' ,  W = 0.7'M' , D = 0.2'M'</v>
      </c>
      <c r="AA531" s="39" t="s">
        <v>120</v>
      </c>
      <c r="AB531" s="8">
        <v>1</v>
      </c>
      <c r="AC531" s="39" t="s">
        <v>120</v>
      </c>
      <c r="AD531" s="9">
        <f>$AB531</f>
        <v>1</v>
      </c>
      <c r="AE531" s="39" t="s">
        <v>1242</v>
      </c>
      <c r="AF531" s="8">
        <v>0.7</v>
      </c>
      <c r="AG531" s="39" t="s">
        <v>1242</v>
      </c>
      <c r="AH531" s="9">
        <f>$AF531</f>
        <v>0.7</v>
      </c>
      <c r="AI531" s="39" t="s">
        <v>333</v>
      </c>
      <c r="AJ531" s="8">
        <v>0.2</v>
      </c>
      <c r="AK531" s="39" t="s">
        <v>333</v>
      </c>
      <c r="AL531" s="9">
        <f>$AJ531</f>
        <v>0.2</v>
      </c>
    </row>
    <row r="532" spans="1:58" ht="18.399999999999999" customHeight="1" x14ac:dyDescent="0.15">
      <c r="A532" s="42" t="s">
        <v>2859</v>
      </c>
      <c r="B532" s="3"/>
      <c r="C532" s="46"/>
      <c r="K532" s="3" t="s">
        <v>2859</v>
      </c>
    </row>
    <row r="533" spans="1:58" ht="18.399999999999999" customHeight="1" x14ac:dyDescent="0.15">
      <c r="A533" s="44" t="str">
        <f>CONCATENATE("          F=",TEXT($AB533,"#,##0.0"),"        ,  E=",TEXT($AF533,"#,##0.0"),"    , N=",TEXT($AJ533,"#,##0.00")," 회")</f>
        <v xml:space="preserve">          F=1.0        ,  E=0.4    , N=10.00 회</v>
      </c>
      <c r="B533" s="3"/>
      <c r="C533" s="46"/>
      <c r="K533" s="12" t="str">
        <f>SUBSTITUTE(SUBSTITUTE(SUBSTITUTE(SUBSTITUTE("          F = 1.0        ,  E = 0.4    , N = 10_x001D_회_x001D_","1.0",TEXT($AB533,"#,##0.0"),1),"0.4",TEXT($AF533,"#,##0.0"),1),"10",TEXT($AJ533,"#,##0"),1),"_x001D_","'")</f>
        <v xml:space="preserve">          F = 1.0        ,  E = 0.4    , N = 10'회'</v>
      </c>
      <c r="AA533" s="39" t="s">
        <v>1652</v>
      </c>
      <c r="AB533" s="8">
        <v>1</v>
      </c>
      <c r="AC533" s="39" t="s">
        <v>1652</v>
      </c>
      <c r="AD533" s="9">
        <f>$AB533</f>
        <v>1</v>
      </c>
      <c r="AE533" s="39" t="s">
        <v>1383</v>
      </c>
      <c r="AF533" s="8">
        <v>0.4</v>
      </c>
      <c r="AG533" s="39" t="s">
        <v>1383</v>
      </c>
      <c r="AH533" s="9">
        <f>$AF533</f>
        <v>0.4</v>
      </c>
      <c r="AI533" s="39" t="s">
        <v>1395</v>
      </c>
      <c r="AJ533" s="8">
        <v>10</v>
      </c>
      <c r="AK533" s="39" t="s">
        <v>1395</v>
      </c>
      <c r="AL533" s="9">
        <f>$AJ533</f>
        <v>10</v>
      </c>
    </row>
    <row r="534" spans="1:58" ht="18.399999999999999" customHeight="1" x14ac:dyDescent="0.15">
      <c r="A534" s="42" t="s">
        <v>2859</v>
      </c>
      <c r="B534" s="3"/>
      <c r="C534" s="46"/>
      <c r="K534" s="3" t="s">
        <v>2859</v>
      </c>
    </row>
    <row r="535" spans="1:58" ht="18.399999999999999" customHeight="1" x14ac:dyDescent="0.15">
      <c r="A535" s="44" t="str">
        <f>CONCATENATE("      Q = 1000 * ",TEXT($AB535,"#,##0.00")," * ",TEXT($AF535,"#,##0.00")," * ",TEXT($AJ535,"#,##0.00")," * ",TEXT($AN535,"#,##0.00")," * ",TEXT($AR535,"#,##0.00")," / ",TEXT($AV535,"#,##0.00"),"=",TEXT($BD535,"#,##0.00")," m3/hr")</f>
        <v xml:space="preserve">      Q = 1000 * 1.00 * 0.70 * 0.20 * 1.00 * 0.40 / 10.00=5.60 m3/hr</v>
      </c>
      <c r="B535" s="3"/>
      <c r="C535" s="46"/>
      <c r="K535" s="3" t="s">
        <v>2427</v>
      </c>
      <c r="AA535" s="39" t="s">
        <v>2454</v>
      </c>
      <c r="AB535" s="10">
        <f>$AD531</f>
        <v>1</v>
      </c>
      <c r="AC535" s="39" t="s">
        <v>2578</v>
      </c>
      <c r="AD535" s="9">
        <f>$AB535</f>
        <v>1</v>
      </c>
      <c r="AE535" s="39" t="s">
        <v>100</v>
      </c>
      <c r="AF535" s="10">
        <f>$AH531</f>
        <v>0.7</v>
      </c>
      <c r="AG535" s="39" t="s">
        <v>119</v>
      </c>
      <c r="AH535" s="9">
        <f>$AF535</f>
        <v>0.7</v>
      </c>
      <c r="AI535" s="39" t="s">
        <v>2069</v>
      </c>
      <c r="AJ535" s="10">
        <f>$AL531</f>
        <v>0.2</v>
      </c>
      <c r="AK535" s="39" t="s">
        <v>1241</v>
      </c>
      <c r="AL535" s="9">
        <f>$AJ535</f>
        <v>0.2</v>
      </c>
      <c r="AM535" s="39" t="s">
        <v>1892</v>
      </c>
      <c r="AN535" s="10">
        <f>$AD533</f>
        <v>1</v>
      </c>
      <c r="AO535" s="39" t="s">
        <v>2408</v>
      </c>
      <c r="AP535" s="9">
        <f>$AN535</f>
        <v>1</v>
      </c>
      <c r="AQ535" s="39" t="s">
        <v>278</v>
      </c>
      <c r="AR535" s="10">
        <f>$AH533</f>
        <v>0.4</v>
      </c>
      <c r="AS535" s="39" t="s">
        <v>1974</v>
      </c>
      <c r="AT535" s="9">
        <f>$AR535</f>
        <v>0.4</v>
      </c>
      <c r="AU535" s="39" t="s">
        <v>2241</v>
      </c>
      <c r="AV535" s="10">
        <f>$AL533</f>
        <v>10</v>
      </c>
      <c r="AW535" s="39" t="s">
        <v>1055</v>
      </c>
      <c r="AX535" s="9">
        <f>$AV535</f>
        <v>10</v>
      </c>
      <c r="AY535" s="39" t="s">
        <v>504</v>
      </c>
      <c r="AZ535" s="10">
        <f>ROUND(1000*$AD535*$AH535*$AL535*$AP535*$AT535/$AX535,2)</f>
        <v>5.6</v>
      </c>
      <c r="BA535" s="39" t="s">
        <v>1972</v>
      </c>
      <c r="BB535" s="9">
        <f>$AZ535</f>
        <v>5.6</v>
      </c>
      <c r="BC535" s="39" t="s">
        <v>1390</v>
      </c>
      <c r="BD535" s="10">
        <f>ROUND(ROUND(1000*$AD535*$AH535*$AL535*$AP535*$AT535/$AX535,2),2)</f>
        <v>5.6</v>
      </c>
      <c r="BE535" s="39" t="s">
        <v>611</v>
      </c>
      <c r="BF535" s="9">
        <f>$BD535</f>
        <v>5.6</v>
      </c>
    </row>
    <row r="536" spans="1:58" ht="18.399999999999999" customHeight="1" x14ac:dyDescent="0.15">
      <c r="A536" s="42" t="s">
        <v>2859</v>
      </c>
      <c r="B536" s="3"/>
      <c r="C536" s="46"/>
      <c r="K536" s="3" t="s">
        <v>2859</v>
      </c>
    </row>
    <row r="537" spans="1:58" ht="18.399999999999999" customHeight="1" x14ac:dyDescent="0.15">
      <c r="A537" s="44" t="str">
        <f>CONCATENATE("          1 /",TEXT($AB537,"#,##0.00")," = ","QTY hr/m3")</f>
        <v xml:space="preserve">          1 /5.60 = QTY hr/m3</v>
      </c>
      <c r="B537" s="3">
        <f>$AF537</f>
        <v>0.17860000000000001</v>
      </c>
      <c r="C537" s="46"/>
      <c r="K537" s="3" t="s">
        <v>2744</v>
      </c>
      <c r="AA537" s="39" t="s">
        <v>1048</v>
      </c>
      <c r="AB537" s="10">
        <f>$BB535</f>
        <v>5.6</v>
      </c>
      <c r="AC537" s="39" t="s">
        <v>1699</v>
      </c>
      <c r="AD537" s="9">
        <f>$AB537</f>
        <v>5.6</v>
      </c>
      <c r="AE537" s="39" t="s">
        <v>1268</v>
      </c>
      <c r="AF537" s="10">
        <f>ROUND(1/$AD537,4)</f>
        <v>0.17860000000000001</v>
      </c>
      <c r="AG537" s="39" t="s">
        <v>2080</v>
      </c>
      <c r="AH537" s="9">
        <f>$AF537</f>
        <v>0.17860000000000001</v>
      </c>
    </row>
    <row r="538" spans="1:58" ht="18.399999999999999" customHeight="1" x14ac:dyDescent="0.15">
      <c r="A538" s="42"/>
      <c r="B538" s="3"/>
      <c r="C538" s="46"/>
    </row>
    <row r="539" spans="1:58" ht="18.399999999999999" customHeight="1" thickBot="1" x14ac:dyDescent="0.2">
      <c r="A539" s="45"/>
      <c r="B539" s="5"/>
      <c r="C539" s="49"/>
    </row>
    <row r="540" spans="1:58" ht="18.399999999999999" customHeight="1" x14ac:dyDescent="0.15">
      <c r="A540" s="42"/>
      <c r="B540" s="3"/>
      <c r="C540" s="46"/>
    </row>
    <row r="541" spans="1:58" ht="18.399999999999999" customHeight="1" x14ac:dyDescent="0.15">
      <c r="A541" s="42" t="s">
        <v>2583</v>
      </c>
      <c r="B541" s="36">
        <v>1</v>
      </c>
      <c r="C541" s="46" t="s">
        <v>2859</v>
      </c>
    </row>
    <row r="542" spans="1:58" ht="18.399999999999999" customHeight="1" x14ac:dyDescent="0.15">
      <c r="A542" s="43"/>
      <c r="B542" s="3"/>
      <c r="C542" s="46"/>
    </row>
    <row r="543" spans="1:58" ht="18.399999999999999" customHeight="1" x14ac:dyDescent="0.15">
      <c r="A543" s="42" t="s">
        <v>2150</v>
      </c>
      <c r="B543" s="3"/>
      <c r="C543" s="46"/>
      <c r="G543" s="3" t="s">
        <v>2859</v>
      </c>
    </row>
    <row r="544" spans="1:58" ht="18.399999999999999" customHeight="1" x14ac:dyDescent="0.15">
      <c r="A544" s="42" t="s">
        <v>2859</v>
      </c>
      <c r="B544" s="3"/>
      <c r="C544" s="46"/>
      <c r="K544" s="3" t="s">
        <v>2859</v>
      </c>
    </row>
    <row r="545" spans="1:38" ht="18.399999999999999" customHeight="1" x14ac:dyDescent="0.15">
      <c r="A545" s="42" t="s">
        <v>686</v>
      </c>
      <c r="B545" s="3"/>
      <c r="C545" s="46"/>
      <c r="K545" s="3" t="s">
        <v>686</v>
      </c>
    </row>
    <row r="546" spans="1:38" ht="18.399999999999999" customHeight="1" x14ac:dyDescent="0.15">
      <c r="A546" s="42" t="s">
        <v>2859</v>
      </c>
      <c r="B546" s="3"/>
      <c r="C546" s="46"/>
      <c r="K546" s="3" t="s">
        <v>2859</v>
      </c>
    </row>
    <row r="547" spans="1:38" ht="18.399999999999999" customHeight="1" x14ac:dyDescent="0.15">
      <c r="A547" s="44" t="str">
        <f>CONCATENATE("          1.0 * 1.04 * 1.15 / 0.90 = ","qty m3")</f>
        <v xml:space="preserve">          1.0 * 1.04 * 1.15 / 0.90 = qty m3</v>
      </c>
      <c r="B547" s="3">
        <f>$AB547</f>
        <v>1.3289</v>
      </c>
      <c r="C547" s="46"/>
      <c r="K547" s="3" t="s">
        <v>387</v>
      </c>
      <c r="AA547" s="39" t="s">
        <v>1268</v>
      </c>
      <c r="AB547" s="10">
        <f>ROUND(1*1.04*1.15/0.9,4)</f>
        <v>1.3289</v>
      </c>
      <c r="AC547" s="39" t="s">
        <v>2080</v>
      </c>
      <c r="AD547" s="9">
        <f>$AB547</f>
        <v>1.3289</v>
      </c>
    </row>
    <row r="548" spans="1:38" ht="18.399999999999999" customHeight="1" x14ac:dyDescent="0.15">
      <c r="A548" s="43"/>
      <c r="B548" s="3"/>
      <c r="C548" s="46"/>
    </row>
    <row r="549" spans="1:38" ht="18.399999999999999" customHeight="1" x14ac:dyDescent="0.15">
      <c r="A549" s="42" t="s">
        <v>894</v>
      </c>
      <c r="B549" s="3"/>
      <c r="C549" s="46"/>
      <c r="G549" s="3" t="s">
        <v>2859</v>
      </c>
    </row>
    <row r="550" spans="1:38" ht="18.399999999999999" customHeight="1" x14ac:dyDescent="0.15">
      <c r="A550" s="42" t="s">
        <v>2859</v>
      </c>
      <c r="B550" s="3"/>
      <c r="C550" s="46"/>
      <c r="K550" s="3" t="s">
        <v>2859</v>
      </c>
    </row>
    <row r="551" spans="1:38" ht="18.399999999999999" customHeight="1" x14ac:dyDescent="0.15">
      <c r="A551" s="42" t="s">
        <v>2666</v>
      </c>
      <c r="B551" s="3"/>
      <c r="C551" s="46"/>
      <c r="K551" s="3" t="s">
        <v>2666</v>
      </c>
    </row>
    <row r="552" spans="1:38" ht="18.399999999999999" customHeight="1" x14ac:dyDescent="0.15">
      <c r="A552" s="42" t="s">
        <v>1636</v>
      </c>
      <c r="B552" s="3"/>
      <c r="C552" s="46"/>
      <c r="K552" s="3" t="s">
        <v>2698</v>
      </c>
    </row>
    <row r="553" spans="1:38" ht="18.399999999999999" customHeight="1" x14ac:dyDescent="0.15">
      <c r="A553" s="42" t="s">
        <v>2859</v>
      </c>
      <c r="B553" s="3"/>
      <c r="C553" s="46"/>
      <c r="K553" s="3" t="s">
        <v>2859</v>
      </c>
    </row>
    <row r="554" spans="1:38" ht="18.399999999999999" customHeight="1" x14ac:dyDescent="0.15">
      <c r="A554" s="42" t="s">
        <v>1625</v>
      </c>
      <c r="B554" s="3"/>
      <c r="C554" s="46"/>
      <c r="K554" s="3" t="s">
        <v>2102</v>
      </c>
    </row>
    <row r="555" spans="1:38" ht="18.399999999999999" customHeight="1" x14ac:dyDescent="0.15">
      <c r="A555" s="42" t="s">
        <v>2859</v>
      </c>
      <c r="B555" s="3"/>
      <c r="C555" s="46"/>
      <c r="K555" s="3" t="s">
        <v>2859</v>
      </c>
    </row>
    <row r="556" spans="1:38" ht="18.399999999999999" customHeight="1" x14ac:dyDescent="0.15">
      <c r="A556" s="44" t="str">
        <f>CONCATENATE("          qo=",TEXT($AB556,"#,##0.0")," m3  ,  f  = C / L = 0.9 / 1.15 = ",TEXT($AJ556,"#,##0.00"))</f>
        <v xml:space="preserve">          qo=0.6 m3  ,  f  = C / L = 0.9 / 1.15 = 0.78</v>
      </c>
      <c r="B556" s="3"/>
      <c r="C556" s="46"/>
      <c r="K556" s="12" t="str">
        <f>SUBSTITUTE(SUBSTITUTE("          qo = 0.6_x001D_m3_x001D_ ,  f  = C / L = 0.9 / 1.15 = {?,_x001D_9.9R_x001D_}","0.6",TEXT($AB556,"#,##0.0"),1),"_x001D_","'")</f>
        <v xml:space="preserve">          qo = 0.6'm3' ,  f  = C / L = 0.9 / 1.15 = {?,'9.9R'}</v>
      </c>
      <c r="AA556" s="39" t="s">
        <v>1136</v>
      </c>
      <c r="AB556" s="8">
        <v>0.6</v>
      </c>
      <c r="AC556" s="39" t="s">
        <v>1136</v>
      </c>
      <c r="AD556" s="9">
        <f>$AB556</f>
        <v>0.6</v>
      </c>
      <c r="AE556" s="39" t="s">
        <v>1802</v>
      </c>
      <c r="AF556" s="10">
        <f>ROUND(0.9/1.15,2)</f>
        <v>0.78</v>
      </c>
      <c r="AG556" s="39" t="s">
        <v>1652</v>
      </c>
      <c r="AH556" s="9">
        <f>$AF556</f>
        <v>0.78</v>
      </c>
      <c r="AI556" s="39" t="s">
        <v>2181</v>
      </c>
      <c r="AJ556" s="10">
        <f>ROUND(ROUND(0.9/1.15,2),2)</f>
        <v>0.78</v>
      </c>
      <c r="AK556" s="39" t="s">
        <v>367</v>
      </c>
      <c r="AL556" s="9">
        <f>$AJ556</f>
        <v>0.78</v>
      </c>
    </row>
    <row r="557" spans="1:38" ht="18.399999999999999" customHeight="1" x14ac:dyDescent="0.15">
      <c r="A557" s="42" t="s">
        <v>2859</v>
      </c>
      <c r="B557" s="3"/>
      <c r="C557" s="46"/>
      <c r="K557" s="3" t="s">
        <v>2859</v>
      </c>
    </row>
    <row r="558" spans="1:38" ht="18.399999999999999" customHeight="1" x14ac:dyDescent="0.15">
      <c r="A558" s="44" t="str">
        <f>CONCATENATE("          E=",TEXT($AB558,"#,##0.00"),"    ,  K=",TEXT($AF558,"#,##0.00"))</f>
        <v xml:space="preserve">          E=0.75    ,  K=0.90</v>
      </c>
      <c r="B558" s="3"/>
      <c r="C558" s="46"/>
      <c r="K558" s="12" t="str">
        <f>SUBSTITUTE(SUBSTITUTE(SUBSTITUTE("          E  = 0.75    ,  K  = 0.90","0.75",TEXT($AB558,"#,##0.00"),1),"0.90",TEXT($AF558,"#,##0.00"),1),"_x001D_","'")</f>
        <v xml:space="preserve">          E  = 0.75    ,  K  = 0.90</v>
      </c>
      <c r="AA558" s="39" t="s">
        <v>1383</v>
      </c>
      <c r="AB558" s="8">
        <v>0.75</v>
      </c>
      <c r="AC558" s="39" t="s">
        <v>1383</v>
      </c>
      <c r="AD558" s="9">
        <f>$AB558</f>
        <v>0.75</v>
      </c>
      <c r="AE558" s="39" t="s">
        <v>806</v>
      </c>
      <c r="AF558" s="8">
        <v>0.9</v>
      </c>
      <c r="AG558" s="39" t="s">
        <v>806</v>
      </c>
      <c r="AH558" s="9">
        <f>$AF558</f>
        <v>0.9</v>
      </c>
    </row>
    <row r="559" spans="1:38" ht="18.399999999999999" customHeight="1" x14ac:dyDescent="0.15">
      <c r="A559" s="42" t="s">
        <v>2859</v>
      </c>
      <c r="B559" s="3"/>
      <c r="C559" s="46"/>
      <c r="K559" s="3" t="s">
        <v>2859</v>
      </c>
    </row>
    <row r="560" spans="1:38" ht="18.399999999999999" customHeight="1" x14ac:dyDescent="0.15">
      <c r="A560" s="44" t="str">
        <f>CONCATENATE("          Cm=",TEXT($AB560,"#,##0.00")," sec(180도)")</f>
        <v xml:space="preserve">          Cm=22.00 sec(180도)</v>
      </c>
      <c r="B560" s="3"/>
      <c r="C560" s="46"/>
      <c r="K560" s="12" t="str">
        <f>SUBSTITUTE(SUBSTITUTE("          Cm = 22_x001D_sec(180도)_x001D_","22",TEXT($AB560,"#,##0"),1),"_x001D_","'")</f>
        <v xml:space="preserve">          Cm = 22'sec(180도)'</v>
      </c>
      <c r="AA560" s="39" t="s">
        <v>139</v>
      </c>
      <c r="AB560" s="8">
        <v>22</v>
      </c>
      <c r="AC560" s="39" t="s">
        <v>139</v>
      </c>
      <c r="AD560" s="9">
        <f>$AB560</f>
        <v>22</v>
      </c>
    </row>
    <row r="561" spans="1:54" ht="18.399999999999999" customHeight="1" x14ac:dyDescent="0.15">
      <c r="A561" s="42" t="s">
        <v>2859</v>
      </c>
      <c r="B561" s="3"/>
      <c r="C561" s="46"/>
      <c r="K561" s="3" t="s">
        <v>2859</v>
      </c>
    </row>
    <row r="562" spans="1:54" ht="18.399999999999999" customHeight="1" x14ac:dyDescent="0.15">
      <c r="A562" s="44" t="str">
        <f>CONCATENATE("      Q = 3600 * ",TEXT($AB562,"#,##0.00")," * ",TEXT($AF562,"#,##0.00")," * ",TEXT($AJ562,"#,##0.00")," * ",TEXT($AN562,"#,##0.00")," / ",TEXT($AR562,"#,##0.00")," = ",TEXT($AZ562,"#,##0.00")," m3/hr")</f>
        <v xml:space="preserve">      Q = 3600 * 0.60 * 0.78 * 0.90 * 0.75 / 22.00 = 51.69 m3/hr</v>
      </c>
      <c r="B562" s="3"/>
      <c r="C562" s="46"/>
      <c r="K562" s="3" t="s">
        <v>594</v>
      </c>
      <c r="AA562" s="39" t="s">
        <v>988</v>
      </c>
      <c r="AB562" s="10">
        <f>$AD556</f>
        <v>0.6</v>
      </c>
      <c r="AC562" s="39" t="s">
        <v>1985</v>
      </c>
      <c r="AD562" s="9">
        <f>$AB562</f>
        <v>0.6</v>
      </c>
      <c r="AE562" s="39" t="s">
        <v>1517</v>
      </c>
      <c r="AF562" s="10">
        <f>$AH556</f>
        <v>0.78</v>
      </c>
      <c r="AG562" s="39" t="s">
        <v>1068</v>
      </c>
      <c r="AH562" s="9">
        <f>$AF562</f>
        <v>0.78</v>
      </c>
      <c r="AI562" s="39" t="s">
        <v>587</v>
      </c>
      <c r="AJ562" s="10">
        <f>$AH558</f>
        <v>0.9</v>
      </c>
      <c r="AK562" s="39" t="s">
        <v>596</v>
      </c>
      <c r="AL562" s="9">
        <f>$AJ562</f>
        <v>0.9</v>
      </c>
      <c r="AM562" s="39" t="s">
        <v>423</v>
      </c>
      <c r="AN562" s="10">
        <f>$AD558</f>
        <v>0.75</v>
      </c>
      <c r="AO562" s="39" t="s">
        <v>1455</v>
      </c>
      <c r="AP562" s="9">
        <f>$AN562</f>
        <v>0.75</v>
      </c>
      <c r="AQ562" s="39" t="s">
        <v>1684</v>
      </c>
      <c r="AR562" s="10">
        <f>$AD560</f>
        <v>22</v>
      </c>
      <c r="AS562" s="39" t="s">
        <v>2568</v>
      </c>
      <c r="AT562" s="9">
        <f>$AR562</f>
        <v>22</v>
      </c>
      <c r="AU562" s="39" t="s">
        <v>504</v>
      </c>
      <c r="AV562" s="10">
        <f>ROUND(3600*$AD562*$AH562*$AL562*$AP562/$AT562,2)</f>
        <v>51.69</v>
      </c>
      <c r="AW562" s="39" t="s">
        <v>1972</v>
      </c>
      <c r="AX562" s="9">
        <f>$AV562</f>
        <v>51.69</v>
      </c>
      <c r="AY562" s="39" t="s">
        <v>790</v>
      </c>
      <c r="AZ562" s="10">
        <f>ROUND(ROUND(3600*$AD562*$AH562*$AL562*$AP562/$AT562,2),2)</f>
        <v>51.69</v>
      </c>
      <c r="BA562" s="39" t="s">
        <v>113</v>
      </c>
      <c r="BB562" s="9">
        <f>$AZ562</f>
        <v>51.69</v>
      </c>
    </row>
    <row r="563" spans="1:54" ht="18.399999999999999" customHeight="1" x14ac:dyDescent="0.15">
      <c r="A563" s="42" t="s">
        <v>2859</v>
      </c>
      <c r="B563" s="3"/>
      <c r="C563" s="46"/>
      <c r="K563" s="3" t="s">
        <v>2859</v>
      </c>
    </row>
    <row r="564" spans="1:54" ht="18.399999999999999" customHeight="1" x14ac:dyDescent="0.15">
      <c r="A564" s="44" t="str">
        <f>CONCATENATE("          1 / Q  =  ","qty hr/m3")</f>
        <v xml:space="preserve">          1 / Q  =  qty hr/m3</v>
      </c>
      <c r="B564" s="3">
        <f>$AB564</f>
        <v>1.9300000000000001E-2</v>
      </c>
      <c r="C564" s="46"/>
      <c r="K564" s="3" t="s">
        <v>1094</v>
      </c>
      <c r="AA564" s="39" t="s">
        <v>1268</v>
      </c>
      <c r="AB564" s="10">
        <f>ROUND(1/$AX562,4)</f>
        <v>1.9300000000000001E-2</v>
      </c>
      <c r="AC564" s="39" t="s">
        <v>2080</v>
      </c>
      <c r="AD564" s="9">
        <f>$AB564</f>
        <v>1.9300000000000001E-2</v>
      </c>
    </row>
    <row r="565" spans="1:54" ht="18.399999999999999" customHeight="1" x14ac:dyDescent="0.15">
      <c r="A565" s="43"/>
      <c r="B565" s="3"/>
      <c r="C565" s="46"/>
    </row>
    <row r="566" spans="1:54" ht="18.399999999999999" customHeight="1" x14ac:dyDescent="0.15">
      <c r="A566" s="42" t="s">
        <v>516</v>
      </c>
      <c r="B566" s="3"/>
      <c r="C566" s="46"/>
      <c r="G566" s="3" t="s">
        <v>2859</v>
      </c>
    </row>
    <row r="567" spans="1:54" ht="18.399999999999999" customHeight="1" x14ac:dyDescent="0.15">
      <c r="A567" s="42" t="s">
        <v>2859</v>
      </c>
      <c r="B567" s="3"/>
      <c r="C567" s="46"/>
      <c r="K567" s="3" t="s">
        <v>2859</v>
      </c>
    </row>
    <row r="568" spans="1:54" ht="18.399999999999999" customHeight="1" x14ac:dyDescent="0.15">
      <c r="A568" s="42" t="s">
        <v>1057</v>
      </c>
      <c r="B568" s="3"/>
      <c r="C568" s="46"/>
      <c r="K568" s="3" t="s">
        <v>1057</v>
      </c>
    </row>
    <row r="569" spans="1:54" ht="18.399999999999999" customHeight="1" x14ac:dyDescent="0.15">
      <c r="A569" s="42" t="s">
        <v>2358</v>
      </c>
      <c r="B569" s="3"/>
      <c r="C569" s="46"/>
      <c r="K569" s="3" t="s">
        <v>95</v>
      </c>
    </row>
    <row r="570" spans="1:54" ht="18.399999999999999" customHeight="1" x14ac:dyDescent="0.15">
      <c r="A570" s="42" t="s">
        <v>2859</v>
      </c>
      <c r="B570" s="3"/>
      <c r="C570" s="46"/>
      <c r="K570" s="3" t="s">
        <v>2859</v>
      </c>
    </row>
    <row r="571" spans="1:54" ht="18.399999999999999" customHeight="1" x14ac:dyDescent="0.15">
      <c r="A571" s="42" t="s">
        <v>1669</v>
      </c>
      <c r="B571" s="3"/>
      <c r="C571" s="46"/>
      <c r="K571" s="3" t="s">
        <v>1550</v>
      </c>
    </row>
    <row r="572" spans="1:54" ht="18.399999999999999" customHeight="1" x14ac:dyDescent="0.15">
      <c r="A572" s="42" t="s">
        <v>2859</v>
      </c>
      <c r="B572" s="3"/>
      <c r="C572" s="46"/>
      <c r="K572" s="3" t="s">
        <v>2859</v>
      </c>
    </row>
    <row r="573" spans="1:54" ht="18.399999999999999" customHeight="1" x14ac:dyDescent="0.15">
      <c r="A573" s="42" t="s">
        <v>1150</v>
      </c>
      <c r="B573" s="3"/>
      <c r="C573" s="46"/>
      <c r="K573" s="3" t="s">
        <v>2297</v>
      </c>
    </row>
    <row r="574" spans="1:54" ht="18.399999999999999" customHeight="1" x14ac:dyDescent="0.15">
      <c r="A574" s="42" t="s">
        <v>2859</v>
      </c>
      <c r="B574" s="3"/>
      <c r="C574" s="46"/>
      <c r="K574" s="3" t="s">
        <v>2859</v>
      </c>
    </row>
    <row r="575" spans="1:54" ht="18.399999999999999" customHeight="1" x14ac:dyDescent="0.15">
      <c r="A575" s="42" t="s">
        <v>858</v>
      </c>
      <c r="B575" s="3"/>
      <c r="C575" s="46"/>
      <c r="K575" s="3" t="s">
        <v>593</v>
      </c>
    </row>
    <row r="576" spans="1:54" ht="18.399999999999999" customHeight="1" x14ac:dyDescent="0.15">
      <c r="A576" s="42" t="s">
        <v>2859</v>
      </c>
      <c r="B576" s="3"/>
      <c r="C576" s="46"/>
      <c r="K576" s="3" t="s">
        <v>2859</v>
      </c>
    </row>
    <row r="577" spans="1:50" ht="18.399999999999999" customHeight="1" x14ac:dyDescent="0.15">
      <c r="A577" s="42" t="s">
        <v>69</v>
      </c>
      <c r="B577" s="3"/>
      <c r="C577" s="46"/>
      <c r="K577" s="3" t="s">
        <v>1410</v>
      </c>
    </row>
    <row r="578" spans="1:50" ht="18.399999999999999" customHeight="1" x14ac:dyDescent="0.15">
      <c r="A578" s="42" t="s">
        <v>2859</v>
      </c>
      <c r="B578" s="3"/>
      <c r="C578" s="46"/>
      <c r="K578" s="3" t="s">
        <v>2859</v>
      </c>
    </row>
    <row r="579" spans="1:50" ht="18.399999999999999" customHeight="1" x14ac:dyDescent="0.15">
      <c r="A579" s="42" t="s">
        <v>2364</v>
      </c>
      <c r="B579" s="3"/>
      <c r="C579" s="46"/>
      <c r="K579" s="3" t="s">
        <v>558</v>
      </c>
    </row>
    <row r="580" spans="1:50" ht="18.399999999999999" customHeight="1" x14ac:dyDescent="0.15">
      <c r="A580" s="42" t="s">
        <v>2859</v>
      </c>
      <c r="B580" s="3"/>
      <c r="C580" s="46"/>
      <c r="K580" s="3" t="s">
        <v>2859</v>
      </c>
    </row>
    <row r="581" spans="1:50" ht="18.399999999999999" customHeight="1" x14ac:dyDescent="0.15">
      <c r="A581" s="44" t="str">
        <f>CONCATENATE("          L=",TEXT($AB581,"#,##0.0")," Km  ,  V=",TEXT($AF581,"#,##0.00")," km/hr")</f>
        <v xml:space="preserve">          L=2.0 Km  ,  V=25.00 km/hr</v>
      </c>
      <c r="B581" s="3"/>
      <c r="C581" s="46"/>
      <c r="K581" s="12" t="str">
        <f>SUBSTITUTE(SUBSTITUTE(SUBSTITUTE("          L  = 2.0_x001D_Km_x001D_ ,  V = 25_x001D_km/hr_x001D_","2.0",TEXT($AB581,"#,##0.0"),1),"25",TEXT($AF581,"#,##0"),1),"_x001D_","'")</f>
        <v xml:space="preserve">          L  = 2.0'Km' ,  V = 25'km/hr'</v>
      </c>
      <c r="AA581" s="39" t="s">
        <v>2704</v>
      </c>
      <c r="AB581" s="8">
        <v>2</v>
      </c>
      <c r="AC581" s="39" t="s">
        <v>2704</v>
      </c>
      <c r="AD581" s="9">
        <f>$AB581</f>
        <v>2</v>
      </c>
      <c r="AE581" s="39" t="s">
        <v>120</v>
      </c>
      <c r="AF581" s="8">
        <v>25</v>
      </c>
      <c r="AG581" s="39" t="s">
        <v>120</v>
      </c>
      <c r="AH581" s="9">
        <f>$AF581</f>
        <v>25</v>
      </c>
    </row>
    <row r="582" spans="1:50" ht="18.399999999999999" customHeight="1" x14ac:dyDescent="0.15">
      <c r="A582" s="42" t="s">
        <v>2859</v>
      </c>
      <c r="B582" s="3"/>
      <c r="C582" s="46"/>
      <c r="K582" s="3" t="s">
        <v>2859</v>
      </c>
    </row>
    <row r="583" spans="1:50" ht="18.399999999999999" customHeight="1" x14ac:dyDescent="0.15">
      <c r="A583" s="44" t="str">
        <f>CONCATENATE("          W=",TEXT($AB583,"#,##0.00"),"  ,    E=",TEXT($AF583,"#,##0.0"),", f=",TEXT($AJ583,"#,##0.0"))</f>
        <v xml:space="preserve">          W=5,500.00  ,    E=0.9, f=1.0</v>
      </c>
      <c r="B583" s="3"/>
      <c r="C583" s="46"/>
      <c r="K583" s="12" t="str">
        <f>SUBSTITUTE(SUBSTITUTE(SUBSTITUTE(SUBSTITUTE("          W  = 5500  ,    E = 0.9, f = 1.0","5500",TEXT($AB583,"#,##0"),1),"0.9",TEXT($AF583,"#,##0.0"),1),"1.0",TEXT($AJ583,"#,##0.0"),1),"_x001D_","'")</f>
        <v xml:space="preserve">          W  = 5,500  ,    E = 0.9, f = 1.0</v>
      </c>
      <c r="AA583" s="39" t="s">
        <v>1242</v>
      </c>
      <c r="AB583" s="8">
        <v>5500</v>
      </c>
      <c r="AC583" s="39" t="s">
        <v>1242</v>
      </c>
      <c r="AD583" s="9">
        <f>$AB583</f>
        <v>5500</v>
      </c>
      <c r="AE583" s="39" t="s">
        <v>1383</v>
      </c>
      <c r="AF583" s="8">
        <v>0.9</v>
      </c>
      <c r="AG583" s="39" t="s">
        <v>1383</v>
      </c>
      <c r="AH583" s="9">
        <f>$AF583</f>
        <v>0.9</v>
      </c>
      <c r="AI583" s="39" t="s">
        <v>1652</v>
      </c>
      <c r="AJ583" s="8">
        <v>1</v>
      </c>
      <c r="AK583" s="39" t="s">
        <v>1652</v>
      </c>
      <c r="AL583" s="9">
        <f>$AJ583</f>
        <v>1</v>
      </c>
    </row>
    <row r="584" spans="1:50" ht="18.399999999999999" customHeight="1" x14ac:dyDescent="0.15">
      <c r="A584" s="42" t="s">
        <v>2859</v>
      </c>
      <c r="B584" s="3"/>
      <c r="C584" s="46"/>
      <c r="K584" s="3" t="s">
        <v>2859</v>
      </c>
    </row>
    <row r="585" spans="1:50" ht="18.399999999999999" customHeight="1" x14ac:dyDescent="0.15">
      <c r="A585" s="44" t="str">
        <f>CONCATENATE("          t1=",TEXT($AB585,"#,##0.00")," mim")</f>
        <v xml:space="preserve">          t1=15.00 mim</v>
      </c>
      <c r="B585" s="3"/>
      <c r="C585" s="46"/>
      <c r="K585" s="12" t="str">
        <f>SUBSTITUTE(SUBSTITUTE("          t1 = 15_x001D_mim_x001D_","15",TEXT($AB585,"#,##0"),1),"_x001D_","'")</f>
        <v xml:space="preserve">          t1 = 15'mim'</v>
      </c>
      <c r="AA585" s="39" t="s">
        <v>2079</v>
      </c>
      <c r="AB585" s="8">
        <v>15</v>
      </c>
      <c r="AC585" s="39" t="s">
        <v>2079</v>
      </c>
      <c r="AD585" s="9">
        <f>$AB585</f>
        <v>15</v>
      </c>
    </row>
    <row r="586" spans="1:50" ht="18.399999999999999" customHeight="1" x14ac:dyDescent="0.15">
      <c r="A586" s="42" t="s">
        <v>2859</v>
      </c>
      <c r="B586" s="3"/>
      <c r="C586" s="46"/>
      <c r="K586" s="3" t="s">
        <v>2859</v>
      </c>
    </row>
    <row r="587" spans="1:50" ht="18.399999999999999" customHeight="1" x14ac:dyDescent="0.15">
      <c r="A587" s="44" t="str">
        <f>CONCATENATE("          t2 = ( L / V ) * 2 * 60 = ",TEXT($AF587,"#,##0.00")," min")</f>
        <v xml:space="preserve">          t2 = ( L / V ) * 2 * 60 = 9.60 min</v>
      </c>
      <c r="B587" s="3"/>
      <c r="C587" s="46"/>
      <c r="K587" s="3" t="s">
        <v>2369</v>
      </c>
      <c r="AA587" s="39" t="s">
        <v>2737</v>
      </c>
      <c r="AB587" s="10">
        <f>ROUND(($AD581/$AH581)*2*60,2)</f>
        <v>9.6</v>
      </c>
      <c r="AC587" s="39" t="s">
        <v>953</v>
      </c>
      <c r="AD587" s="9">
        <f>$AB587</f>
        <v>9.6</v>
      </c>
      <c r="AE587" s="39" t="s">
        <v>1905</v>
      </c>
      <c r="AF587" s="10">
        <f>ROUND(ROUND(($AD581/$AH581)*2*60,2),2)</f>
        <v>9.6</v>
      </c>
      <c r="AG587" s="39" t="s">
        <v>762</v>
      </c>
      <c r="AH587" s="9">
        <f>$AF587</f>
        <v>9.6</v>
      </c>
    </row>
    <row r="588" spans="1:50" ht="18.399999999999999" customHeight="1" x14ac:dyDescent="0.15">
      <c r="A588" s="42" t="s">
        <v>2859</v>
      </c>
      <c r="B588" s="3"/>
      <c r="C588" s="46"/>
      <c r="K588" s="3" t="s">
        <v>2859</v>
      </c>
    </row>
    <row r="589" spans="1:50" ht="18.399999999999999" customHeight="1" x14ac:dyDescent="0.15">
      <c r="A589" s="44" t="str">
        <f>CONCATENATE("          t3=",TEXT($AB589,"#,##0.00")," min  ,  t4=",TEXT($AF589,"#,##0.00")," mim")</f>
        <v xml:space="preserve">          t3=10.00 min  ,  t4=5.00 mim</v>
      </c>
      <c r="B589" s="3"/>
      <c r="C589" s="46"/>
      <c r="K589" s="12" t="str">
        <f>SUBSTITUTE(SUBSTITUTE(SUBSTITUTE("          t3 = 10_x001D_min_x001D_ ,  t4 = 5_x001D_mim_x001D_","10",TEXT($AB589,"#,##0"),1),"5",TEXT($AF589,"#,##0"),1),"_x001D_","'")</f>
        <v xml:space="preserve">          t3 = 10'min' ,  t4 = 5'mim'</v>
      </c>
      <c r="AA589" s="39" t="s">
        <v>511</v>
      </c>
      <c r="AB589" s="8">
        <v>10</v>
      </c>
      <c r="AC589" s="39" t="s">
        <v>511</v>
      </c>
      <c r="AD589" s="9">
        <f>$AB589</f>
        <v>10</v>
      </c>
      <c r="AE589" s="39" t="s">
        <v>1531</v>
      </c>
      <c r="AF589" s="8">
        <v>5</v>
      </c>
      <c r="AG589" s="39" t="s">
        <v>1531</v>
      </c>
      <c r="AH589" s="9">
        <f>$AF589</f>
        <v>5</v>
      </c>
    </row>
    <row r="590" spans="1:50" ht="18.399999999999999" customHeight="1" x14ac:dyDescent="0.15">
      <c r="A590" s="42" t="s">
        <v>2859</v>
      </c>
      <c r="B590" s="3"/>
      <c r="C590" s="46"/>
      <c r="K590" s="3" t="s">
        <v>2859</v>
      </c>
    </row>
    <row r="591" spans="1:50" ht="18.399999999999999" customHeight="1" x14ac:dyDescent="0.15">
      <c r="A591" s="44" t="str">
        <f>CONCATENATE("          Cm = ",TEXT($AB591,"#,##0.00")," + ",TEXT($AF591,"#,##0.00")," + ",TEXT($AJ591,"#,##0.00")," + ",TEXT($AN591,"#,##0.00")," = ",TEXT($AV591,"#,##0.00")," min")</f>
        <v xml:space="preserve">          Cm = 15.00 + 9.60 + 10.00 + 5.00 = 39.60 min</v>
      </c>
      <c r="B591" s="3"/>
      <c r="C591" s="46"/>
      <c r="K591" s="3" t="s">
        <v>260</v>
      </c>
      <c r="AA591" s="39" t="s">
        <v>337</v>
      </c>
      <c r="AB591" s="10">
        <f>$AD585</f>
        <v>15</v>
      </c>
      <c r="AC591" s="39" t="s">
        <v>1454</v>
      </c>
      <c r="AD591" s="9">
        <f>$AB591</f>
        <v>15</v>
      </c>
      <c r="AE591" s="39" t="s">
        <v>2306</v>
      </c>
      <c r="AF591" s="10">
        <f>$AD587</f>
        <v>9.6</v>
      </c>
      <c r="AG591" s="39" t="s">
        <v>1266</v>
      </c>
      <c r="AH591" s="9">
        <f>$AF591</f>
        <v>9.6</v>
      </c>
      <c r="AI591" s="39" t="s">
        <v>1441</v>
      </c>
      <c r="AJ591" s="10">
        <f>$AD589</f>
        <v>10</v>
      </c>
      <c r="AK591" s="39" t="s">
        <v>111</v>
      </c>
      <c r="AL591" s="9">
        <f>$AJ591</f>
        <v>10</v>
      </c>
      <c r="AM591" s="39" t="s">
        <v>1256</v>
      </c>
      <c r="AN591" s="10">
        <f>$AH589</f>
        <v>5</v>
      </c>
      <c r="AO591" s="39" t="s">
        <v>1986</v>
      </c>
      <c r="AP591" s="9">
        <f>$AN591</f>
        <v>5</v>
      </c>
      <c r="AQ591" s="39" t="s">
        <v>2302</v>
      </c>
      <c r="AR591" s="10">
        <f>ROUND($AD591+$AH591+$AL591+$AP591,2)</f>
        <v>39.6</v>
      </c>
      <c r="AS591" s="39" t="s">
        <v>139</v>
      </c>
      <c r="AT591" s="9">
        <f>$AR591</f>
        <v>39.6</v>
      </c>
      <c r="AU591" s="39" t="s">
        <v>2512</v>
      </c>
      <c r="AV591" s="10">
        <f>ROUND(ROUND($AD591+$AH591+$AL591+$AP591,2),2)</f>
        <v>39.6</v>
      </c>
      <c r="AW591" s="39" t="s">
        <v>2394</v>
      </c>
      <c r="AX591" s="9">
        <f>$AV591</f>
        <v>39.6</v>
      </c>
    </row>
    <row r="592" spans="1:50" ht="18.399999999999999" customHeight="1" x14ac:dyDescent="0.15">
      <c r="A592" s="42" t="s">
        <v>2859</v>
      </c>
      <c r="B592" s="3"/>
      <c r="C592" s="46"/>
      <c r="K592" s="3" t="s">
        <v>2859</v>
      </c>
    </row>
    <row r="593" spans="1:50" ht="18.399999999999999" customHeight="1" x14ac:dyDescent="0.15">
      <c r="A593" s="44" t="str">
        <f>CONCATENATE("      Q = 60 * ",TEXT($AB593,"#,##0.00")," * ",TEXT($AF593,"#,##0.00")," * ",TEXT($AJ593,"#,##0.00")," / ",TEXT($AN593,"#,##0.00")," = ","S L/hr")</f>
        <v xml:space="preserve">      Q = 60 * 5,500.00 * 0.90 * 1.00 / 39.60 = S L/hr</v>
      </c>
      <c r="B593" s="3"/>
      <c r="C593" s="46"/>
      <c r="K593" s="3" t="s">
        <v>2099</v>
      </c>
      <c r="AA593" s="39" t="s">
        <v>1703</v>
      </c>
      <c r="AB593" s="10">
        <f>$AD583</f>
        <v>5500</v>
      </c>
      <c r="AC593" s="39" t="s">
        <v>2818</v>
      </c>
      <c r="AD593" s="9">
        <f>$AB593</f>
        <v>5500</v>
      </c>
      <c r="AE593" s="39" t="s">
        <v>814</v>
      </c>
      <c r="AF593" s="10">
        <f>$AH583</f>
        <v>0.9</v>
      </c>
      <c r="AG593" s="39" t="s">
        <v>188</v>
      </c>
      <c r="AH593" s="9">
        <f>$AF593</f>
        <v>0.9</v>
      </c>
      <c r="AI593" s="39" t="s">
        <v>2800</v>
      </c>
      <c r="AJ593" s="10">
        <f>$AL583</f>
        <v>1</v>
      </c>
      <c r="AK593" s="39" t="s">
        <v>1362</v>
      </c>
      <c r="AL593" s="9">
        <f>$AJ593</f>
        <v>1</v>
      </c>
      <c r="AM593" s="39" t="s">
        <v>2608</v>
      </c>
      <c r="AN593" s="10">
        <f>$AT591</f>
        <v>39.6</v>
      </c>
      <c r="AO593" s="39" t="s">
        <v>2290</v>
      </c>
      <c r="AP593" s="9">
        <f>$AN593</f>
        <v>39.6</v>
      </c>
      <c r="AQ593" s="39" t="s">
        <v>504</v>
      </c>
      <c r="AR593" s="10">
        <f>ROUND(60*$AD593*$AH593*$AL593/$AP593,2)</f>
        <v>7500</v>
      </c>
      <c r="AS593" s="39" t="s">
        <v>1972</v>
      </c>
      <c r="AT593" s="9">
        <f>$AR593</f>
        <v>7500</v>
      </c>
      <c r="AU593" s="39" t="s">
        <v>905</v>
      </c>
      <c r="AV593" s="10">
        <f>$AR593</f>
        <v>7500</v>
      </c>
      <c r="AW593" s="39" t="s">
        <v>607</v>
      </c>
      <c r="AX593" s="9">
        <f>$AV593</f>
        <v>7500</v>
      </c>
    </row>
    <row r="594" spans="1:50" ht="18.399999999999999" customHeight="1" x14ac:dyDescent="0.15">
      <c r="A594" s="42" t="s">
        <v>2859</v>
      </c>
      <c r="B594" s="3"/>
      <c r="C594" s="46"/>
      <c r="K594" s="3" t="s">
        <v>2859</v>
      </c>
    </row>
    <row r="595" spans="1:50" ht="18.399999999999999" customHeight="1" x14ac:dyDescent="0.15">
      <c r="A595" s="44" t="str">
        <f>CONCATENATE("          1 / Q * 171 = ","qty hr/m3")</f>
        <v xml:space="preserve">          1 / Q * 171 = qty hr/m3</v>
      </c>
      <c r="B595" s="3">
        <f>$AB595</f>
        <v>2.2800000000000001E-2</v>
      </c>
      <c r="C595" s="46"/>
      <c r="K595" s="3" t="s">
        <v>2125</v>
      </c>
      <c r="AA595" s="39" t="s">
        <v>1268</v>
      </c>
      <c r="AB595" s="10">
        <f>ROUND(1/$AT593*171,4)</f>
        <v>2.2800000000000001E-2</v>
      </c>
      <c r="AC595" s="39" t="s">
        <v>2080</v>
      </c>
      <c r="AD595" s="9">
        <f>$AB595</f>
        <v>2.2800000000000001E-2</v>
      </c>
    </row>
    <row r="596" spans="1:50" ht="18.399999999999999" customHeight="1" x14ac:dyDescent="0.15">
      <c r="A596" s="43"/>
      <c r="B596" s="3"/>
      <c r="C596" s="46"/>
    </row>
    <row r="597" spans="1:50" ht="18.399999999999999" customHeight="1" x14ac:dyDescent="0.15">
      <c r="A597" s="42" t="s">
        <v>174</v>
      </c>
      <c r="B597" s="3"/>
      <c r="C597" s="46"/>
      <c r="G597" s="3" t="s">
        <v>2859</v>
      </c>
    </row>
    <row r="598" spans="1:50" ht="18.399999999999999" customHeight="1" x14ac:dyDescent="0.15">
      <c r="A598" s="42" t="s">
        <v>2859</v>
      </c>
      <c r="B598" s="3"/>
      <c r="C598" s="46"/>
      <c r="K598" s="3" t="s">
        <v>2859</v>
      </c>
    </row>
    <row r="599" spans="1:50" ht="18.399999999999999" customHeight="1" x14ac:dyDescent="0.15">
      <c r="A599" s="42" t="s">
        <v>1748</v>
      </c>
      <c r="B599" s="3"/>
      <c r="C599" s="46"/>
      <c r="K599" s="3" t="s">
        <v>1748</v>
      </c>
    </row>
    <row r="600" spans="1:50" ht="18.399999999999999" customHeight="1" x14ac:dyDescent="0.15">
      <c r="A600" s="42" t="s">
        <v>1255</v>
      </c>
      <c r="B600" s="3"/>
      <c r="C600" s="46"/>
      <c r="K600" s="3" t="s">
        <v>164</v>
      </c>
    </row>
    <row r="601" spans="1:50" ht="18.399999999999999" customHeight="1" x14ac:dyDescent="0.15">
      <c r="A601" s="42" t="s">
        <v>2859</v>
      </c>
      <c r="B601" s="3"/>
      <c r="C601" s="46"/>
      <c r="K601" s="3" t="s">
        <v>2859</v>
      </c>
    </row>
    <row r="602" spans="1:50" ht="18.399999999999999" customHeight="1" x14ac:dyDescent="0.15">
      <c r="A602" s="42" t="s">
        <v>259</v>
      </c>
      <c r="B602" s="3"/>
      <c r="C602" s="46"/>
      <c r="K602" s="3" t="s">
        <v>2249</v>
      </c>
    </row>
    <row r="603" spans="1:50" ht="18.399999999999999" customHeight="1" x14ac:dyDescent="0.15">
      <c r="A603" s="42" t="s">
        <v>2859</v>
      </c>
      <c r="B603" s="3"/>
      <c r="C603" s="46"/>
      <c r="K603" s="3" t="s">
        <v>2859</v>
      </c>
    </row>
    <row r="604" spans="1:50" ht="18.399999999999999" customHeight="1" x14ac:dyDescent="0.15">
      <c r="A604" s="44" t="str">
        <f>CONCATENATE("      Q = 0.15 / 10 = ","qty 인/m3")</f>
        <v xml:space="preserve">      Q = 0.15 / 10 = qty 인/m3</v>
      </c>
      <c r="B604" s="3">
        <f>$AF604</f>
        <v>1.4999999999999999E-2</v>
      </c>
      <c r="C604" s="46"/>
      <c r="K604" s="3" t="s">
        <v>1043</v>
      </c>
      <c r="AA604" s="39" t="s">
        <v>504</v>
      </c>
      <c r="AB604" s="10">
        <f>ROUND(0.15/10,4)</f>
        <v>1.4999999999999999E-2</v>
      </c>
      <c r="AC604" s="39" t="s">
        <v>1972</v>
      </c>
      <c r="AD604" s="9">
        <f>$AB604</f>
        <v>1.4999999999999999E-2</v>
      </c>
      <c r="AE604" s="39" t="s">
        <v>1268</v>
      </c>
      <c r="AF604" s="10">
        <f>$AB604</f>
        <v>1.4999999999999999E-2</v>
      </c>
      <c r="AG604" s="39" t="s">
        <v>2080</v>
      </c>
      <c r="AH604" s="9">
        <f>$AF604</f>
        <v>1.4999999999999999E-2</v>
      </c>
    </row>
    <row r="605" spans="1:50" ht="18.399999999999999" customHeight="1" x14ac:dyDescent="0.15">
      <c r="A605" s="42"/>
      <c r="B605" s="3"/>
      <c r="C605" s="46"/>
    </row>
    <row r="606" spans="1:50" ht="18.399999999999999" customHeight="1" thickBot="1" x14ac:dyDescent="0.2">
      <c r="A606" s="45"/>
      <c r="B606" s="5"/>
      <c r="C606" s="49"/>
    </row>
    <row r="607" spans="1:50" ht="18.399999999999999" customHeight="1" x14ac:dyDescent="0.15">
      <c r="A607" s="42"/>
      <c r="B607" s="3"/>
      <c r="C607" s="46"/>
    </row>
    <row r="608" spans="1:50" ht="18.399999999999999" customHeight="1" x14ac:dyDescent="0.15">
      <c r="A608" s="42" t="s">
        <v>2714</v>
      </c>
      <c r="B608" s="36">
        <v>1</v>
      </c>
      <c r="C608" s="46" t="s">
        <v>2859</v>
      </c>
    </row>
    <row r="609" spans="1:30" ht="18.399999999999999" customHeight="1" x14ac:dyDescent="0.15">
      <c r="A609" s="43"/>
      <c r="B609" s="3"/>
      <c r="C609" s="46"/>
    </row>
    <row r="610" spans="1:30" ht="18.399999999999999" customHeight="1" x14ac:dyDescent="0.15">
      <c r="A610" s="42" t="s">
        <v>211</v>
      </c>
      <c r="B610" s="36">
        <v>1</v>
      </c>
      <c r="C610" s="46"/>
      <c r="G610" s="3" t="s">
        <v>2859</v>
      </c>
    </row>
    <row r="611" spans="1:30" ht="18.399999999999999" customHeight="1" x14ac:dyDescent="0.15">
      <c r="A611" s="43"/>
      <c r="B611" s="3"/>
      <c r="C611" s="46"/>
    </row>
    <row r="612" spans="1:30" ht="18.399999999999999" customHeight="1" x14ac:dyDescent="0.15">
      <c r="A612" s="42" t="s">
        <v>894</v>
      </c>
      <c r="B612" s="3"/>
      <c r="C612" s="46"/>
      <c r="G612" s="3" t="s">
        <v>2859</v>
      </c>
    </row>
    <row r="613" spans="1:30" ht="18.399999999999999" customHeight="1" x14ac:dyDescent="0.15">
      <c r="A613" s="42" t="s">
        <v>1036</v>
      </c>
      <c r="B613" s="3"/>
      <c r="C613" s="46"/>
      <c r="K613" s="3" t="s">
        <v>2809</v>
      </c>
    </row>
    <row r="614" spans="1:30" ht="18.399999999999999" customHeight="1" x14ac:dyDescent="0.15">
      <c r="A614" s="42" t="s">
        <v>2859</v>
      </c>
      <c r="B614" s="3"/>
      <c r="C614" s="46"/>
      <c r="K614" s="3" t="s">
        <v>2859</v>
      </c>
    </row>
    <row r="615" spans="1:30" ht="18.399999999999999" customHeight="1" x14ac:dyDescent="0.15">
      <c r="A615" s="44" t="str">
        <f>CONCATENATE("   8.0 hr / 63 m3  = ","qty hr/m3")</f>
        <v xml:space="preserve">   8.0 hr / 63 m3  = qty hr/m3</v>
      </c>
      <c r="B615" s="3">
        <f>$AB615</f>
        <v>0.127</v>
      </c>
      <c r="C615" s="46"/>
      <c r="K615" s="3" t="s">
        <v>675</v>
      </c>
      <c r="AA615" s="39" t="s">
        <v>1268</v>
      </c>
      <c r="AB615" s="10">
        <f>ROUND(8/63,4)</f>
        <v>0.127</v>
      </c>
      <c r="AC615" s="39" t="s">
        <v>2080</v>
      </c>
      <c r="AD615" s="9">
        <f>$AB615</f>
        <v>0.127</v>
      </c>
    </row>
    <row r="616" spans="1:30" ht="18.399999999999999" customHeight="1" x14ac:dyDescent="0.15">
      <c r="A616" s="43"/>
      <c r="B616" s="3"/>
      <c r="C616" s="46"/>
    </row>
    <row r="617" spans="1:30" ht="18.399999999999999" customHeight="1" x14ac:dyDescent="0.15">
      <c r="A617" s="42" t="s">
        <v>2832</v>
      </c>
      <c r="B617" s="3"/>
      <c r="C617" s="46"/>
      <c r="G617" s="3" t="s">
        <v>2859</v>
      </c>
    </row>
    <row r="618" spans="1:30" ht="18.399999999999999" customHeight="1" x14ac:dyDescent="0.15">
      <c r="A618" s="42" t="s">
        <v>2859</v>
      </c>
      <c r="B618" s="3"/>
      <c r="C618" s="46"/>
      <c r="K618" s="3" t="s">
        <v>2859</v>
      </c>
    </row>
    <row r="619" spans="1:30" ht="18.399999999999999" customHeight="1" x14ac:dyDescent="0.15">
      <c r="A619" s="44" t="str">
        <f>CONCATENATE("         콘크리트공 :  3 인  / 63  m3  = ","QTY 인/m3")</f>
        <v xml:space="preserve">         콘크리트공 :  3 인  / 63  m3  = QTY 인/m3</v>
      </c>
      <c r="B619" s="3">
        <f>$AB619</f>
        <v>4.7600000000000003E-2</v>
      </c>
      <c r="C619" s="46"/>
      <c r="K619" s="3" t="s">
        <v>83</v>
      </c>
      <c r="AA619" s="39" t="s">
        <v>1268</v>
      </c>
      <c r="AB619" s="10">
        <f>ROUND(3/63,4)</f>
        <v>4.7600000000000003E-2</v>
      </c>
      <c r="AC619" s="39" t="s">
        <v>2080</v>
      </c>
      <c r="AD619" s="9">
        <f>$AB619</f>
        <v>4.7600000000000003E-2</v>
      </c>
    </row>
    <row r="620" spans="1:30" ht="18.399999999999999" customHeight="1" x14ac:dyDescent="0.15">
      <c r="A620" s="43"/>
      <c r="B620" s="3"/>
      <c r="C620" s="46"/>
    </row>
    <row r="621" spans="1:30" ht="18.399999999999999" customHeight="1" x14ac:dyDescent="0.15">
      <c r="A621" s="42" t="s">
        <v>174</v>
      </c>
      <c r="B621" s="3"/>
      <c r="C621" s="46"/>
      <c r="G621" s="3" t="s">
        <v>2859</v>
      </c>
    </row>
    <row r="622" spans="1:30" ht="18.399999999999999" customHeight="1" x14ac:dyDescent="0.15">
      <c r="A622" s="42" t="s">
        <v>2859</v>
      </c>
      <c r="B622" s="3"/>
      <c r="C622" s="46"/>
      <c r="K622" s="3" t="s">
        <v>2859</v>
      </c>
    </row>
    <row r="623" spans="1:30" ht="18.399999999999999" customHeight="1" x14ac:dyDescent="0.15">
      <c r="A623" s="44" t="str">
        <f>CONCATENATE("         보통인부 :  1 인  / 63  m3  = ","QTY 인/m3")</f>
        <v xml:space="preserve">         보통인부 :  1 인  / 63  m3  = QTY 인/m3</v>
      </c>
      <c r="B623" s="3">
        <f>$AB623</f>
        <v>1.5900000000000001E-2</v>
      </c>
      <c r="C623" s="46"/>
      <c r="K623" s="3" t="s">
        <v>1069</v>
      </c>
      <c r="AA623" s="39" t="s">
        <v>1268</v>
      </c>
      <c r="AB623" s="10">
        <f>ROUND(1/63,4)</f>
        <v>1.5900000000000001E-2</v>
      </c>
      <c r="AC623" s="39" t="s">
        <v>2080</v>
      </c>
      <c r="AD623" s="9">
        <f>$AB623</f>
        <v>1.5900000000000001E-2</v>
      </c>
    </row>
    <row r="624" spans="1:30" ht="18.399999999999999" customHeight="1" x14ac:dyDescent="0.15">
      <c r="A624" s="43"/>
      <c r="B624" s="3"/>
      <c r="C624" s="46"/>
    </row>
    <row r="625" spans="1:30" ht="18.399999999999999" customHeight="1" x14ac:dyDescent="0.15">
      <c r="A625" s="42" t="s">
        <v>525</v>
      </c>
      <c r="B625" s="36">
        <v>1</v>
      </c>
      <c r="C625" s="46"/>
      <c r="G625" s="3" t="s">
        <v>2859</v>
      </c>
    </row>
    <row r="626" spans="1:30" ht="18.399999999999999" customHeight="1" x14ac:dyDescent="0.15">
      <c r="A626" s="42" t="s">
        <v>2859</v>
      </c>
      <c r="B626" s="3"/>
      <c r="C626" s="46"/>
      <c r="K626" s="3" t="s">
        <v>168</v>
      </c>
      <c r="AA626" s="40" t="s">
        <v>907</v>
      </c>
      <c r="AB626" s="10">
        <f>(((12570*전역변수!C34)+(2656*전역변수!C34)))*0.02</f>
        <v>304.52</v>
      </c>
      <c r="AC626" s="40" t="s">
        <v>1545</v>
      </c>
      <c r="AD626" s="9">
        <f>$AB626</f>
        <v>304.52</v>
      </c>
    </row>
    <row r="627" spans="1:30" ht="18.399999999999999" customHeight="1" x14ac:dyDescent="0.15">
      <c r="A627" s="42"/>
      <c r="B627" s="3"/>
      <c r="C627" s="46"/>
    </row>
    <row r="628" spans="1:30" ht="18.399999999999999" customHeight="1" thickBot="1" x14ac:dyDescent="0.2">
      <c r="A628" s="45"/>
      <c r="B628" s="5"/>
      <c r="C628" s="49"/>
    </row>
    <row r="629" spans="1:30" ht="18.399999999999999" customHeight="1" x14ac:dyDescent="0.15">
      <c r="A629" s="42"/>
      <c r="B629" s="3"/>
      <c r="C629" s="46"/>
    </row>
    <row r="630" spans="1:30" ht="18.399999999999999" customHeight="1" x14ac:dyDescent="0.15">
      <c r="A630" s="42" t="s">
        <v>926</v>
      </c>
      <c r="B630" s="36">
        <v>1</v>
      </c>
      <c r="C630" s="46" t="s">
        <v>2859</v>
      </c>
    </row>
    <row r="631" spans="1:30" ht="18.399999999999999" customHeight="1" x14ac:dyDescent="0.15">
      <c r="A631" s="43"/>
      <c r="B631" s="3"/>
      <c r="C631" s="46"/>
    </row>
    <row r="632" spans="1:30" ht="18.399999999999999" customHeight="1" x14ac:dyDescent="0.15">
      <c r="A632" s="42" t="s">
        <v>1749</v>
      </c>
      <c r="B632" s="36">
        <v>1</v>
      </c>
      <c r="C632" s="46"/>
      <c r="G632" s="3" t="s">
        <v>2859</v>
      </c>
    </row>
    <row r="633" spans="1:30" ht="18.399999999999999" customHeight="1" x14ac:dyDescent="0.15">
      <c r="A633" s="43"/>
      <c r="B633" s="3"/>
      <c r="C633" s="46"/>
    </row>
    <row r="634" spans="1:30" ht="18.399999999999999" customHeight="1" x14ac:dyDescent="0.15">
      <c r="A634" s="42" t="s">
        <v>1662</v>
      </c>
      <c r="B634" s="3"/>
      <c r="C634" s="46"/>
      <c r="G634" s="3" t="s">
        <v>2859</v>
      </c>
    </row>
    <row r="635" spans="1:30" ht="18.399999999999999" customHeight="1" x14ac:dyDescent="0.15">
      <c r="A635" s="42" t="s">
        <v>913</v>
      </c>
      <c r="B635" s="3"/>
      <c r="C635" s="46"/>
      <c r="K635" s="3" t="s">
        <v>913</v>
      </c>
    </row>
    <row r="636" spans="1:30" ht="18.399999999999999" customHeight="1" x14ac:dyDescent="0.15">
      <c r="A636" s="42" t="s">
        <v>2859</v>
      </c>
      <c r="B636" s="3"/>
      <c r="C636" s="46"/>
      <c r="K636" s="3" t="s">
        <v>2859</v>
      </c>
    </row>
    <row r="637" spans="1:30" ht="18.399999999999999" customHeight="1" x14ac:dyDescent="0.15">
      <c r="A637" s="44" t="str">
        <f>CONCATENATE("          1 일 콘크리트 타설량 : Q=",TEXT($AB637,"#,##0.00")," M3/일 기준")</f>
        <v xml:space="preserve">          1 일 콘크리트 타설량 : Q=90.00 M3/일 기준</v>
      </c>
      <c r="B637" s="3"/>
      <c r="C637" s="46"/>
      <c r="K637" s="12" t="str">
        <f>SUBSTITUTE(SUBSTITUTE("         _x001D_1 일 콘크리트 타설량 :_x001D_Q = 90_x001D_M3/일 기준_x001D_","90",TEXT($AB637,"#,##0"),1),"_x001D_","'")</f>
        <v xml:space="preserve">         '1 일 콘크리트 타설량 :'Q = 90'M3/일 기준'</v>
      </c>
      <c r="AA637" s="39" t="s">
        <v>1972</v>
      </c>
      <c r="AB637" s="8">
        <v>90</v>
      </c>
      <c r="AC637" s="39" t="s">
        <v>1972</v>
      </c>
      <c r="AD637" s="9">
        <f>$AB637</f>
        <v>90</v>
      </c>
    </row>
    <row r="638" spans="1:30" ht="18.399999999999999" customHeight="1" x14ac:dyDescent="0.15">
      <c r="A638" s="42" t="s">
        <v>2859</v>
      </c>
      <c r="B638" s="3"/>
      <c r="C638" s="46"/>
      <c r="K638" s="3" t="s">
        <v>2859</v>
      </c>
    </row>
    <row r="639" spans="1:30" ht="18.399999999999999" customHeight="1" x14ac:dyDescent="0.15">
      <c r="A639" s="42" t="s">
        <v>1027</v>
      </c>
      <c r="B639" s="3"/>
      <c r="C639" s="46"/>
      <c r="K639" s="3" t="s">
        <v>2415</v>
      </c>
    </row>
    <row r="640" spans="1:30" ht="18.399999999999999" customHeight="1" x14ac:dyDescent="0.15">
      <c r="A640" s="42" t="s">
        <v>2859</v>
      </c>
      <c r="B640" s="3"/>
      <c r="C640" s="46"/>
      <c r="K640" s="3" t="s">
        <v>2859</v>
      </c>
    </row>
    <row r="641" spans="1:42" ht="18.399999999999999" customHeight="1" x14ac:dyDescent="0.15">
      <c r="A641" s="42" t="s">
        <v>717</v>
      </c>
      <c r="B641" s="3"/>
      <c r="C641" s="46"/>
      <c r="K641" s="3" t="s">
        <v>2553</v>
      </c>
    </row>
    <row r="642" spans="1:42" ht="18.399999999999999" customHeight="1" x14ac:dyDescent="0.15">
      <c r="A642" s="42" t="s">
        <v>1644</v>
      </c>
      <c r="B642" s="3"/>
      <c r="C642" s="46"/>
      <c r="K642" s="3" t="s">
        <v>743</v>
      </c>
    </row>
    <row r="643" spans="1:42" ht="18.399999999999999" customHeight="1" x14ac:dyDescent="0.15">
      <c r="A643" s="42" t="s">
        <v>2660</v>
      </c>
      <c r="B643" s="3"/>
      <c r="C643" s="46"/>
      <c r="K643" s="3" t="s">
        <v>1979</v>
      </c>
    </row>
    <row r="644" spans="1:42" ht="18.399999999999999" customHeight="1" x14ac:dyDescent="0.15">
      <c r="A644" s="42" t="s">
        <v>2114</v>
      </c>
      <c r="B644" s="3"/>
      <c r="C644" s="46"/>
      <c r="K644" s="3" t="s">
        <v>1768</v>
      </c>
    </row>
    <row r="645" spans="1:42" ht="18.399999999999999" customHeight="1" x14ac:dyDescent="0.15">
      <c r="A645" s="42" t="s">
        <v>1679</v>
      </c>
      <c r="B645" s="3"/>
      <c r="C645" s="46"/>
      <c r="K645" s="3" t="s">
        <v>2211</v>
      </c>
    </row>
    <row r="646" spans="1:42" ht="18.399999999999999" customHeight="1" x14ac:dyDescent="0.15">
      <c r="A646" s="42" t="s">
        <v>1354</v>
      </c>
      <c r="B646" s="3"/>
      <c r="C646" s="46"/>
      <c r="K646" s="3" t="s">
        <v>1193</v>
      </c>
    </row>
    <row r="647" spans="1:42" ht="18.399999999999999" customHeight="1" x14ac:dyDescent="0.15">
      <c r="A647" s="42" t="s">
        <v>1219</v>
      </c>
      <c r="B647" s="3"/>
      <c r="C647" s="46"/>
      <c r="K647" s="3" t="s">
        <v>449</v>
      </c>
    </row>
    <row r="648" spans="1:42" ht="18.399999999999999" customHeight="1" x14ac:dyDescent="0.15">
      <c r="A648" s="42" t="s">
        <v>41</v>
      </c>
      <c r="B648" s="3"/>
      <c r="C648" s="46"/>
      <c r="K648" s="3" t="s">
        <v>2706</v>
      </c>
    </row>
    <row r="649" spans="1:42" ht="18.399999999999999" customHeight="1" x14ac:dyDescent="0.15">
      <c r="A649" s="42" t="s">
        <v>2859</v>
      </c>
      <c r="B649" s="3"/>
      <c r="C649" s="46"/>
      <c r="K649" s="3" t="s">
        <v>2859</v>
      </c>
    </row>
    <row r="650" spans="1:42" ht="18.399999999999999" customHeight="1" x14ac:dyDescent="0.15">
      <c r="A650" s="44" t="str">
        <f>CONCATENATE("                   t4 = 1.35 * 1.4 * 1.2 * ",TEXT($AB650,"#,##0.00")," = ",TEXT($AJ650,"#,##0.00"))</f>
        <v xml:space="preserve">                   t4 = 1.35 * 1.4 * 1.2 * 90.00 = 204.12</v>
      </c>
      <c r="B650" s="3"/>
      <c r="C650" s="46"/>
      <c r="K650" s="3" t="s">
        <v>172</v>
      </c>
      <c r="AA650" s="39" t="s">
        <v>2351</v>
      </c>
      <c r="AB650" s="10">
        <f>$AD637</f>
        <v>90</v>
      </c>
      <c r="AC650" s="39" t="s">
        <v>80</v>
      </c>
      <c r="AD650" s="9">
        <f>$AB650</f>
        <v>90</v>
      </c>
      <c r="AE650" s="39" t="s">
        <v>927</v>
      </c>
      <c r="AF650" s="10">
        <f>ROUND(1.35*1.4*1.2*$AD650,2)</f>
        <v>204.12</v>
      </c>
      <c r="AG650" s="39" t="s">
        <v>1531</v>
      </c>
      <c r="AH650" s="9">
        <f>$AF650</f>
        <v>204.12</v>
      </c>
      <c r="AI650" s="39" t="s">
        <v>35</v>
      </c>
      <c r="AJ650" s="10">
        <f>ROUND(ROUND(1.35*1.4*1.2*$AD650,2),2)</f>
        <v>204.12</v>
      </c>
      <c r="AK650" s="39" t="s">
        <v>2589</v>
      </c>
      <c r="AL650" s="9">
        <f>$AJ650</f>
        <v>204.12</v>
      </c>
    </row>
    <row r="651" spans="1:42" ht="18.399999999999999" customHeight="1" x14ac:dyDescent="0.15">
      <c r="A651" s="42" t="s">
        <v>2859</v>
      </c>
      <c r="B651" s="3"/>
      <c r="C651" s="46"/>
      <c r="K651" s="3" t="s">
        <v>2859</v>
      </c>
    </row>
    <row r="652" spans="1:42" ht="18.399999999999999" customHeight="1" x14ac:dyDescent="0.15">
      <c r="A652" s="44" t="str">
        <f>CONCATENATE("              Tc = ( 20 + 20 + 30 + ",TEXT($AB652,"#,##0.00"),") / 0.7 / 60 = ",TEXT($AJ652,"#,##0.0000")," hr")</f>
        <v xml:space="preserve">              Tc = ( 20 + 20 + 30 + 204.12) / 0.7 / 60 = 6.5267 hr</v>
      </c>
      <c r="B652" s="3"/>
      <c r="C652" s="46"/>
      <c r="K652" s="3" t="s">
        <v>2616</v>
      </c>
      <c r="AA652" s="39" t="s">
        <v>961</v>
      </c>
      <c r="AB652" s="10">
        <f>$AH650</f>
        <v>204.12</v>
      </c>
      <c r="AC652" s="39" t="s">
        <v>1325</v>
      </c>
      <c r="AD652" s="9">
        <f>$AB652</f>
        <v>204.12</v>
      </c>
      <c r="AE652" s="39" t="s">
        <v>1590</v>
      </c>
      <c r="AF652" s="10">
        <f>ROUND((20+20+30+$AD652)/0.7/60,4)</f>
        <v>6.5266999999999999</v>
      </c>
      <c r="AG652" s="39" t="s">
        <v>1912</v>
      </c>
      <c r="AH652" s="9">
        <f>$AF652</f>
        <v>6.5266999999999999</v>
      </c>
      <c r="AI652" s="39" t="s">
        <v>1490</v>
      </c>
      <c r="AJ652" s="10">
        <f>ROUND(ROUND((20+20+30+$AD652)/0.7/60,4),4)</f>
        <v>6.5266999999999999</v>
      </c>
      <c r="AK652" s="39" t="s">
        <v>1732</v>
      </c>
      <c r="AL652" s="9">
        <f>$AJ652</f>
        <v>6.5266999999999999</v>
      </c>
    </row>
    <row r="653" spans="1:42" ht="18.399999999999999" customHeight="1" x14ac:dyDescent="0.15">
      <c r="A653" s="42" t="s">
        <v>2859</v>
      </c>
      <c r="B653" s="3"/>
      <c r="C653" s="46"/>
      <c r="K653" s="3" t="s">
        <v>2859</v>
      </c>
    </row>
    <row r="654" spans="1:42" ht="18.399999999999999" customHeight="1" x14ac:dyDescent="0.15">
      <c r="A654" s="44" t="str">
        <f>CONCATENATE("              Tb = 25 / 60 = ",TEXT($AF654,"#,##0.0000")," hr")</f>
        <v xml:space="preserve">              Tb = 25 / 60 = 0.4167 hr</v>
      </c>
      <c r="B654" s="3"/>
      <c r="C654" s="46"/>
      <c r="K654" s="3" t="s">
        <v>2808</v>
      </c>
      <c r="AA654" s="39" t="s">
        <v>651</v>
      </c>
      <c r="AB654" s="10">
        <f>ROUND(25/60,4)</f>
        <v>0.41670000000000001</v>
      </c>
      <c r="AC654" s="39" t="s">
        <v>2228</v>
      </c>
      <c r="AD654" s="9">
        <f>$AB654</f>
        <v>0.41670000000000001</v>
      </c>
      <c r="AE654" s="39" t="s">
        <v>2520</v>
      </c>
      <c r="AF654" s="10">
        <f>ROUND(ROUND(25/60,4),4)</f>
        <v>0.41670000000000001</v>
      </c>
      <c r="AG654" s="39" t="s">
        <v>2730</v>
      </c>
      <c r="AH654" s="9">
        <f>$AF654</f>
        <v>0.41670000000000001</v>
      </c>
    </row>
    <row r="655" spans="1:42" ht="18.399999999999999" customHeight="1" x14ac:dyDescent="0.15">
      <c r="A655" s="42" t="s">
        <v>2859</v>
      </c>
      <c r="B655" s="3"/>
      <c r="C655" s="46"/>
      <c r="K655" s="3" t="s">
        <v>2859</v>
      </c>
    </row>
    <row r="656" spans="1:42" ht="18.399999999999999" customHeight="1" x14ac:dyDescent="0.15">
      <c r="A656" s="44" t="str">
        <f>CONCATENATE("              T  = ",TEXT($AB656,"#,##0.00")," + ",TEXT($AF656,"#,##0.00")," = ",TEXT($AN656,"#,##0.0000")," hr")</f>
        <v xml:space="preserve">              T  = 6.53 + 0.42 = 6.9434 hr</v>
      </c>
      <c r="B656" s="3"/>
      <c r="C656" s="46"/>
      <c r="K656" s="3" t="s">
        <v>457</v>
      </c>
      <c r="AA656" s="39" t="s">
        <v>1014</v>
      </c>
      <c r="AB656" s="10">
        <f>$AH652</f>
        <v>6.5266999999999999</v>
      </c>
      <c r="AC656" s="39" t="s">
        <v>1599</v>
      </c>
      <c r="AD656" s="9">
        <f>$AB656</f>
        <v>6.5266999999999999</v>
      </c>
      <c r="AE656" s="39" t="s">
        <v>1532</v>
      </c>
      <c r="AF656" s="10">
        <f>$AD654</f>
        <v>0.41670000000000001</v>
      </c>
      <c r="AG656" s="39" t="s">
        <v>1113</v>
      </c>
      <c r="AH656" s="9">
        <f>$AF656</f>
        <v>0.41670000000000001</v>
      </c>
      <c r="AI656" s="39" t="s">
        <v>697</v>
      </c>
      <c r="AJ656" s="10">
        <f>ROUND($AD656+$AH656,4)</f>
        <v>6.9433999999999996</v>
      </c>
      <c r="AK656" s="39" t="s">
        <v>1444</v>
      </c>
      <c r="AL656" s="9">
        <f>$AJ656</f>
        <v>6.9433999999999996</v>
      </c>
      <c r="AM656" s="39" t="s">
        <v>606</v>
      </c>
      <c r="AN656" s="10">
        <f>ROUND(ROUND($AD656+$AH656,4),4)</f>
        <v>6.9433999999999996</v>
      </c>
      <c r="AO656" s="39" t="s">
        <v>49</v>
      </c>
      <c r="AP656" s="9">
        <f>$AN656</f>
        <v>6.9433999999999996</v>
      </c>
    </row>
    <row r="657" spans="1:38" ht="18.399999999999999" customHeight="1" x14ac:dyDescent="0.15">
      <c r="A657" s="42" t="s">
        <v>2859</v>
      </c>
      <c r="B657" s="3"/>
      <c r="C657" s="46"/>
      <c r="K657" s="3" t="s">
        <v>2859</v>
      </c>
    </row>
    <row r="658" spans="1:38" ht="18.399999999999999" customHeight="1" x14ac:dyDescent="0.15">
      <c r="A658" s="44" t="str">
        <f>CONCATENATE("          Tc / ",TEXT($AB658,"#,##0.00")," = ","QTY hr/m3")</f>
        <v xml:space="preserve">          Tc / 90.00 = QTY hr/m3</v>
      </c>
      <c r="B658" s="3">
        <f>$AF658</f>
        <v>7.2499999999999995E-2</v>
      </c>
      <c r="C658" s="46"/>
      <c r="K658" s="3" t="s">
        <v>1313</v>
      </c>
      <c r="AA658" s="39" t="s">
        <v>2251</v>
      </c>
      <c r="AB658" s="10">
        <f>$AD637</f>
        <v>90</v>
      </c>
      <c r="AC658" s="39" t="s">
        <v>2094</v>
      </c>
      <c r="AD658" s="9">
        <f>$AB658</f>
        <v>90</v>
      </c>
      <c r="AE658" s="39" t="s">
        <v>1268</v>
      </c>
      <c r="AF658" s="10">
        <f>ROUND($AH652/$AD658,4)</f>
        <v>7.2499999999999995E-2</v>
      </c>
      <c r="AG658" s="39" t="s">
        <v>2080</v>
      </c>
      <c r="AH658" s="9">
        <f>$AF658</f>
        <v>7.2499999999999995E-2</v>
      </c>
    </row>
    <row r="659" spans="1:38" ht="18.399999999999999" customHeight="1" x14ac:dyDescent="0.15">
      <c r="A659" s="43"/>
      <c r="B659" s="3"/>
      <c r="C659" s="46"/>
    </row>
    <row r="660" spans="1:38" ht="18.399999999999999" customHeight="1" x14ac:dyDescent="0.15">
      <c r="A660" s="42" t="s">
        <v>2832</v>
      </c>
      <c r="B660" s="3"/>
      <c r="C660" s="46"/>
      <c r="G660" s="3" t="s">
        <v>2859</v>
      </c>
    </row>
    <row r="661" spans="1:38" ht="18.399999999999999" customHeight="1" x14ac:dyDescent="0.15">
      <c r="A661" s="42" t="s">
        <v>1962</v>
      </c>
      <c r="B661" s="3"/>
      <c r="C661" s="46"/>
      <c r="K661" s="3" t="s">
        <v>1962</v>
      </c>
    </row>
    <row r="662" spans="1:38" ht="18.399999999999999" customHeight="1" x14ac:dyDescent="0.15">
      <c r="A662" s="42" t="s">
        <v>2859</v>
      </c>
      <c r="B662" s="3"/>
      <c r="C662" s="46"/>
      <c r="K662" s="3" t="s">
        <v>2859</v>
      </c>
    </row>
    <row r="663" spans="1:38" ht="18.399999999999999" customHeight="1" x14ac:dyDescent="0.15">
      <c r="A663" s="44" t="str">
        <f>CONCATENATE("         1 일 콘크리트 타설량 : Q=",TEXT($AB663,"#,##0.00")," M3/일 기준  ,  T=",TEXT($AF663,"#,##0.0000")," hr")</f>
        <v xml:space="preserve">         1 일 콘크리트 타설량 : Q=90.00 M3/일 기준  ,  T=6.9434 hr</v>
      </c>
      <c r="B663" s="3"/>
      <c r="C663" s="46"/>
      <c r="K663" s="12" t="str">
        <f>SUBSTITUTE(SUBSTITUTE(SUBSTITUTE("        _x001D_1 일 콘크리트 타설량 :_x001D_Q = 90_x001D_M3/일 기준_x001D_ ,  T = 6.9434_x001D_hr_x001D_","90",TEXT($AB663,"#,##0"),1),"6.9434",TEXT($AF663,"#,##0.0000"),1),"_x001D_","'")</f>
        <v xml:space="preserve">        '1 일 콘크리트 타설량 :'Q = 90'M3/일 기준' ,  T = 6.9434'hr'</v>
      </c>
      <c r="AA663" s="39" t="s">
        <v>1972</v>
      </c>
      <c r="AB663" s="8">
        <v>90</v>
      </c>
      <c r="AC663" s="39" t="s">
        <v>1972</v>
      </c>
      <c r="AD663" s="9">
        <f>$AB663</f>
        <v>90</v>
      </c>
      <c r="AE663" s="39" t="s">
        <v>1444</v>
      </c>
      <c r="AF663" s="8">
        <v>6.9433999999999996</v>
      </c>
      <c r="AG663" s="39" t="s">
        <v>1444</v>
      </c>
      <c r="AH663" s="9">
        <f>$AF663</f>
        <v>6.9433999999999996</v>
      </c>
    </row>
    <row r="664" spans="1:38" ht="18.399999999999999" customHeight="1" x14ac:dyDescent="0.15">
      <c r="A664" s="42" t="s">
        <v>2859</v>
      </c>
      <c r="B664" s="3"/>
      <c r="C664" s="46"/>
      <c r="K664" s="3" t="s">
        <v>2859</v>
      </c>
    </row>
    <row r="665" spans="1:38" ht="18.399999999999999" customHeight="1" x14ac:dyDescent="0.15">
      <c r="A665" s="44" t="str">
        <f>CONCATENATE("         콘크리트공 :  5 인  * ",TEXT($AB665,"#,##0.00")," / 8.0 / ",TEXT($AF665,"#,##0.00")," = ","QTY 인/m3")</f>
        <v xml:space="preserve">         콘크리트공 :  5 인  * 6.94 / 8.0 / 90.00 = QTY 인/m3</v>
      </c>
      <c r="B665" s="3">
        <f>$AJ665</f>
        <v>4.82E-2</v>
      </c>
      <c r="C665" s="46"/>
      <c r="K665" s="3" t="s">
        <v>698</v>
      </c>
      <c r="AA665" s="39" t="s">
        <v>1777</v>
      </c>
      <c r="AB665" s="10">
        <f>$AH663</f>
        <v>6.9433999999999996</v>
      </c>
      <c r="AC665" s="39" t="s">
        <v>1872</v>
      </c>
      <c r="AD665" s="9">
        <f>$AB665</f>
        <v>6.9433999999999996</v>
      </c>
      <c r="AE665" s="39" t="s">
        <v>893</v>
      </c>
      <c r="AF665" s="10">
        <f>$AD663</f>
        <v>90</v>
      </c>
      <c r="AG665" s="39" t="s">
        <v>787</v>
      </c>
      <c r="AH665" s="9">
        <f>$AF665</f>
        <v>90</v>
      </c>
      <c r="AI665" s="39" t="s">
        <v>1268</v>
      </c>
      <c r="AJ665" s="10">
        <f>ROUND(5*$AD665/8/$AH665,4)</f>
        <v>4.82E-2</v>
      </c>
      <c r="AK665" s="39" t="s">
        <v>2080</v>
      </c>
      <c r="AL665" s="9">
        <f>$AJ665</f>
        <v>4.82E-2</v>
      </c>
    </row>
    <row r="666" spans="1:38" ht="18.399999999999999" customHeight="1" x14ac:dyDescent="0.15">
      <c r="A666" s="43"/>
      <c r="B666" s="3"/>
      <c r="C666" s="46"/>
    </row>
    <row r="667" spans="1:38" ht="18.399999999999999" customHeight="1" x14ac:dyDescent="0.15">
      <c r="A667" s="42" t="s">
        <v>133</v>
      </c>
      <c r="B667" s="3"/>
      <c r="C667" s="46"/>
      <c r="G667" s="3" t="s">
        <v>2859</v>
      </c>
    </row>
    <row r="668" spans="1:38" ht="18.399999999999999" customHeight="1" x14ac:dyDescent="0.15">
      <c r="A668" s="44" t="str">
        <f>CONCATENATE("         1 일 콘크리트 타설량 : Q=",TEXT($AB668,"#,##0.00")," M3/일 기준  , T=",TEXT($AF668,"#,##0.0000")," hr")</f>
        <v xml:space="preserve">         1 일 콘크리트 타설량 : Q=90.00 M3/일 기준  , T=6.9434 hr</v>
      </c>
      <c r="B668" s="3"/>
      <c r="C668" s="46"/>
      <c r="K668" s="12" t="str">
        <f>SUBSTITUTE(SUBSTITUTE(SUBSTITUTE("        _x001D_1 일 콘크리트 타설량 :_x001D_Q = 90_x001D_M3/일 기준_x001D_ , T = 6.9434_x001D_hr_x001D_","90",TEXT($AB668,"#,##0"),1),"6.9434",TEXT($AF668,"#,##0.0000"),1),"_x001D_","'")</f>
        <v xml:space="preserve">        '1 일 콘크리트 타설량 :'Q = 90'M3/일 기준' , T = 6.9434'hr'</v>
      </c>
      <c r="AA668" s="39" t="s">
        <v>1972</v>
      </c>
      <c r="AB668" s="8">
        <v>90</v>
      </c>
      <c r="AC668" s="39" t="s">
        <v>1972</v>
      </c>
      <c r="AD668" s="9">
        <f>$AB668</f>
        <v>90</v>
      </c>
      <c r="AE668" s="39" t="s">
        <v>1444</v>
      </c>
      <c r="AF668" s="8">
        <v>6.9433999999999996</v>
      </c>
      <c r="AG668" s="39" t="s">
        <v>1444</v>
      </c>
      <c r="AH668" s="9">
        <f>$AF668</f>
        <v>6.9433999999999996</v>
      </c>
    </row>
    <row r="669" spans="1:38" ht="18.399999999999999" customHeight="1" x14ac:dyDescent="0.15">
      <c r="A669" s="42" t="s">
        <v>2859</v>
      </c>
      <c r="B669" s="3"/>
      <c r="C669" s="46"/>
      <c r="K669" s="3" t="s">
        <v>2859</v>
      </c>
    </row>
    <row r="670" spans="1:38" ht="18.399999999999999" customHeight="1" x14ac:dyDescent="0.15">
      <c r="A670" s="44" t="str">
        <f>CONCATENATE("         특별인부 :  2 인  * ",TEXT($AB670,"#,##0.00")," / 8 / ",TEXT($AF670,"#,##0.00")," = ","QTY 인/m3")</f>
        <v xml:space="preserve">         특별인부 :  2 인  * 6.94 / 8 / 90.00 = QTY 인/m3</v>
      </c>
      <c r="B670" s="3">
        <f>$AJ670</f>
        <v>1.9300000000000001E-2</v>
      </c>
      <c r="C670" s="46"/>
      <c r="K670" s="3" t="s">
        <v>286</v>
      </c>
      <c r="AA670" s="39" t="s">
        <v>2689</v>
      </c>
      <c r="AB670" s="10">
        <f>$AH668</f>
        <v>6.9433999999999996</v>
      </c>
      <c r="AC670" s="39" t="s">
        <v>1594</v>
      </c>
      <c r="AD670" s="9">
        <f>$AB670</f>
        <v>6.9433999999999996</v>
      </c>
      <c r="AE670" s="39" t="s">
        <v>673</v>
      </c>
      <c r="AF670" s="10">
        <f>$AD668</f>
        <v>90</v>
      </c>
      <c r="AG670" s="39" t="s">
        <v>1103</v>
      </c>
      <c r="AH670" s="9">
        <f>$AF670</f>
        <v>90</v>
      </c>
      <c r="AI670" s="39" t="s">
        <v>1268</v>
      </c>
      <c r="AJ670" s="10">
        <f>ROUND(2*$AD670/8/$AH670,4)</f>
        <v>1.9300000000000001E-2</v>
      </c>
      <c r="AK670" s="39" t="s">
        <v>2080</v>
      </c>
      <c r="AL670" s="9">
        <f>$AJ670</f>
        <v>1.9300000000000001E-2</v>
      </c>
    </row>
    <row r="671" spans="1:38" ht="18.399999999999999" customHeight="1" x14ac:dyDescent="0.15">
      <c r="A671" s="43"/>
      <c r="B671" s="3"/>
      <c r="C671" s="46"/>
    </row>
    <row r="672" spans="1:38" ht="18.399999999999999" customHeight="1" x14ac:dyDescent="0.15">
      <c r="A672" s="42" t="s">
        <v>174</v>
      </c>
      <c r="B672" s="3"/>
      <c r="C672" s="46"/>
      <c r="G672" s="3" t="s">
        <v>2859</v>
      </c>
    </row>
    <row r="673" spans="1:38" ht="18.399999999999999" customHeight="1" x14ac:dyDescent="0.15">
      <c r="A673" s="44" t="str">
        <f>CONCATENATE("         1 일 콘크리트 타설량 : Q=",TEXT($AB673,"#,##0.00")," M3/일 기준  , T=",TEXT($AF673,"#,##0.0000")," hr")</f>
        <v xml:space="preserve">         1 일 콘크리트 타설량 : Q=90.00 M3/일 기준  , T=6.9434 hr</v>
      </c>
      <c r="B673" s="3"/>
      <c r="C673" s="46"/>
      <c r="K673" s="12" t="str">
        <f>SUBSTITUTE(SUBSTITUTE(SUBSTITUTE("        _x001D_1 일 콘크리트 타설량 :_x001D_Q = 90_x001D_M3/일 기준_x001D_ , T = 6.9434_x001D_hr_x001D_","90",TEXT($AB673,"#,##0"),1),"6.9434",TEXT($AF673,"#,##0.0000"),1),"_x001D_","'")</f>
        <v xml:space="preserve">        '1 일 콘크리트 타설량 :'Q = 90'M3/일 기준' , T = 6.9434'hr'</v>
      </c>
      <c r="AA673" s="39" t="s">
        <v>1972</v>
      </c>
      <c r="AB673" s="8">
        <v>90</v>
      </c>
      <c r="AC673" s="39" t="s">
        <v>1972</v>
      </c>
      <c r="AD673" s="9">
        <f>$AB673</f>
        <v>90</v>
      </c>
      <c r="AE673" s="39" t="s">
        <v>1444</v>
      </c>
      <c r="AF673" s="8">
        <v>6.9433999999999996</v>
      </c>
      <c r="AG673" s="39" t="s">
        <v>1444</v>
      </c>
      <c r="AH673" s="9">
        <f>$AF673</f>
        <v>6.9433999999999996</v>
      </c>
    </row>
    <row r="674" spans="1:38" ht="18.399999999999999" customHeight="1" x14ac:dyDescent="0.15">
      <c r="A674" s="42" t="s">
        <v>2859</v>
      </c>
      <c r="B674" s="3"/>
      <c r="C674" s="46"/>
      <c r="K674" s="3" t="s">
        <v>2859</v>
      </c>
    </row>
    <row r="675" spans="1:38" ht="18.399999999999999" customHeight="1" x14ac:dyDescent="0.15">
      <c r="A675" s="44" t="str">
        <f>CONCATENATE("         보통인부 :  2 인  * ",TEXT($AB675,"#,##0.00")," / 8 / ",TEXT($AF675,"#,##0.00")," = ","QTY 인/m3")</f>
        <v xml:space="preserve">         보통인부 :  2 인  * 6.94 / 8 / 90.00 = QTY 인/m3</v>
      </c>
      <c r="B675" s="3">
        <f>$AJ675</f>
        <v>1.9300000000000001E-2</v>
      </c>
      <c r="C675" s="46"/>
      <c r="K675" s="3" t="s">
        <v>2210</v>
      </c>
      <c r="AA675" s="39" t="s">
        <v>1797</v>
      </c>
      <c r="AB675" s="10">
        <f>$AH673</f>
        <v>6.9433999999999996</v>
      </c>
      <c r="AC675" s="39" t="s">
        <v>2625</v>
      </c>
      <c r="AD675" s="9">
        <f>$AB675</f>
        <v>6.9433999999999996</v>
      </c>
      <c r="AE675" s="39" t="s">
        <v>1279</v>
      </c>
      <c r="AF675" s="10">
        <f>$AD673</f>
        <v>90</v>
      </c>
      <c r="AG675" s="39" t="s">
        <v>47</v>
      </c>
      <c r="AH675" s="9">
        <f>$AF675</f>
        <v>90</v>
      </c>
      <c r="AI675" s="39" t="s">
        <v>1268</v>
      </c>
      <c r="AJ675" s="10">
        <f>ROUND(2*$AD675/8/$AH675,4)</f>
        <v>1.9300000000000001E-2</v>
      </c>
      <c r="AK675" s="39" t="s">
        <v>2080</v>
      </c>
      <c r="AL675" s="9">
        <f>$AJ675</f>
        <v>1.9300000000000001E-2</v>
      </c>
    </row>
    <row r="676" spans="1:38" ht="18.399999999999999" customHeight="1" x14ac:dyDescent="0.15">
      <c r="A676" s="42" t="s">
        <v>2859</v>
      </c>
      <c r="B676" s="3"/>
      <c r="C676" s="46"/>
      <c r="K676" s="3" t="s">
        <v>2859</v>
      </c>
    </row>
    <row r="677" spans="1:38" ht="18.399999999999999" customHeight="1" x14ac:dyDescent="0.15">
      <c r="A677" s="42" t="s">
        <v>2859</v>
      </c>
      <c r="B677" s="3"/>
      <c r="C677" s="46"/>
      <c r="K677" s="3" t="s">
        <v>2859</v>
      </c>
    </row>
    <row r="678" spans="1:38" ht="18.399999999999999" customHeight="1" x14ac:dyDescent="0.15">
      <c r="A678" s="42" t="s">
        <v>2233</v>
      </c>
      <c r="B678" s="3"/>
      <c r="C678" s="46"/>
      <c r="K678" s="3" t="s">
        <v>1927</v>
      </c>
    </row>
    <row r="679" spans="1:38" ht="18.399999999999999" customHeight="1" x14ac:dyDescent="0.15">
      <c r="A679" s="43"/>
      <c r="B679" s="3"/>
      <c r="C679" s="46"/>
    </row>
    <row r="680" spans="1:38" ht="18.399999999999999" customHeight="1" x14ac:dyDescent="0.15">
      <c r="A680" s="42" t="s">
        <v>525</v>
      </c>
      <c r="B680" s="36">
        <v>1</v>
      </c>
      <c r="C680" s="46"/>
      <c r="G680" s="3" t="s">
        <v>2859</v>
      </c>
    </row>
    <row r="681" spans="1:38" ht="18.399999999999999" customHeight="1" x14ac:dyDescent="0.15">
      <c r="A681" s="42" t="s">
        <v>2859</v>
      </c>
      <c r="B681" s="3"/>
      <c r="C681" s="46"/>
      <c r="K681" s="3" t="s">
        <v>2770</v>
      </c>
      <c r="AA681" s="40" t="s">
        <v>907</v>
      </c>
      <c r="AB681" s="10">
        <f>(((12728*전역변수!C34)+(4232*전역변수!C34)+(3224*전역변수!C34)))*0.05</f>
        <v>1009.2</v>
      </c>
      <c r="AC681" s="40" t="s">
        <v>1545</v>
      </c>
      <c r="AD681" s="9">
        <f>$AB681</f>
        <v>1009.2</v>
      </c>
    </row>
    <row r="682" spans="1:38" ht="18.399999999999999" customHeight="1" x14ac:dyDescent="0.15">
      <c r="A682" s="43"/>
      <c r="B682" s="3"/>
      <c r="C682" s="46"/>
    </row>
    <row r="683" spans="1:38" ht="18.399999999999999" customHeight="1" x14ac:dyDescent="0.15">
      <c r="A683" s="42" t="s">
        <v>174</v>
      </c>
      <c r="B683" s="3"/>
      <c r="C683" s="46"/>
      <c r="G683" s="3" t="s">
        <v>2859</v>
      </c>
    </row>
    <row r="684" spans="1:38" ht="18.399999999999999" customHeight="1" x14ac:dyDescent="0.15">
      <c r="A684" s="42" t="s">
        <v>1494</v>
      </c>
      <c r="B684" s="3"/>
      <c r="C684" s="46"/>
      <c r="K684" s="3" t="s">
        <v>1494</v>
      </c>
    </row>
    <row r="685" spans="1:38" ht="18.399999999999999" customHeight="1" x14ac:dyDescent="0.15">
      <c r="A685" s="42" t="s">
        <v>2859</v>
      </c>
      <c r="B685" s="3"/>
      <c r="C685" s="46"/>
      <c r="K685" s="3" t="s">
        <v>2859</v>
      </c>
    </row>
    <row r="686" spans="1:38" ht="18.399999999999999" customHeight="1" x14ac:dyDescent="0.15">
      <c r="A686" s="44" t="str">
        <f>CONCATENATE("        보통 인부 :  0.07 / 10 = ","QTY 인/m3")</f>
        <v xml:space="preserve">        보통 인부 :  0.07 / 10 = QTY 인/m3</v>
      </c>
      <c r="B686" s="3">
        <f>$AB686</f>
        <v>7.0000000000000001E-3</v>
      </c>
      <c r="C686" s="46"/>
      <c r="K686" s="3" t="s">
        <v>1235</v>
      </c>
      <c r="AA686" s="39" t="s">
        <v>1268</v>
      </c>
      <c r="AB686" s="10">
        <f>ROUND(0.07/10,4)</f>
        <v>7.0000000000000001E-3</v>
      </c>
      <c r="AC686" s="39" t="s">
        <v>2080</v>
      </c>
      <c r="AD686" s="9">
        <f>$AB686</f>
        <v>7.0000000000000001E-3</v>
      </c>
    </row>
    <row r="687" spans="1:38" ht="18.399999999999999" customHeight="1" x14ac:dyDescent="0.15">
      <c r="A687" s="42" t="s">
        <v>2859</v>
      </c>
      <c r="B687" s="3"/>
      <c r="C687" s="46"/>
      <c r="K687" s="3" t="s">
        <v>2859</v>
      </c>
    </row>
    <row r="688" spans="1:38" ht="18.399999999999999" customHeight="1" x14ac:dyDescent="0.15">
      <c r="A688" s="42" t="s">
        <v>2859</v>
      </c>
      <c r="B688" s="3"/>
      <c r="C688" s="46"/>
      <c r="K688" s="3" t="s">
        <v>2859</v>
      </c>
    </row>
    <row r="689" spans="1:30" ht="18.399999999999999" customHeight="1" x14ac:dyDescent="0.15">
      <c r="A689" s="42" t="s">
        <v>1919</v>
      </c>
      <c r="B689" s="3"/>
      <c r="C689" s="46"/>
      <c r="K689" s="3" t="s">
        <v>1919</v>
      </c>
    </row>
    <row r="690" spans="1:30" ht="18.399999999999999" customHeight="1" x14ac:dyDescent="0.15">
      <c r="A690" s="43"/>
      <c r="B690" s="3"/>
      <c r="C690" s="46"/>
    </row>
    <row r="691" spans="1:30" ht="18.399999999999999" customHeight="1" x14ac:dyDescent="0.15">
      <c r="A691" s="42" t="s">
        <v>2490</v>
      </c>
      <c r="B691" s="36">
        <v>1</v>
      </c>
      <c r="C691" s="46"/>
      <c r="G691" s="3" t="s">
        <v>2859</v>
      </c>
    </row>
    <row r="692" spans="1:30" ht="18.399999999999999" customHeight="1" x14ac:dyDescent="0.15">
      <c r="A692" s="42" t="s">
        <v>2859</v>
      </c>
      <c r="B692" s="3"/>
      <c r="C692" s="46"/>
      <c r="K692" s="3" t="s">
        <v>2402</v>
      </c>
      <c r="AA692" s="40" t="s">
        <v>2113</v>
      </c>
      <c r="AB692" s="10">
        <f>(1169*전역변수!C34)*0.41</f>
        <v>479.28999999999996</v>
      </c>
      <c r="AC692" s="40" t="s">
        <v>2372</v>
      </c>
      <c r="AD692" s="9">
        <f>$AB692</f>
        <v>479.28999999999996</v>
      </c>
    </row>
    <row r="693" spans="1:30" ht="18.399999999999999" customHeight="1" x14ac:dyDescent="0.15">
      <c r="A693" s="42"/>
      <c r="B693" s="3"/>
      <c r="C693" s="46"/>
    </row>
    <row r="694" spans="1:30" ht="18.399999999999999" customHeight="1" thickBot="1" x14ac:dyDescent="0.2">
      <c r="A694" s="45"/>
      <c r="B694" s="5"/>
      <c r="C694" s="49"/>
    </row>
    <row r="695" spans="1:30" ht="18.399999999999999" customHeight="1" x14ac:dyDescent="0.15">
      <c r="A695" s="42"/>
      <c r="B695" s="3"/>
      <c r="C695" s="46"/>
    </row>
    <row r="696" spans="1:30" ht="18.399999999999999" customHeight="1" x14ac:dyDescent="0.15">
      <c r="A696" s="42" t="s">
        <v>1324</v>
      </c>
      <c r="B696" s="36">
        <v>1</v>
      </c>
      <c r="C696" s="46" t="s">
        <v>2859</v>
      </c>
    </row>
    <row r="697" spans="1:30" ht="18.399999999999999" customHeight="1" x14ac:dyDescent="0.15">
      <c r="A697" s="43"/>
      <c r="B697" s="3"/>
      <c r="C697" s="46"/>
    </row>
    <row r="698" spans="1:30" ht="18.399999999999999" customHeight="1" x14ac:dyDescent="0.15">
      <c r="A698" s="42" t="s">
        <v>2185</v>
      </c>
      <c r="B698" s="3"/>
      <c r="C698" s="46"/>
      <c r="G698" s="3" t="s">
        <v>2859</v>
      </c>
    </row>
    <row r="699" spans="1:30" ht="18.399999999999999" customHeight="1" x14ac:dyDescent="0.15">
      <c r="A699" s="42" t="s">
        <v>1813</v>
      </c>
      <c r="B699" s="3"/>
      <c r="C699" s="46"/>
      <c r="K699" s="3" t="s">
        <v>2103</v>
      </c>
    </row>
    <row r="700" spans="1:30" ht="18.399999999999999" customHeight="1" x14ac:dyDescent="0.15">
      <c r="A700" s="42" t="s">
        <v>2859</v>
      </c>
      <c r="B700" s="3"/>
      <c r="C700" s="46"/>
      <c r="K700" s="3" t="s">
        <v>2859</v>
      </c>
    </row>
    <row r="701" spans="1:30" ht="18.399999999999999" customHeight="1" x14ac:dyDescent="0.15">
      <c r="A701" s="42" t="s">
        <v>586</v>
      </c>
      <c r="B701" s="3"/>
      <c r="C701" s="46"/>
      <c r="K701" s="3" t="s">
        <v>586</v>
      </c>
    </row>
    <row r="702" spans="1:30" ht="18.399999999999999" customHeight="1" x14ac:dyDescent="0.15">
      <c r="A702" s="42" t="s">
        <v>2859</v>
      </c>
      <c r="B702" s="3"/>
      <c r="C702" s="46"/>
      <c r="K702" s="3" t="s">
        <v>2859</v>
      </c>
    </row>
    <row r="703" spans="1:30" ht="18.399999999999999" customHeight="1" x14ac:dyDescent="0.15">
      <c r="A703" s="42" t="s">
        <v>1306</v>
      </c>
      <c r="B703" s="3"/>
      <c r="C703" s="46"/>
      <c r="K703" s="3" t="s">
        <v>2362</v>
      </c>
    </row>
    <row r="704" spans="1:30" ht="18.399999999999999" customHeight="1" x14ac:dyDescent="0.15">
      <c r="A704" s="42" t="s">
        <v>2859</v>
      </c>
      <c r="B704" s="3"/>
      <c r="C704" s="46"/>
      <c r="K704" s="3" t="s">
        <v>2859</v>
      </c>
    </row>
    <row r="705" spans="1:30" ht="18.399999999999999" customHeight="1" x14ac:dyDescent="0.15">
      <c r="A705" s="44" t="str">
        <f>CONCATENATE("          0.89 매 / 10 m2  = ","qty 매")</f>
        <v xml:space="preserve">          0.89 매 / 10 m2  = qty 매</v>
      </c>
      <c r="B705" s="3">
        <f>$AB705</f>
        <v>8.8999999999999996E-2</v>
      </c>
      <c r="C705" s="46"/>
      <c r="K705" s="3" t="s">
        <v>2055</v>
      </c>
      <c r="AA705" s="39" t="s">
        <v>1268</v>
      </c>
      <c r="AB705" s="10">
        <f>ROUND(0.89/10,4)</f>
        <v>8.8999999999999996E-2</v>
      </c>
      <c r="AC705" s="39" t="s">
        <v>2080</v>
      </c>
      <c r="AD705" s="9">
        <f>$AB705</f>
        <v>8.8999999999999996E-2</v>
      </c>
    </row>
    <row r="706" spans="1:30" ht="18.399999999999999" customHeight="1" x14ac:dyDescent="0.15">
      <c r="A706" s="43"/>
      <c r="B706" s="3"/>
      <c r="C706" s="46"/>
    </row>
    <row r="707" spans="1:30" ht="18.399999999999999" customHeight="1" x14ac:dyDescent="0.15">
      <c r="A707" s="42" t="s">
        <v>952</v>
      </c>
      <c r="B707" s="3"/>
      <c r="C707" s="46"/>
      <c r="G707" s="3" t="s">
        <v>2859</v>
      </c>
    </row>
    <row r="708" spans="1:30" ht="18.399999999999999" customHeight="1" x14ac:dyDescent="0.15">
      <c r="A708" s="42" t="s">
        <v>2326</v>
      </c>
      <c r="B708" s="3"/>
      <c r="C708" s="46"/>
      <c r="K708" s="3" t="s">
        <v>1384</v>
      </c>
    </row>
    <row r="709" spans="1:30" ht="18.399999999999999" customHeight="1" x14ac:dyDescent="0.15">
      <c r="A709" s="42" t="s">
        <v>2859</v>
      </c>
      <c r="B709" s="3"/>
      <c r="C709" s="46"/>
      <c r="K709" s="3" t="s">
        <v>2859</v>
      </c>
    </row>
    <row r="710" spans="1:30" ht="18.399999999999999" customHeight="1" x14ac:dyDescent="0.15">
      <c r="A710" s="44" t="str">
        <f>CONCATENATE("          0.03 매 / 10 m2  = ","qty 매")</f>
        <v xml:space="preserve">          0.03 매 / 10 m2  = qty 매</v>
      </c>
      <c r="B710" s="3">
        <f>$AB710</f>
        <v>3.0000000000000001E-3</v>
      </c>
      <c r="C710" s="46"/>
      <c r="K710" s="3" t="s">
        <v>496</v>
      </c>
      <c r="AA710" s="39" t="s">
        <v>1268</v>
      </c>
      <c r="AB710" s="10">
        <f>ROUND(0.03/10,4)</f>
        <v>3.0000000000000001E-3</v>
      </c>
      <c r="AC710" s="39" t="s">
        <v>2080</v>
      </c>
      <c r="AD710" s="9">
        <f>$AB710</f>
        <v>3.0000000000000001E-3</v>
      </c>
    </row>
    <row r="711" spans="1:30" ht="18.399999999999999" customHeight="1" x14ac:dyDescent="0.15">
      <c r="A711" s="43"/>
      <c r="B711" s="3"/>
      <c r="C711" s="46"/>
    </row>
    <row r="712" spans="1:30" ht="18.399999999999999" customHeight="1" x14ac:dyDescent="0.15">
      <c r="A712" s="42" t="s">
        <v>2019</v>
      </c>
      <c r="B712" s="36">
        <v>1</v>
      </c>
      <c r="C712" s="46"/>
      <c r="G712" s="3" t="s">
        <v>2859</v>
      </c>
    </row>
    <row r="713" spans="1:30" ht="18.399999999999999" customHeight="1" x14ac:dyDescent="0.15">
      <c r="A713" s="42" t="s">
        <v>2859</v>
      </c>
      <c r="B713" s="3"/>
      <c r="C713" s="46"/>
      <c r="K713" s="3" t="s">
        <v>1446</v>
      </c>
      <c r="AA713" s="40" t="s">
        <v>2113</v>
      </c>
      <c r="AB713" s="10">
        <f>(2581+69)*0.52</f>
        <v>1378</v>
      </c>
      <c r="AC713" s="40" t="s">
        <v>2372</v>
      </c>
      <c r="AD713" s="9">
        <f>$AB713</f>
        <v>1378</v>
      </c>
    </row>
    <row r="714" spans="1:30" ht="18.399999999999999" customHeight="1" x14ac:dyDescent="0.15">
      <c r="A714" s="43"/>
      <c r="B714" s="3"/>
      <c r="C714" s="46"/>
    </row>
    <row r="715" spans="1:30" ht="18.399999999999999" customHeight="1" x14ac:dyDescent="0.15">
      <c r="A715" s="42" t="s">
        <v>236</v>
      </c>
      <c r="B715" s="36">
        <v>1</v>
      </c>
      <c r="C715" s="46"/>
      <c r="G715" s="3" t="s">
        <v>2859</v>
      </c>
    </row>
    <row r="716" spans="1:30" ht="18.399999999999999" customHeight="1" x14ac:dyDescent="0.15">
      <c r="A716" s="42" t="s">
        <v>2859</v>
      </c>
      <c r="B716" s="3"/>
      <c r="C716" s="46"/>
      <c r="K716" s="3" t="s">
        <v>1166</v>
      </c>
      <c r="AA716" s="40" t="s">
        <v>2113</v>
      </c>
      <c r="AB716" s="10">
        <f>(2581+69)*0.05</f>
        <v>132.5</v>
      </c>
      <c r="AC716" s="40" t="s">
        <v>2372</v>
      </c>
      <c r="AD716" s="9">
        <f>$AB716</f>
        <v>132.5</v>
      </c>
    </row>
    <row r="717" spans="1:30" ht="18.399999999999999" customHeight="1" x14ac:dyDescent="0.15">
      <c r="A717" s="43"/>
      <c r="B717" s="3"/>
      <c r="C717" s="46"/>
    </row>
    <row r="718" spans="1:30" ht="18.399999999999999" customHeight="1" x14ac:dyDescent="0.15">
      <c r="A718" s="42" t="s">
        <v>1009</v>
      </c>
      <c r="B718" s="3"/>
      <c r="C718" s="46"/>
      <c r="G718" s="3" t="s">
        <v>2859</v>
      </c>
    </row>
    <row r="719" spans="1:30" ht="18.399999999999999" customHeight="1" x14ac:dyDescent="0.15">
      <c r="A719" s="42" t="s">
        <v>1474</v>
      </c>
      <c r="B719" s="3"/>
      <c r="C719" s="46"/>
      <c r="K719" s="3" t="s">
        <v>1474</v>
      </c>
    </row>
    <row r="720" spans="1:30" ht="18.399999999999999" customHeight="1" x14ac:dyDescent="0.15">
      <c r="A720" s="42" t="s">
        <v>2859</v>
      </c>
      <c r="B720" s="3"/>
      <c r="C720" s="46"/>
      <c r="K720" s="3" t="s">
        <v>2859</v>
      </c>
    </row>
    <row r="721" spans="1:30" ht="18.399999999999999" customHeight="1" x14ac:dyDescent="0.15">
      <c r="A721" s="44" t="str">
        <f>CONCATENATE("          형틀목공  4 인 / 35 일  = ","qty 인")</f>
        <v xml:space="preserve">          형틀목공  4 인 / 35 일  = qty 인</v>
      </c>
      <c r="B721" s="3">
        <f>$AB721</f>
        <v>0.1143</v>
      </c>
      <c r="C721" s="46"/>
      <c r="K721" s="3" t="s">
        <v>2639</v>
      </c>
      <c r="AA721" s="39" t="s">
        <v>1268</v>
      </c>
      <c r="AB721" s="10">
        <f>ROUND(4/35,4)</f>
        <v>0.1143</v>
      </c>
      <c r="AC721" s="39" t="s">
        <v>2080</v>
      </c>
      <c r="AD721" s="9">
        <f>$AB721</f>
        <v>0.1143</v>
      </c>
    </row>
    <row r="722" spans="1:30" ht="18.399999999999999" customHeight="1" x14ac:dyDescent="0.15">
      <c r="A722" s="43"/>
      <c r="B722" s="3"/>
      <c r="C722" s="46"/>
    </row>
    <row r="723" spans="1:30" ht="18.399999999999999" customHeight="1" x14ac:dyDescent="0.15">
      <c r="A723" s="42" t="s">
        <v>174</v>
      </c>
      <c r="B723" s="3"/>
      <c r="C723" s="46"/>
      <c r="G723" s="3" t="s">
        <v>2859</v>
      </c>
    </row>
    <row r="724" spans="1:30" ht="18.399999999999999" customHeight="1" x14ac:dyDescent="0.15">
      <c r="A724" s="44" t="str">
        <f>CONCATENATE("          보통인부  1 인 / 35 일  = ","qty 인")</f>
        <v xml:space="preserve">          보통인부  1 인 / 35 일  = qty 인</v>
      </c>
      <c r="B724" s="3">
        <f>$AB724</f>
        <v>2.86E-2</v>
      </c>
      <c r="C724" s="46"/>
      <c r="K724" s="3" t="s">
        <v>2147</v>
      </c>
      <c r="AA724" s="39" t="s">
        <v>1268</v>
      </c>
      <c r="AB724" s="10">
        <f>ROUND(1/35,4)</f>
        <v>2.86E-2</v>
      </c>
      <c r="AC724" s="39" t="s">
        <v>2080</v>
      </c>
      <c r="AD724" s="9">
        <f>$AB724</f>
        <v>2.86E-2</v>
      </c>
    </row>
    <row r="725" spans="1:30" ht="18.399999999999999" customHeight="1" x14ac:dyDescent="0.15">
      <c r="A725" s="42" t="s">
        <v>2859</v>
      </c>
      <c r="B725" s="3"/>
      <c r="C725" s="46"/>
      <c r="K725" s="3" t="s">
        <v>2859</v>
      </c>
    </row>
    <row r="726" spans="1:30" ht="18.399999999999999" customHeight="1" x14ac:dyDescent="0.15">
      <c r="A726" s="42" t="s">
        <v>2859</v>
      </c>
      <c r="B726" s="3"/>
      <c r="C726" s="46"/>
      <c r="K726" s="3" t="s">
        <v>2859</v>
      </c>
    </row>
    <row r="727" spans="1:30" ht="18.399999999999999" customHeight="1" x14ac:dyDescent="0.15">
      <c r="A727" s="42" t="s">
        <v>2758</v>
      </c>
      <c r="B727" s="3"/>
      <c r="C727" s="46"/>
      <c r="K727" s="3" t="s">
        <v>324</v>
      </c>
    </row>
    <row r="728" spans="1:30" ht="18.399999999999999" customHeight="1" x14ac:dyDescent="0.15">
      <c r="A728" s="43"/>
      <c r="B728" s="3"/>
      <c r="C728" s="46"/>
    </row>
    <row r="729" spans="1:30" ht="18.399999999999999" customHeight="1" x14ac:dyDescent="0.15">
      <c r="A729" s="42" t="s">
        <v>591</v>
      </c>
      <c r="B729" s="36">
        <v>1</v>
      </c>
      <c r="C729" s="46"/>
      <c r="G729" s="3" t="s">
        <v>2859</v>
      </c>
    </row>
    <row r="730" spans="1:30" ht="18.399999999999999" customHeight="1" x14ac:dyDescent="0.15">
      <c r="A730" s="42" t="s">
        <v>2859</v>
      </c>
      <c r="B730" s="3"/>
      <c r="C730" s="46"/>
      <c r="K730" s="3" t="s">
        <v>243</v>
      </c>
      <c r="AA730" s="40" t="s">
        <v>907</v>
      </c>
      <c r="AB730" s="10">
        <f>((31444*전역변수!C34)+(4778*전역변수!C34))*0.03</f>
        <v>1086.6599999999999</v>
      </c>
      <c r="AC730" s="40" t="s">
        <v>1545</v>
      </c>
      <c r="AD730" s="9">
        <f>$AB730</f>
        <v>1086.6599999999999</v>
      </c>
    </row>
    <row r="731" spans="1:30" ht="18.399999999999999" customHeight="1" x14ac:dyDescent="0.15">
      <c r="A731" s="42"/>
      <c r="B731" s="3"/>
      <c r="C731" s="46"/>
    </row>
    <row r="732" spans="1:30" ht="18.399999999999999" customHeight="1" thickBot="1" x14ac:dyDescent="0.2">
      <c r="A732" s="45"/>
      <c r="B732" s="5"/>
      <c r="C732" s="49"/>
    </row>
    <row r="733" spans="1:30" ht="18.399999999999999" customHeight="1" x14ac:dyDescent="0.15">
      <c r="A733" s="42"/>
      <c r="B733" s="3"/>
      <c r="C733" s="46"/>
    </row>
    <row r="734" spans="1:30" ht="18.399999999999999" customHeight="1" x14ac:dyDescent="0.15">
      <c r="A734" s="42" t="s">
        <v>251</v>
      </c>
      <c r="B734" s="36">
        <v>1</v>
      </c>
      <c r="C734" s="46" t="s">
        <v>2859</v>
      </c>
    </row>
    <row r="735" spans="1:30" ht="18.399999999999999" customHeight="1" x14ac:dyDescent="0.15">
      <c r="A735" s="43"/>
      <c r="B735" s="3"/>
      <c r="C735" s="46"/>
    </row>
    <row r="736" spans="1:30" ht="18.399999999999999" customHeight="1" x14ac:dyDescent="0.15">
      <c r="A736" s="42" t="s">
        <v>765</v>
      </c>
      <c r="B736" s="3"/>
      <c r="C736" s="46"/>
      <c r="G736" s="3" t="s">
        <v>2859</v>
      </c>
    </row>
    <row r="737" spans="1:34" ht="18.399999999999999" customHeight="1" x14ac:dyDescent="0.15">
      <c r="A737" s="42" t="s">
        <v>2859</v>
      </c>
      <c r="B737" s="3"/>
      <c r="C737" s="46"/>
      <c r="K737" s="3" t="s">
        <v>2859</v>
      </c>
    </row>
    <row r="738" spans="1:34" ht="18.399999999999999" customHeight="1" x14ac:dyDescent="0.15">
      <c r="A738" s="42" t="s">
        <v>970</v>
      </c>
      <c r="B738" s="3"/>
      <c r="C738" s="46"/>
      <c r="K738" s="3" t="s">
        <v>970</v>
      </c>
    </row>
    <row r="739" spans="1:34" ht="18.399999999999999" customHeight="1" x14ac:dyDescent="0.15">
      <c r="A739" s="42" t="s">
        <v>2859</v>
      </c>
      <c r="B739" s="3"/>
      <c r="C739" s="46"/>
      <c r="K739" s="3" t="s">
        <v>2859</v>
      </c>
    </row>
    <row r="740" spans="1:34" ht="18.399999999999999" customHeight="1" x14ac:dyDescent="0.15">
      <c r="A740" s="44" t="str">
        <f>CONCATENATE("          1.0 * 1.04 * 1.15  / 1.075 = ","qty m3")</f>
        <v xml:space="preserve">          1.0 * 1.04 * 1.15  / 1.075 = qty m3</v>
      </c>
      <c r="B740" s="3">
        <f>$AB740</f>
        <v>1.1126</v>
      </c>
      <c r="C740" s="46"/>
      <c r="K740" s="3" t="s">
        <v>2716</v>
      </c>
      <c r="AA740" s="39" t="s">
        <v>1268</v>
      </c>
      <c r="AB740" s="10">
        <f>ROUND(1*1.04*1.15/1.075,4)</f>
        <v>1.1126</v>
      </c>
      <c r="AC740" s="39" t="s">
        <v>2080</v>
      </c>
      <c r="AD740" s="9">
        <f>$AB740</f>
        <v>1.1126</v>
      </c>
    </row>
    <row r="741" spans="1:34" ht="18.399999999999999" customHeight="1" x14ac:dyDescent="0.15">
      <c r="A741" s="43"/>
      <c r="B741" s="3"/>
      <c r="C741" s="46"/>
    </row>
    <row r="742" spans="1:34" ht="18.399999999999999" customHeight="1" x14ac:dyDescent="0.15">
      <c r="A742" s="42" t="s">
        <v>345</v>
      </c>
      <c r="B742" s="3"/>
      <c r="C742" s="46"/>
      <c r="G742" s="3" t="s">
        <v>2859</v>
      </c>
    </row>
    <row r="743" spans="1:34" ht="18.399999999999999" customHeight="1" x14ac:dyDescent="0.15">
      <c r="A743" s="42" t="s">
        <v>2859</v>
      </c>
      <c r="B743" s="3"/>
      <c r="C743" s="46"/>
      <c r="K743" s="3" t="s">
        <v>2859</v>
      </c>
    </row>
    <row r="744" spans="1:34" ht="18.399999999999999" customHeight="1" x14ac:dyDescent="0.15">
      <c r="A744" s="42" t="s">
        <v>1613</v>
      </c>
      <c r="B744" s="3"/>
      <c r="C744" s="46"/>
      <c r="K744" s="3" t="s">
        <v>1613</v>
      </c>
    </row>
    <row r="745" spans="1:34" ht="18.399999999999999" customHeight="1" x14ac:dyDescent="0.15">
      <c r="A745" s="42" t="s">
        <v>870</v>
      </c>
      <c r="B745" s="3"/>
      <c r="C745" s="46"/>
      <c r="K745" s="3" t="s">
        <v>196</v>
      </c>
    </row>
    <row r="746" spans="1:34" ht="18.399999999999999" customHeight="1" x14ac:dyDescent="0.15">
      <c r="A746" s="42" t="s">
        <v>2859</v>
      </c>
      <c r="B746" s="3"/>
      <c r="C746" s="46"/>
      <c r="K746" s="3" t="s">
        <v>2859</v>
      </c>
    </row>
    <row r="747" spans="1:34" ht="18.399999999999999" customHeight="1" x14ac:dyDescent="0.15">
      <c r="A747" s="42" t="s">
        <v>1625</v>
      </c>
      <c r="B747" s="3"/>
      <c r="C747" s="46"/>
      <c r="K747" s="3" t="s">
        <v>2722</v>
      </c>
    </row>
    <row r="748" spans="1:34" ht="18.399999999999999" customHeight="1" x14ac:dyDescent="0.15">
      <c r="A748" s="42" t="s">
        <v>2859</v>
      </c>
      <c r="B748" s="3"/>
      <c r="C748" s="46"/>
      <c r="K748" s="3" t="s">
        <v>2859</v>
      </c>
    </row>
    <row r="749" spans="1:34" ht="18.399999999999999" customHeight="1" x14ac:dyDescent="0.15">
      <c r="A749" s="44" t="str">
        <f>CONCATENATE("          qo=",TEXT($AB749,"#,##0.00")," m3 , K=",TEXT($AF749,"#,##0.0"))</f>
        <v xml:space="preserve">          qo=1.72 m3 , K=1.0</v>
      </c>
      <c r="B749" s="3"/>
      <c r="C749" s="46"/>
      <c r="K749" s="12" t="str">
        <f>SUBSTITUTE(SUBSTITUTE(SUBSTITUTE("          qo = 1.72_x001D_m3_x001D_, K = 1.0","1.72",TEXT($AB749,"#,##0.00"),1),"1.0",TEXT($AF749,"#,##0.0"),1),"_x001D_","'")</f>
        <v xml:space="preserve">          qo = 1.72'm3', K = 1.0</v>
      </c>
      <c r="AA749" s="39" t="s">
        <v>1136</v>
      </c>
      <c r="AB749" s="8">
        <v>1.72</v>
      </c>
      <c r="AC749" s="39" t="s">
        <v>1136</v>
      </c>
      <c r="AD749" s="9">
        <f>$AB749</f>
        <v>1.72</v>
      </c>
      <c r="AE749" s="39" t="s">
        <v>806</v>
      </c>
      <c r="AF749" s="8">
        <v>1</v>
      </c>
      <c r="AG749" s="39" t="s">
        <v>806</v>
      </c>
      <c r="AH749" s="9">
        <f>$AF749</f>
        <v>1</v>
      </c>
    </row>
    <row r="750" spans="1:34" ht="18.399999999999999" customHeight="1" x14ac:dyDescent="0.15">
      <c r="A750" s="42" t="s">
        <v>2859</v>
      </c>
      <c r="B750" s="3"/>
      <c r="C750" s="46"/>
      <c r="K750" s="3" t="s">
        <v>2859</v>
      </c>
    </row>
    <row r="751" spans="1:34" ht="18.399999999999999" customHeight="1" x14ac:dyDescent="0.15">
      <c r="A751" s="44" t="str">
        <f>CONCATENATE("          f  = C / L = 1.075 / 1.15 =  ",TEXT($AF751,"#,##0.00"))</f>
        <v xml:space="preserve">          f  = C / L = 1.075 / 1.15 =  0.93</v>
      </c>
      <c r="B751" s="3"/>
      <c r="C751" s="46"/>
      <c r="K751" s="3" t="s">
        <v>2146</v>
      </c>
      <c r="AA751" s="39" t="s">
        <v>1802</v>
      </c>
      <c r="AB751" s="10">
        <f>ROUND(1.075/1.15,2)</f>
        <v>0.93</v>
      </c>
      <c r="AC751" s="39" t="s">
        <v>1652</v>
      </c>
      <c r="AD751" s="9">
        <f>$AB751</f>
        <v>0.93</v>
      </c>
      <c r="AE751" s="39" t="s">
        <v>903</v>
      </c>
      <c r="AF751" s="10">
        <f>ROUND(ROUND(1.075/1.15,2),2)</f>
        <v>0.93</v>
      </c>
      <c r="AG751" s="39" t="s">
        <v>1863</v>
      </c>
      <c r="AH751" s="9">
        <f>$AF751</f>
        <v>0.93</v>
      </c>
    </row>
    <row r="752" spans="1:34" ht="18.399999999999999" customHeight="1" x14ac:dyDescent="0.15">
      <c r="A752" s="42" t="s">
        <v>2859</v>
      </c>
      <c r="B752" s="3"/>
      <c r="C752" s="46"/>
      <c r="K752" s="3" t="s">
        <v>2859</v>
      </c>
    </row>
    <row r="753" spans="1:54" ht="18.399999999999999" customHeight="1" x14ac:dyDescent="0.15">
      <c r="A753" s="44" t="str">
        <f>CONCATENATE("          E=",TEXT($AB753,"#,##0.00"))</f>
        <v xml:space="preserve">          E=0.60</v>
      </c>
      <c r="B753" s="3"/>
      <c r="C753" s="46"/>
      <c r="K753" s="12" t="str">
        <f>SUBSTITUTE(SUBSTITUTE("          E  = 0.60","0.60",TEXT($AB753,"#,##0.00"),1),"_x001D_","'")</f>
        <v xml:space="preserve">          E  = 0.60</v>
      </c>
      <c r="AA753" s="39" t="s">
        <v>1383</v>
      </c>
      <c r="AB753" s="8">
        <v>0.6</v>
      </c>
      <c r="AC753" s="39" t="s">
        <v>1383</v>
      </c>
      <c r="AD753" s="9">
        <f>$AB753</f>
        <v>0.6</v>
      </c>
    </row>
    <row r="754" spans="1:54" ht="18.399999999999999" customHeight="1" x14ac:dyDescent="0.15">
      <c r="A754" s="42" t="s">
        <v>2859</v>
      </c>
      <c r="B754" s="3"/>
      <c r="C754" s="46"/>
      <c r="K754" s="3" t="s">
        <v>2859</v>
      </c>
    </row>
    <row r="755" spans="1:54" ht="18.399999999999999" customHeight="1" x14ac:dyDescent="0.15">
      <c r="A755" s="44" t="str">
        <f>CONCATENATE("          Cm = 1.8 * 8 + 9 + 14 = ",TEXT($AF755,"#,##0.00")," sec")</f>
        <v xml:space="preserve">          Cm = 1.8 * 8 + 9 + 14 = 37.40 sec</v>
      </c>
      <c r="B755" s="3"/>
      <c r="C755" s="46"/>
      <c r="K755" s="3" t="s">
        <v>958</v>
      </c>
      <c r="AA755" s="39" t="s">
        <v>2302</v>
      </c>
      <c r="AB755" s="10">
        <f>ROUND(1.8*8+9+14,2)</f>
        <v>37.4</v>
      </c>
      <c r="AC755" s="39" t="s">
        <v>139</v>
      </c>
      <c r="AD755" s="9">
        <f>$AB755</f>
        <v>37.4</v>
      </c>
      <c r="AE755" s="39" t="s">
        <v>1053</v>
      </c>
      <c r="AF755" s="10">
        <f>ROUND(ROUND(1.8*8+9+14,2),2)</f>
        <v>37.4</v>
      </c>
      <c r="AG755" s="39" t="s">
        <v>924</v>
      </c>
      <c r="AH755" s="9">
        <f>$AF755</f>
        <v>37.4</v>
      </c>
    </row>
    <row r="756" spans="1:54" ht="18.399999999999999" customHeight="1" x14ac:dyDescent="0.15">
      <c r="A756" s="42" t="s">
        <v>2859</v>
      </c>
      <c r="B756" s="3"/>
      <c r="C756" s="46"/>
      <c r="K756" s="3" t="s">
        <v>2859</v>
      </c>
    </row>
    <row r="757" spans="1:54" ht="18.399999999999999" customHeight="1" x14ac:dyDescent="0.15">
      <c r="A757" s="44" t="str">
        <f>CONCATENATE("      Q = 3600 * ",TEXT($AB757,"#,##0.00")," * ",TEXT($AF757,"#,##0.00")," * ",TEXT($AJ757,"#,##0.00")," * ",TEXT($AN757,"#,##0.00")," / ",TEXT($AR757,"#,##0.00")," = ",TEXT($AZ757,"#,##0.00")," m3/hr")</f>
        <v xml:space="preserve">      Q = 3600 * 1.72 * 0.93 * 1.00 * 0.60 / 37.40 = 92.38 m3/hr</v>
      </c>
      <c r="B757" s="3"/>
      <c r="C757" s="46"/>
      <c r="K757" s="3" t="s">
        <v>594</v>
      </c>
      <c r="AA757" s="39" t="s">
        <v>2449</v>
      </c>
      <c r="AB757" s="10">
        <f>$AD749</f>
        <v>1.72</v>
      </c>
      <c r="AC757" s="39" t="s">
        <v>499</v>
      </c>
      <c r="AD757" s="9">
        <f>$AB757</f>
        <v>1.72</v>
      </c>
      <c r="AE757" s="39" t="s">
        <v>116</v>
      </c>
      <c r="AF757" s="10">
        <f>$AD751</f>
        <v>0.93</v>
      </c>
      <c r="AG757" s="39" t="s">
        <v>2138</v>
      </c>
      <c r="AH757" s="9">
        <f>$AF757</f>
        <v>0.93</v>
      </c>
      <c r="AI757" s="39" t="s">
        <v>2070</v>
      </c>
      <c r="AJ757" s="10">
        <f>$AH749</f>
        <v>1</v>
      </c>
      <c r="AK757" s="39" t="s">
        <v>1830</v>
      </c>
      <c r="AL757" s="9">
        <f>$AJ757</f>
        <v>1</v>
      </c>
      <c r="AM757" s="39" t="s">
        <v>1883</v>
      </c>
      <c r="AN757" s="10">
        <f>$AD753</f>
        <v>0.6</v>
      </c>
      <c r="AO757" s="39" t="s">
        <v>311</v>
      </c>
      <c r="AP757" s="9">
        <f>$AN757</f>
        <v>0.6</v>
      </c>
      <c r="AQ757" s="39" t="s">
        <v>268</v>
      </c>
      <c r="AR757" s="10">
        <f>$AD755</f>
        <v>37.4</v>
      </c>
      <c r="AS757" s="39" t="s">
        <v>1373</v>
      </c>
      <c r="AT757" s="9">
        <f>$AR757</f>
        <v>37.4</v>
      </c>
      <c r="AU757" s="39" t="s">
        <v>504</v>
      </c>
      <c r="AV757" s="10">
        <f>ROUND(3600*$AD757*$AH757*$AL757*$AP757/$AT757,2)</f>
        <v>92.38</v>
      </c>
      <c r="AW757" s="39" t="s">
        <v>1972</v>
      </c>
      <c r="AX757" s="9">
        <f>$AV757</f>
        <v>92.38</v>
      </c>
      <c r="AY757" s="39" t="s">
        <v>2235</v>
      </c>
      <c r="AZ757" s="10">
        <f>ROUND(ROUND(3600*$AD757*$AH757*$AL757*$AP757/$AT757,2),2)</f>
        <v>92.38</v>
      </c>
      <c r="BA757" s="39" t="s">
        <v>1673</v>
      </c>
      <c r="BB757" s="9">
        <f>$AZ757</f>
        <v>92.38</v>
      </c>
    </row>
    <row r="758" spans="1:54" ht="18.399999999999999" customHeight="1" x14ac:dyDescent="0.15">
      <c r="A758" s="42" t="s">
        <v>2859</v>
      </c>
      <c r="B758" s="3"/>
      <c r="C758" s="46"/>
      <c r="K758" s="3" t="s">
        <v>2859</v>
      </c>
    </row>
    <row r="759" spans="1:54" ht="18.399999999999999" customHeight="1" x14ac:dyDescent="0.15">
      <c r="A759" s="44" t="str">
        <f>CONCATENATE("          1 / Q  =  ","qty hr/m3")</f>
        <v xml:space="preserve">          1 / Q  =  qty hr/m3</v>
      </c>
      <c r="B759" s="3">
        <f>$AB759</f>
        <v>1.0800000000000001E-2</v>
      </c>
      <c r="C759" s="46"/>
      <c r="K759" s="3" t="s">
        <v>1094</v>
      </c>
      <c r="AA759" s="39" t="s">
        <v>1268</v>
      </c>
      <c r="AB759" s="10">
        <f>ROUND(1/$AX757,4)</f>
        <v>1.0800000000000001E-2</v>
      </c>
      <c r="AC759" s="39" t="s">
        <v>2080</v>
      </c>
      <c r="AD759" s="9">
        <f>$AB759</f>
        <v>1.0800000000000001E-2</v>
      </c>
    </row>
    <row r="760" spans="1:54" ht="18.399999999999999" customHeight="1" x14ac:dyDescent="0.15">
      <c r="A760" s="43"/>
      <c r="B760" s="3"/>
      <c r="C760" s="46"/>
    </row>
    <row r="761" spans="1:54" ht="18.399999999999999" customHeight="1" x14ac:dyDescent="0.15">
      <c r="A761" s="42" t="s">
        <v>792</v>
      </c>
      <c r="B761" s="3"/>
      <c r="C761" s="46"/>
      <c r="G761" s="3" t="s">
        <v>2859</v>
      </c>
    </row>
    <row r="762" spans="1:54" ht="18.399999999999999" customHeight="1" x14ac:dyDescent="0.15">
      <c r="A762" s="42" t="s">
        <v>2859</v>
      </c>
      <c r="B762" s="3"/>
      <c r="C762" s="46"/>
      <c r="K762" s="3" t="s">
        <v>2859</v>
      </c>
    </row>
    <row r="763" spans="1:54" ht="18.399999999999999" customHeight="1" x14ac:dyDescent="0.15">
      <c r="A763" s="42" t="s">
        <v>2628</v>
      </c>
      <c r="B763" s="3"/>
      <c r="C763" s="46"/>
      <c r="K763" s="3" t="s">
        <v>2628</v>
      </c>
    </row>
    <row r="764" spans="1:54" ht="18.399999999999999" customHeight="1" x14ac:dyDescent="0.15">
      <c r="A764" s="42" t="s">
        <v>2623</v>
      </c>
      <c r="B764" s="3"/>
      <c r="C764" s="46"/>
      <c r="K764" s="3" t="s">
        <v>1234</v>
      </c>
    </row>
    <row r="765" spans="1:54" ht="18.399999999999999" customHeight="1" x14ac:dyDescent="0.15">
      <c r="A765" s="42" t="s">
        <v>2859</v>
      </c>
      <c r="B765" s="3"/>
      <c r="C765" s="46"/>
      <c r="K765" s="3" t="s">
        <v>2859</v>
      </c>
    </row>
    <row r="766" spans="1:54" ht="18.399999999999999" customHeight="1" x14ac:dyDescent="0.15">
      <c r="A766" s="44" t="str">
        <f>CONCATENATE("          L=",TEXT($AB766,"#,##0.00")," km")</f>
        <v xml:space="preserve">          L=2.10 km</v>
      </c>
      <c r="B766" s="3"/>
      <c r="C766" s="46"/>
      <c r="K766" s="12" t="str">
        <f>SUBSTITUTE(SUBSTITUTE("          L = 2.10_x001D_km_x001D_","2.10",TEXT($AB766,"#,##0.00"),1),"_x001D_","'")</f>
        <v xml:space="preserve">          L = 2.10'km'</v>
      </c>
      <c r="AA766" s="39" t="s">
        <v>2704</v>
      </c>
      <c r="AB766" s="8">
        <v>2.1</v>
      </c>
      <c r="AC766" s="39" t="s">
        <v>2704</v>
      </c>
      <c r="AD766" s="9">
        <f>$AB766</f>
        <v>2.1</v>
      </c>
    </row>
    <row r="767" spans="1:54" ht="18.399999999999999" customHeight="1" x14ac:dyDescent="0.15">
      <c r="A767" s="42" t="s">
        <v>2859</v>
      </c>
      <c r="B767" s="3"/>
      <c r="C767" s="46"/>
      <c r="K767" s="3" t="s">
        <v>2859</v>
      </c>
    </row>
    <row r="768" spans="1:54" ht="18.399999999999999" customHeight="1" x14ac:dyDescent="0.15">
      <c r="A768" s="42" t="s">
        <v>27</v>
      </c>
      <c r="B768" s="3"/>
      <c r="C768" s="46"/>
      <c r="K768" s="3" t="s">
        <v>621</v>
      </c>
    </row>
    <row r="769" spans="1:54" ht="18.399999999999999" customHeight="1" x14ac:dyDescent="0.15">
      <c r="A769" s="42" t="s">
        <v>2859</v>
      </c>
      <c r="B769" s="3"/>
      <c r="C769" s="46"/>
      <c r="K769" s="3" t="s">
        <v>2859</v>
      </c>
    </row>
    <row r="770" spans="1:54" ht="18.399999999999999" customHeight="1" x14ac:dyDescent="0.15">
      <c r="A770" s="44" t="str">
        <f>CONCATENATE("          qo = T / rt * L = 15 / 1.7 * 1.15 = ",TEXT($AF770,"#,##0.00")," m3")</f>
        <v xml:space="preserve">          qo = T / rt * L = 15 / 1.7 * 1.15 = 10.15 m3</v>
      </c>
      <c r="B770" s="3"/>
      <c r="C770" s="46"/>
      <c r="K770" s="3" t="s">
        <v>61</v>
      </c>
      <c r="AA770" s="39" t="s">
        <v>684</v>
      </c>
      <c r="AB770" s="10">
        <f>ROUND(15/1.7*1.15,2)</f>
        <v>10.15</v>
      </c>
      <c r="AC770" s="39" t="s">
        <v>1136</v>
      </c>
      <c r="AD770" s="9">
        <f>$AB770</f>
        <v>10.15</v>
      </c>
      <c r="AE770" s="39" t="s">
        <v>487</v>
      </c>
      <c r="AF770" s="10">
        <f>ROUND(ROUND(15/1.7*1.15,2),2)</f>
        <v>10.15</v>
      </c>
      <c r="AG770" s="39" t="s">
        <v>1955</v>
      </c>
      <c r="AH770" s="9">
        <f>$AF770</f>
        <v>10.15</v>
      </c>
    </row>
    <row r="771" spans="1:54" ht="18.399999999999999" customHeight="1" x14ac:dyDescent="0.15">
      <c r="A771" s="42" t="s">
        <v>2859</v>
      </c>
      <c r="B771" s="3"/>
      <c r="C771" s="46"/>
      <c r="K771" s="3" t="s">
        <v>2859</v>
      </c>
    </row>
    <row r="772" spans="1:54" ht="18.399999999999999" customHeight="1" x14ac:dyDescent="0.15">
      <c r="A772" s="44" t="str">
        <f>CONCATENATE("          f  = 1.075 / 1.15 = ",TEXT($AF772,"#,##0.00")," ,  E=",TEXT($AJ772,"#,##0.00"))</f>
        <v xml:space="preserve">          f  = 1.075 / 1.15 = 0.93 ,  E=0.90</v>
      </c>
      <c r="B772" s="3"/>
      <c r="C772" s="46"/>
      <c r="K772" s="12" t="str">
        <f>SUBSTITUTE(SUBSTITUTE("          f  = 1.075 / 1.15 = {?,_x001D_9.9R_x001D_} ,  E  = 0.90","0.90",TEXT($AJ772,"#,##0.00"),1),"_x001D_","'")</f>
        <v xml:space="preserve">          f  = 1.075 / 1.15 = {?,'9.9R'} ,  E  = 0.90</v>
      </c>
      <c r="AA772" s="39" t="s">
        <v>1802</v>
      </c>
      <c r="AB772" s="10">
        <f>ROUND(1.075/1.15,2)</f>
        <v>0.93</v>
      </c>
      <c r="AC772" s="39" t="s">
        <v>1652</v>
      </c>
      <c r="AD772" s="9">
        <f>$AB772</f>
        <v>0.93</v>
      </c>
      <c r="AE772" s="39" t="s">
        <v>1861</v>
      </c>
      <c r="AF772" s="10">
        <f>ROUND(ROUND(1.075/1.15,2),2)</f>
        <v>0.93</v>
      </c>
      <c r="AG772" s="39" t="s">
        <v>2275</v>
      </c>
      <c r="AH772" s="9">
        <f>$AF772</f>
        <v>0.93</v>
      </c>
      <c r="AI772" s="39" t="s">
        <v>1383</v>
      </c>
      <c r="AJ772" s="8">
        <v>0.9</v>
      </c>
      <c r="AK772" s="39" t="s">
        <v>1383</v>
      </c>
      <c r="AL772" s="9">
        <f>$AJ772</f>
        <v>0.9</v>
      </c>
    </row>
    <row r="773" spans="1:54" ht="18.399999999999999" customHeight="1" x14ac:dyDescent="0.15">
      <c r="A773" s="42" t="s">
        <v>2859</v>
      </c>
      <c r="B773" s="3"/>
      <c r="C773" s="46"/>
      <c r="K773" s="3" t="s">
        <v>2859</v>
      </c>
    </row>
    <row r="774" spans="1:54" ht="18.399999999999999" customHeight="1" x14ac:dyDescent="0.15">
      <c r="A774" s="44" t="str">
        <f>CONCATENATE("          N = qo / (1.72 * 1.0) = ",TEXT($AF774,"#,##0.00"))</f>
        <v xml:space="preserve">          N = qo / (1.72 * 1.0) = 5.90</v>
      </c>
      <c r="B774" s="3"/>
      <c r="C774" s="46"/>
      <c r="K774" s="3" t="s">
        <v>908</v>
      </c>
      <c r="AA774" s="39" t="s">
        <v>1127</v>
      </c>
      <c r="AB774" s="10">
        <f>ROUND($AD770/(1.72*1),2)</f>
        <v>5.9</v>
      </c>
      <c r="AC774" s="39" t="s">
        <v>1395</v>
      </c>
      <c r="AD774" s="9">
        <f>$AB774</f>
        <v>5.9</v>
      </c>
      <c r="AE774" s="39" t="s">
        <v>372</v>
      </c>
      <c r="AF774" s="10">
        <f>ROUND(ROUND($AD770/(1.72*1),2),2)</f>
        <v>5.9</v>
      </c>
      <c r="AG774" s="39" t="s">
        <v>819</v>
      </c>
      <c r="AH774" s="9">
        <f>$AF774</f>
        <v>5.9</v>
      </c>
    </row>
    <row r="775" spans="1:54" ht="18.399999999999999" customHeight="1" x14ac:dyDescent="0.15">
      <c r="A775" s="42" t="s">
        <v>2859</v>
      </c>
      <c r="B775" s="3"/>
      <c r="C775" s="46"/>
      <c r="K775" s="3" t="s">
        <v>2859</v>
      </c>
    </row>
    <row r="776" spans="1:54" ht="18.399999999999999" customHeight="1" x14ac:dyDescent="0.15">
      <c r="A776" s="44" t="str">
        <f>CONCATENATE("          t1 = (N * 37.4) / (60 * 0.60) = ",TEXT($AF776,"#,##0.00")," min")</f>
        <v xml:space="preserve">          t1 = (N * 37.4) / (60 * 0.60) = 6.13 min</v>
      </c>
      <c r="B776" s="3"/>
      <c r="C776" s="46"/>
      <c r="K776" s="3" t="s">
        <v>1597</v>
      </c>
      <c r="AA776" s="39" t="s">
        <v>366</v>
      </c>
      <c r="AB776" s="10">
        <f>ROUND(($AD774*37.4)/(60*0.6),2)</f>
        <v>6.13</v>
      </c>
      <c r="AC776" s="39" t="s">
        <v>2079</v>
      </c>
      <c r="AD776" s="9">
        <f>$AB776</f>
        <v>6.13</v>
      </c>
      <c r="AE776" s="39" t="s">
        <v>1829</v>
      </c>
      <c r="AF776" s="10">
        <f>ROUND(ROUND(($AD774*37.4)/(60*0.6),2),2)</f>
        <v>6.13</v>
      </c>
      <c r="AG776" s="39" t="s">
        <v>583</v>
      </c>
      <c r="AH776" s="9">
        <f>$AF776</f>
        <v>6.13</v>
      </c>
    </row>
    <row r="777" spans="1:54" ht="18.399999999999999" customHeight="1" x14ac:dyDescent="0.15">
      <c r="A777" s="42" t="s">
        <v>2859</v>
      </c>
      <c r="B777" s="3"/>
      <c r="C777" s="46"/>
      <c r="K777" s="3" t="s">
        <v>2859</v>
      </c>
    </row>
    <row r="778" spans="1:54" ht="18.399999999999999" customHeight="1" x14ac:dyDescent="0.15">
      <c r="A778" s="44" t="str">
        <f>CONCATENATE("          t2 = ((0.1/7 + 0.1/8) + (1.0/25 + 1.0/30) + (1/35 * 2)) * 60 = ",TEXT($AF778,"#,##0.00")," min")</f>
        <v xml:space="preserve">          t2 = ((0.1/7 + 0.1/8) + (1.0/25 + 1.0/30) + (1/35 * 2)) * 60 = 9.44 min</v>
      </c>
      <c r="B778" s="3"/>
      <c r="C778" s="46"/>
      <c r="K778" s="3" t="s">
        <v>2158</v>
      </c>
      <c r="AA778" s="39" t="s">
        <v>2737</v>
      </c>
      <c r="AB778" s="10">
        <f>ROUND(((0.1/7+0.1/8)+(1/25+1/30)+(1/35*2))*60,2)</f>
        <v>9.44</v>
      </c>
      <c r="AC778" s="39" t="s">
        <v>953</v>
      </c>
      <c r="AD778" s="9">
        <f>$AB778</f>
        <v>9.44</v>
      </c>
      <c r="AE778" s="39" t="s">
        <v>578</v>
      </c>
      <c r="AF778" s="10">
        <f>ROUND(ROUND(((0.1/7+0.1/8)+(1/25+1/30)+(1/35*2))*60,2),2)</f>
        <v>9.44</v>
      </c>
      <c r="AG778" s="39" t="s">
        <v>56</v>
      </c>
      <c r="AH778" s="9">
        <f>$AF778</f>
        <v>9.44</v>
      </c>
    </row>
    <row r="779" spans="1:54" ht="18.399999999999999" customHeight="1" x14ac:dyDescent="0.15">
      <c r="A779" s="42" t="s">
        <v>2859</v>
      </c>
      <c r="B779" s="3"/>
      <c r="C779" s="46"/>
      <c r="K779" s="3" t="s">
        <v>2859</v>
      </c>
    </row>
    <row r="780" spans="1:54" ht="18.399999999999999" customHeight="1" x14ac:dyDescent="0.15">
      <c r="A780" s="44" t="str">
        <f>CONCATENATE("          t3=",TEXT($AB780,"#,##0.00")," min ,  t4=",TEXT($AF780,"#,##0.00")," min. , t5=",TEXT($AJ780,"#,##0.0")," min")</f>
        <v xml:space="preserve">          t3=0.80 min ,  t4=0.42 min. , t5=0.5 min</v>
      </c>
      <c r="B780" s="3"/>
      <c r="C780" s="46"/>
      <c r="K780" s="12" t="str">
        <f>SUBSTITUTE(SUBSTITUTE(SUBSTITUTE(SUBSTITUTE("          t3 = 0.80_x001D_min_x001D_,  t4 = 0.42_x001D_min._x001D_, t5 = 0.5_x001D_min_x001D_","0.80",TEXT($AB780,"#,##0.00"),1),"0.42",TEXT($AF780,"#,##0.00"),1),"0.5",TEXT($AJ780,"#,##0.0"),1),"_x001D_","'")</f>
        <v xml:space="preserve">          t3 = 0.80'min',  t4 = 0.42'min.', t5 = 0.5'min'</v>
      </c>
      <c r="AA780" s="39" t="s">
        <v>511</v>
      </c>
      <c r="AB780" s="8">
        <v>0.8</v>
      </c>
      <c r="AC780" s="39" t="s">
        <v>511</v>
      </c>
      <c r="AD780" s="9">
        <f>$AB780</f>
        <v>0.8</v>
      </c>
      <c r="AE780" s="39" t="s">
        <v>1531</v>
      </c>
      <c r="AF780" s="8">
        <v>0.42</v>
      </c>
      <c r="AG780" s="39" t="s">
        <v>1531</v>
      </c>
      <c r="AH780" s="9">
        <f>$AF780</f>
        <v>0.42</v>
      </c>
      <c r="AI780" s="39" t="s">
        <v>2650</v>
      </c>
      <c r="AJ780" s="8">
        <v>0.5</v>
      </c>
      <c r="AK780" s="39" t="s">
        <v>2650</v>
      </c>
      <c r="AL780" s="9">
        <f>$AJ780</f>
        <v>0.5</v>
      </c>
    </row>
    <row r="781" spans="1:54" ht="18.399999999999999" customHeight="1" x14ac:dyDescent="0.15">
      <c r="A781" s="42" t="s">
        <v>2859</v>
      </c>
      <c r="B781" s="3"/>
      <c r="C781" s="46"/>
      <c r="K781" s="3" t="s">
        <v>2859</v>
      </c>
    </row>
    <row r="782" spans="1:54" ht="18.399999999999999" customHeight="1" x14ac:dyDescent="0.15">
      <c r="A782" s="44" t="str">
        <f>CONCATENATE("          Cm = ",TEXT($AB782,"#,##0.00")," + ",TEXT($AF782,"#,##0.00")," + ",TEXT($AJ782,"#,##0.00")," + ",TEXT($AN782,"#,##0.00")," + ",TEXT($AR782,"#,##0.00")," = ",TEXT($AZ782,"#,##0.00")," min")</f>
        <v xml:space="preserve">          Cm = 6.13 + 9.44 + 0.80 + 0.42 + 0.50 = 17.29 min</v>
      </c>
      <c r="B782" s="3"/>
      <c r="C782" s="46"/>
      <c r="K782" s="3" t="s">
        <v>2784</v>
      </c>
      <c r="AA782" s="39" t="s">
        <v>401</v>
      </c>
      <c r="AB782" s="10">
        <f>$AD776</f>
        <v>6.13</v>
      </c>
      <c r="AC782" s="39" t="s">
        <v>303</v>
      </c>
      <c r="AD782" s="9">
        <f>$AB782</f>
        <v>6.13</v>
      </c>
      <c r="AE782" s="39" t="s">
        <v>2768</v>
      </c>
      <c r="AF782" s="10">
        <f>$AD778</f>
        <v>9.44</v>
      </c>
      <c r="AG782" s="39" t="s">
        <v>2731</v>
      </c>
      <c r="AH782" s="9">
        <f>$AF782</f>
        <v>9.44</v>
      </c>
      <c r="AI782" s="39" t="s">
        <v>767</v>
      </c>
      <c r="AJ782" s="10">
        <f>$AD780</f>
        <v>0.8</v>
      </c>
      <c r="AK782" s="39" t="s">
        <v>1680</v>
      </c>
      <c r="AL782" s="9">
        <f>$AJ782</f>
        <v>0.8</v>
      </c>
      <c r="AM782" s="39" t="s">
        <v>959</v>
      </c>
      <c r="AN782" s="10">
        <f>$AH780</f>
        <v>0.42</v>
      </c>
      <c r="AO782" s="39" t="s">
        <v>493</v>
      </c>
      <c r="AP782" s="9">
        <f>$AN782</f>
        <v>0.42</v>
      </c>
      <c r="AQ782" s="39" t="s">
        <v>2577</v>
      </c>
      <c r="AR782" s="10">
        <f>$AL780</f>
        <v>0.5</v>
      </c>
      <c r="AS782" s="39" t="s">
        <v>831</v>
      </c>
      <c r="AT782" s="9">
        <f>$AR782</f>
        <v>0.5</v>
      </c>
      <c r="AU782" s="39" t="s">
        <v>2302</v>
      </c>
      <c r="AV782" s="10">
        <f>ROUND($AD782+$AH782+$AL782+$AP782+$AT782,2)</f>
        <v>17.29</v>
      </c>
      <c r="AW782" s="39" t="s">
        <v>139</v>
      </c>
      <c r="AX782" s="9">
        <f>$AV782</f>
        <v>17.29</v>
      </c>
      <c r="AY782" s="39" t="s">
        <v>566</v>
      </c>
      <c r="AZ782" s="10">
        <f>ROUND(ROUND($AD782+$AH782+$AL782+$AP782+$AT782,2),2)</f>
        <v>17.29</v>
      </c>
      <c r="BA782" s="39" t="s">
        <v>1839</v>
      </c>
      <c r="BB782" s="9">
        <f>$AZ782</f>
        <v>17.29</v>
      </c>
    </row>
    <row r="783" spans="1:54" ht="18.399999999999999" customHeight="1" x14ac:dyDescent="0.15">
      <c r="A783" s="42" t="s">
        <v>2859</v>
      </c>
      <c r="B783" s="3"/>
      <c r="C783" s="46"/>
      <c r="K783" s="3" t="s">
        <v>2859</v>
      </c>
    </row>
    <row r="784" spans="1:54" ht="18.399999999999999" customHeight="1" x14ac:dyDescent="0.15">
      <c r="A784" s="44" t="str">
        <f>CONCATENATE("      Q = 60 * ",TEXT($AB784,"#,##0.00")," * ",TEXT($AF784,"#,##0.00")," * ",TEXT($AJ784,"#,##0.00")," / ",TEXT($AN784,"#,##0.00")," = ",TEXT($AV784,"#,##0.00")," m3/hr")</f>
        <v xml:space="preserve">      Q = 60 * 10.15 * 0.93 * 0.90 / 17.29 = 29.48 m3/hr</v>
      </c>
      <c r="B784" s="3"/>
      <c r="C784" s="46"/>
      <c r="K784" s="3" t="s">
        <v>2571</v>
      </c>
      <c r="AA784" s="39" t="s">
        <v>1939</v>
      </c>
      <c r="AB784" s="10">
        <f>$AD770</f>
        <v>10.15</v>
      </c>
      <c r="AC784" s="39" t="s">
        <v>1729</v>
      </c>
      <c r="AD784" s="9">
        <f>$AB784</f>
        <v>10.15</v>
      </c>
      <c r="AE784" s="39" t="s">
        <v>1432</v>
      </c>
      <c r="AF784" s="10">
        <f>$AD772</f>
        <v>0.93</v>
      </c>
      <c r="AG784" s="39" t="s">
        <v>1326</v>
      </c>
      <c r="AH784" s="9">
        <f>$AF784</f>
        <v>0.93</v>
      </c>
      <c r="AI784" s="39" t="s">
        <v>2301</v>
      </c>
      <c r="AJ784" s="10">
        <f>$AL772</f>
        <v>0.9</v>
      </c>
      <c r="AK784" s="39" t="s">
        <v>162</v>
      </c>
      <c r="AL784" s="9">
        <f>$AJ784</f>
        <v>0.9</v>
      </c>
      <c r="AM784" s="39" t="s">
        <v>2526</v>
      </c>
      <c r="AN784" s="10">
        <f>$AX782</f>
        <v>17.29</v>
      </c>
      <c r="AO784" s="39" t="s">
        <v>1875</v>
      </c>
      <c r="AP784" s="9">
        <f>$AN784</f>
        <v>17.29</v>
      </c>
      <c r="AQ784" s="39" t="s">
        <v>504</v>
      </c>
      <c r="AR784" s="10">
        <f>ROUND(60*$AD784*$AH784*$AL784/$AP784,2)</f>
        <v>29.48</v>
      </c>
      <c r="AS784" s="39" t="s">
        <v>1972</v>
      </c>
      <c r="AT784" s="9">
        <f>$AR784</f>
        <v>29.48</v>
      </c>
      <c r="AU784" s="39" t="s">
        <v>1259</v>
      </c>
      <c r="AV784" s="10">
        <f>ROUND(ROUND(60*$AD784*$AH784*$AL784/$AP784,2),2)</f>
        <v>29.48</v>
      </c>
      <c r="AW784" s="39" t="s">
        <v>2264</v>
      </c>
      <c r="AX784" s="9">
        <f>$AV784</f>
        <v>29.48</v>
      </c>
    </row>
    <row r="785" spans="1:30" ht="18.399999999999999" customHeight="1" x14ac:dyDescent="0.15">
      <c r="A785" s="42" t="s">
        <v>2859</v>
      </c>
      <c r="B785" s="3"/>
      <c r="C785" s="46"/>
      <c r="K785" s="3" t="s">
        <v>2859</v>
      </c>
    </row>
    <row r="786" spans="1:30" ht="18.399999999999999" customHeight="1" x14ac:dyDescent="0.15">
      <c r="A786" s="44" t="str">
        <f>CONCATENATE("          1 / Q =  ","qty hr/m3")</f>
        <v xml:space="preserve">          1 / Q =  qty hr/m3</v>
      </c>
      <c r="B786" s="3">
        <f>$AB786</f>
        <v>3.39E-2</v>
      </c>
      <c r="C786" s="46"/>
      <c r="K786" s="3" t="s">
        <v>2711</v>
      </c>
      <c r="AA786" s="39" t="s">
        <v>1268</v>
      </c>
      <c r="AB786" s="10">
        <f>ROUND(1/$AT784,4)</f>
        <v>3.39E-2</v>
      </c>
      <c r="AC786" s="39" t="s">
        <v>2080</v>
      </c>
      <c r="AD786" s="9">
        <f>$AB786</f>
        <v>3.39E-2</v>
      </c>
    </row>
    <row r="787" spans="1:30" ht="18.399999999999999" customHeight="1" x14ac:dyDescent="0.15">
      <c r="A787" s="43"/>
      <c r="B787" s="3"/>
      <c r="C787" s="46"/>
    </row>
    <row r="788" spans="1:30" ht="18.399999999999999" customHeight="1" x14ac:dyDescent="0.15">
      <c r="A788" s="42" t="s">
        <v>1635</v>
      </c>
      <c r="B788" s="3"/>
      <c r="C788" s="46"/>
      <c r="G788" s="3" t="s">
        <v>2859</v>
      </c>
    </row>
    <row r="789" spans="1:30" ht="18.399999999999999" customHeight="1" x14ac:dyDescent="0.15">
      <c r="A789" s="42" t="s">
        <v>2859</v>
      </c>
      <c r="B789" s="3"/>
      <c r="C789" s="46"/>
      <c r="K789" s="3" t="s">
        <v>2859</v>
      </c>
    </row>
    <row r="790" spans="1:30" ht="18.399999999999999" customHeight="1" x14ac:dyDescent="0.15">
      <c r="A790" s="42" t="s">
        <v>2261</v>
      </c>
      <c r="B790" s="3"/>
      <c r="C790" s="46"/>
      <c r="K790" s="3" t="s">
        <v>2261</v>
      </c>
    </row>
    <row r="791" spans="1:30" ht="18.399999999999999" customHeight="1" x14ac:dyDescent="0.15">
      <c r="A791" s="42" t="s">
        <v>500</v>
      </c>
      <c r="B791" s="3"/>
      <c r="C791" s="46"/>
      <c r="K791" s="3" t="s">
        <v>1548</v>
      </c>
    </row>
    <row r="792" spans="1:30" ht="18.399999999999999" customHeight="1" x14ac:dyDescent="0.15">
      <c r="A792" s="42" t="s">
        <v>2859</v>
      </c>
      <c r="B792" s="3"/>
      <c r="C792" s="46"/>
      <c r="K792" s="3" t="s">
        <v>2859</v>
      </c>
    </row>
    <row r="793" spans="1:30" ht="18.399999999999999" customHeight="1" x14ac:dyDescent="0.15">
      <c r="A793" s="44" t="str">
        <f>CONCATENATE("          포설공 :  2.0  인 / 150  M3  = ","qty 인/m3")</f>
        <v xml:space="preserve">          포설공 :  2.0  인 / 150  M3  = qty 인/m3</v>
      </c>
      <c r="B793" s="3">
        <f>$AB793</f>
        <v>1.3299999999999999E-2</v>
      </c>
      <c r="C793" s="46"/>
      <c r="K793" s="3" t="s">
        <v>2016</v>
      </c>
      <c r="AA793" s="39" t="s">
        <v>1268</v>
      </c>
      <c r="AB793" s="10">
        <f>ROUND(2/150,4)</f>
        <v>1.3299999999999999E-2</v>
      </c>
      <c r="AC793" s="39" t="s">
        <v>2080</v>
      </c>
      <c r="AD793" s="9">
        <f>$AB793</f>
        <v>1.3299999999999999E-2</v>
      </c>
    </row>
    <row r="794" spans="1:30" ht="18.399999999999999" customHeight="1" x14ac:dyDescent="0.15">
      <c r="A794" s="43"/>
      <c r="B794" s="3"/>
      <c r="C794" s="46"/>
    </row>
    <row r="795" spans="1:30" ht="18.399999999999999" customHeight="1" x14ac:dyDescent="0.15">
      <c r="A795" s="42" t="s">
        <v>174</v>
      </c>
      <c r="B795" s="3"/>
      <c r="C795" s="46"/>
      <c r="G795" s="3" t="s">
        <v>2859</v>
      </c>
    </row>
    <row r="796" spans="1:30" ht="18.399999999999999" customHeight="1" x14ac:dyDescent="0.15">
      <c r="A796" s="44" t="str">
        <f>CONCATENATE("          보통인부 :  2.0  인 / 150  M3  = ","qty 인/m3")</f>
        <v xml:space="preserve">          보통인부 :  2.0  인 / 150  M3  = qty 인/m3</v>
      </c>
      <c r="B796" s="3">
        <f>$AB796</f>
        <v>1.3299999999999999E-2</v>
      </c>
      <c r="C796" s="46"/>
      <c r="K796" s="3" t="s">
        <v>1144</v>
      </c>
      <c r="AA796" s="39" t="s">
        <v>1268</v>
      </c>
      <c r="AB796" s="10">
        <f>ROUND(2/150,4)</f>
        <v>1.3299999999999999E-2</v>
      </c>
      <c r="AC796" s="39" t="s">
        <v>2080</v>
      </c>
      <c r="AD796" s="9">
        <f>$AB796</f>
        <v>1.3299999999999999E-2</v>
      </c>
    </row>
    <row r="797" spans="1:30" ht="18.399999999999999" customHeight="1" x14ac:dyDescent="0.15">
      <c r="A797" s="43"/>
      <c r="B797" s="3"/>
      <c r="C797" s="46"/>
    </row>
    <row r="798" spans="1:30" ht="18.399999999999999" customHeight="1" x14ac:dyDescent="0.15">
      <c r="A798" s="42" t="s">
        <v>855</v>
      </c>
      <c r="B798" s="3"/>
      <c r="C798" s="46"/>
      <c r="G798" s="3" t="s">
        <v>2859</v>
      </c>
    </row>
    <row r="799" spans="1:30" ht="18.399999999999999" customHeight="1" x14ac:dyDescent="0.15">
      <c r="A799" s="42" t="s">
        <v>2859</v>
      </c>
      <c r="B799" s="3"/>
      <c r="C799" s="46"/>
      <c r="K799" s="3" t="s">
        <v>2859</v>
      </c>
    </row>
    <row r="800" spans="1:30" ht="18.399999999999999" customHeight="1" x14ac:dyDescent="0.15">
      <c r="A800" s="42" t="s">
        <v>2378</v>
      </c>
      <c r="B800" s="3"/>
      <c r="C800" s="46"/>
      <c r="K800" s="3" t="s">
        <v>2378</v>
      </c>
    </row>
    <row r="801" spans="1:30" ht="18.399999999999999" customHeight="1" x14ac:dyDescent="0.15">
      <c r="A801" s="42" t="s">
        <v>2859</v>
      </c>
      <c r="B801" s="3"/>
      <c r="C801" s="46"/>
      <c r="K801" s="3" t="s">
        <v>2859</v>
      </c>
    </row>
    <row r="802" spans="1:30" ht="18.399999999999999" customHeight="1" x14ac:dyDescent="0.15">
      <c r="A802" s="44" t="str">
        <f>CONCATENATE("          8.0 hr / 150 m3  = ","qty hr/m3")</f>
        <v xml:space="preserve">          8.0 hr / 150 m3  = qty hr/m3</v>
      </c>
      <c r="B802" s="3">
        <f>$AB802</f>
        <v>5.33E-2</v>
      </c>
      <c r="C802" s="46"/>
      <c r="K802" s="3" t="s">
        <v>2854</v>
      </c>
      <c r="AA802" s="39" t="s">
        <v>1268</v>
      </c>
      <c r="AB802" s="10">
        <f>ROUND(8/150,4)</f>
        <v>5.33E-2</v>
      </c>
      <c r="AC802" s="39" t="s">
        <v>2080</v>
      </c>
      <c r="AD802" s="9">
        <f>$AB802</f>
        <v>5.33E-2</v>
      </c>
    </row>
    <row r="803" spans="1:30" ht="18.399999999999999" customHeight="1" x14ac:dyDescent="0.15">
      <c r="A803" s="43"/>
      <c r="B803" s="3"/>
      <c r="C803" s="46"/>
    </row>
    <row r="804" spans="1:30" ht="18.399999999999999" customHeight="1" x14ac:dyDescent="0.15">
      <c r="A804" s="42" t="s">
        <v>876</v>
      </c>
      <c r="B804" s="3"/>
      <c r="C804" s="46"/>
      <c r="G804" s="3" t="s">
        <v>2859</v>
      </c>
    </row>
    <row r="805" spans="1:30" ht="18.399999999999999" customHeight="1" x14ac:dyDescent="0.15">
      <c r="A805" s="42" t="s">
        <v>2859</v>
      </c>
      <c r="B805" s="3"/>
      <c r="C805" s="46"/>
      <c r="K805" s="3" t="s">
        <v>2859</v>
      </c>
    </row>
    <row r="806" spans="1:30" ht="18.399999999999999" customHeight="1" x14ac:dyDescent="0.15">
      <c r="A806" s="42" t="s">
        <v>2795</v>
      </c>
      <c r="B806" s="3"/>
      <c r="C806" s="46"/>
      <c r="K806" s="3" t="s">
        <v>2795</v>
      </c>
    </row>
    <row r="807" spans="1:30" ht="18.399999999999999" customHeight="1" x14ac:dyDescent="0.15">
      <c r="A807" s="42" t="s">
        <v>2859</v>
      </c>
      <c r="B807" s="3"/>
      <c r="C807" s="46"/>
      <c r="K807" s="3" t="s">
        <v>2859</v>
      </c>
    </row>
    <row r="808" spans="1:30" ht="18.399999999999999" customHeight="1" x14ac:dyDescent="0.15">
      <c r="A808" s="44" t="str">
        <f>CONCATENATE("          8.0 hr / 150 m3  = ","qty hr/m3")</f>
        <v xml:space="preserve">          8.0 hr / 150 m3  = qty hr/m3</v>
      </c>
      <c r="B808" s="3">
        <f>$AB808</f>
        <v>5.33E-2</v>
      </c>
      <c r="C808" s="46"/>
      <c r="K808" s="3" t="s">
        <v>2854</v>
      </c>
      <c r="AA808" s="39" t="s">
        <v>1268</v>
      </c>
      <c r="AB808" s="10">
        <f>ROUND(8/150,4)</f>
        <v>5.33E-2</v>
      </c>
      <c r="AC808" s="39" t="s">
        <v>2080</v>
      </c>
      <c r="AD808" s="9">
        <f>$AB808</f>
        <v>5.33E-2</v>
      </c>
    </row>
    <row r="809" spans="1:30" ht="18.399999999999999" customHeight="1" x14ac:dyDescent="0.15">
      <c r="A809" s="43"/>
      <c r="B809" s="3"/>
      <c r="C809" s="46"/>
    </row>
    <row r="810" spans="1:30" ht="18.399999999999999" customHeight="1" x14ac:dyDescent="0.15">
      <c r="A810" s="42" t="s">
        <v>512</v>
      </c>
      <c r="B810" s="3"/>
      <c r="C810" s="46"/>
      <c r="G810" s="3" t="s">
        <v>2859</v>
      </c>
    </row>
    <row r="811" spans="1:30" ht="18.399999999999999" customHeight="1" x14ac:dyDescent="0.15">
      <c r="A811" s="42" t="s">
        <v>2859</v>
      </c>
      <c r="B811" s="3"/>
      <c r="C811" s="46"/>
      <c r="K811" s="3" t="s">
        <v>2859</v>
      </c>
    </row>
    <row r="812" spans="1:30" ht="18.399999999999999" customHeight="1" x14ac:dyDescent="0.15">
      <c r="A812" s="42" t="s">
        <v>1845</v>
      </c>
      <c r="B812" s="3"/>
      <c r="C812" s="46"/>
      <c r="K812" s="3" t="s">
        <v>1845</v>
      </c>
    </row>
    <row r="813" spans="1:30" ht="18.399999999999999" customHeight="1" x14ac:dyDescent="0.15">
      <c r="A813" s="42" t="s">
        <v>2859</v>
      </c>
      <c r="B813" s="3"/>
      <c r="C813" s="46"/>
      <c r="K813" s="3" t="s">
        <v>2859</v>
      </c>
    </row>
    <row r="814" spans="1:30" ht="18.399999999999999" customHeight="1" x14ac:dyDescent="0.15">
      <c r="A814" s="44" t="str">
        <f>CONCATENATE("          4.0 hr / 150 m3  = ","qty hr/m3")</f>
        <v xml:space="preserve">          4.0 hr / 150 m3  = qty hr/m3</v>
      </c>
      <c r="B814" s="3">
        <f>$AB814</f>
        <v>2.6700000000000002E-2</v>
      </c>
      <c r="C814" s="46"/>
      <c r="K814" s="3" t="s">
        <v>2769</v>
      </c>
      <c r="AA814" s="39" t="s">
        <v>1268</v>
      </c>
      <c r="AB814" s="10">
        <f>ROUND(4/150,4)</f>
        <v>2.6700000000000002E-2</v>
      </c>
      <c r="AC814" s="39" t="s">
        <v>2080</v>
      </c>
      <c r="AD814" s="9">
        <f>$AB814</f>
        <v>2.6700000000000002E-2</v>
      </c>
    </row>
    <row r="815" spans="1:30" ht="18.399999999999999" customHeight="1" x14ac:dyDescent="0.15">
      <c r="A815" s="42"/>
      <c r="B815" s="3"/>
      <c r="C815" s="46"/>
    </row>
    <row r="816" spans="1:30" ht="18.399999999999999" customHeight="1" thickBot="1" x14ac:dyDescent="0.2">
      <c r="A816" s="45"/>
      <c r="B816" s="5"/>
      <c r="C816" s="49"/>
    </row>
    <row r="817" spans="1:30" ht="18.399999999999999" customHeight="1" x14ac:dyDescent="0.15">
      <c r="A817" s="42"/>
      <c r="B817" s="3"/>
      <c r="C817" s="46"/>
    </row>
    <row r="818" spans="1:30" ht="18.399999999999999" customHeight="1" x14ac:dyDescent="0.15">
      <c r="A818" s="42" t="s">
        <v>515</v>
      </c>
      <c r="B818" s="36">
        <v>1</v>
      </c>
      <c r="C818" s="46" t="s">
        <v>2859</v>
      </c>
    </row>
    <row r="819" spans="1:30" ht="18.399999999999999" customHeight="1" x14ac:dyDescent="0.15">
      <c r="A819" s="43"/>
      <c r="B819" s="3"/>
      <c r="C819" s="46"/>
    </row>
    <row r="820" spans="1:30" ht="18.399999999999999" customHeight="1" x14ac:dyDescent="0.15">
      <c r="A820" s="42" t="s">
        <v>45</v>
      </c>
      <c r="B820" s="3"/>
      <c r="C820" s="46"/>
      <c r="G820" s="3" t="s">
        <v>1074</v>
      </c>
    </row>
    <row r="821" spans="1:30" ht="18.399999999999999" customHeight="1" x14ac:dyDescent="0.15">
      <c r="A821" s="42" t="s">
        <v>1596</v>
      </c>
      <c r="B821" s="3"/>
      <c r="C821" s="46"/>
      <c r="K821" s="3" t="s">
        <v>28</v>
      </c>
    </row>
    <row r="822" spans="1:30" ht="18.399999999999999" customHeight="1" x14ac:dyDescent="0.15">
      <c r="A822" s="42" t="s">
        <v>2859</v>
      </c>
      <c r="B822" s="3"/>
      <c r="C822" s="46"/>
      <c r="K822" s="3" t="s">
        <v>2859</v>
      </c>
    </row>
    <row r="823" spans="1:30" ht="18.399999999999999" customHeight="1" x14ac:dyDescent="0.15">
      <c r="A823" s="42" t="s">
        <v>2307</v>
      </c>
      <c r="B823" s="3"/>
      <c r="C823" s="46"/>
      <c r="K823" s="3" t="s">
        <v>2307</v>
      </c>
    </row>
    <row r="824" spans="1:30" ht="18.399999999999999" customHeight="1" x14ac:dyDescent="0.15">
      <c r="A824" s="42" t="s">
        <v>2859</v>
      </c>
      <c r="B824" s="3"/>
      <c r="C824" s="46"/>
      <c r="K824" s="3" t="s">
        <v>2859</v>
      </c>
    </row>
    <row r="825" spans="1:30" ht="18.399999999999999" customHeight="1" x14ac:dyDescent="0.15">
      <c r="A825" s="42" t="s">
        <v>646</v>
      </c>
      <c r="B825" s="3"/>
      <c r="C825" s="46"/>
      <c r="K825" s="3" t="s">
        <v>579</v>
      </c>
    </row>
    <row r="826" spans="1:30" ht="18.399999999999999" customHeight="1" x14ac:dyDescent="0.15">
      <c r="A826" s="42" t="s">
        <v>2859</v>
      </c>
      <c r="B826" s="3"/>
      <c r="C826" s="46"/>
      <c r="K826" s="3" t="s">
        <v>2859</v>
      </c>
    </row>
    <row r="827" spans="1:30" ht="18.399999999999999" customHeight="1" x14ac:dyDescent="0.15">
      <c r="A827" s="44" t="str">
        <f>CONCATENATE("          0.05 * 2.35 * 1.02 = ","qty ton/m2")</f>
        <v xml:space="preserve">          0.05 * 2.35 * 1.02 = qty ton/m2</v>
      </c>
      <c r="B827" s="3">
        <f>$AB827</f>
        <v>0.11990000000000001</v>
      </c>
      <c r="C827" s="46"/>
      <c r="K827" s="3" t="s">
        <v>986</v>
      </c>
      <c r="AA827" s="39" t="s">
        <v>1268</v>
      </c>
      <c r="AB827" s="10">
        <f>ROUND(0.05*2.35*1.02,4)</f>
        <v>0.11990000000000001</v>
      </c>
      <c r="AC827" s="39" t="s">
        <v>2080</v>
      </c>
      <c r="AD827" s="9">
        <f>$AB827</f>
        <v>0.11990000000000001</v>
      </c>
    </row>
    <row r="828" spans="1:30" ht="18.399999999999999" customHeight="1" x14ac:dyDescent="0.15">
      <c r="A828" s="43"/>
      <c r="B828" s="3"/>
      <c r="C828" s="46"/>
    </row>
    <row r="829" spans="1:30" ht="18.399999999999999" customHeight="1" x14ac:dyDescent="0.15">
      <c r="A829" s="42" t="s">
        <v>1303</v>
      </c>
      <c r="B829" s="3"/>
      <c r="C829" s="46"/>
      <c r="G829" s="3" t="s">
        <v>2859</v>
      </c>
    </row>
    <row r="830" spans="1:30" ht="18.399999999999999" customHeight="1" x14ac:dyDescent="0.15">
      <c r="A830" s="42" t="s">
        <v>2859</v>
      </c>
      <c r="B830" s="3"/>
      <c r="C830" s="46"/>
      <c r="K830" s="3" t="s">
        <v>2859</v>
      </c>
    </row>
    <row r="831" spans="1:30" ht="18.399999999999999" customHeight="1" x14ac:dyDescent="0.15">
      <c r="A831" s="42" t="s">
        <v>1817</v>
      </c>
      <c r="B831" s="3"/>
      <c r="C831" s="46"/>
      <c r="K831" s="3" t="s">
        <v>1817</v>
      </c>
    </row>
    <row r="832" spans="1:30" ht="18.399999999999999" customHeight="1" x14ac:dyDescent="0.15">
      <c r="A832" s="42" t="s">
        <v>2859</v>
      </c>
      <c r="B832" s="3"/>
      <c r="C832" s="46"/>
      <c r="K832" s="3" t="s">
        <v>2859</v>
      </c>
    </row>
    <row r="833" spans="1:30" ht="18.399999999999999" customHeight="1" x14ac:dyDescent="0.15">
      <c r="A833" s="44" t="str">
        <f>CONCATENATE("          8.0 hr / 4800 m2  = ","qty hr/m2")</f>
        <v xml:space="preserve">          8.0 hr / 4800 m2  = qty hr/m2</v>
      </c>
      <c r="B833" s="3">
        <f>$AB833</f>
        <v>1.6999999999999999E-3</v>
      </c>
      <c r="C833" s="46"/>
      <c r="K833" s="3" t="s">
        <v>1658</v>
      </c>
      <c r="AA833" s="39" t="s">
        <v>1268</v>
      </c>
      <c r="AB833" s="10">
        <f>ROUND(8/4800,4)</f>
        <v>1.6999999999999999E-3</v>
      </c>
      <c r="AC833" s="39" t="s">
        <v>2080</v>
      </c>
      <c r="AD833" s="9">
        <f>$AB833</f>
        <v>1.6999999999999999E-3</v>
      </c>
    </row>
    <row r="834" spans="1:30" ht="18.399999999999999" customHeight="1" x14ac:dyDescent="0.15">
      <c r="A834" s="43"/>
      <c r="B834" s="3"/>
      <c r="C834" s="46"/>
    </row>
    <row r="835" spans="1:30" ht="18.399999999999999" customHeight="1" x14ac:dyDescent="0.15">
      <c r="A835" s="42" t="s">
        <v>886</v>
      </c>
      <c r="B835" s="3"/>
      <c r="C835" s="46"/>
      <c r="G835" s="3" t="s">
        <v>2859</v>
      </c>
    </row>
    <row r="836" spans="1:30" ht="18.399999999999999" customHeight="1" x14ac:dyDescent="0.15">
      <c r="A836" s="42" t="s">
        <v>2859</v>
      </c>
      <c r="B836" s="3"/>
      <c r="C836" s="46"/>
      <c r="K836" s="3" t="s">
        <v>2859</v>
      </c>
    </row>
    <row r="837" spans="1:30" ht="18.399999999999999" customHeight="1" x14ac:dyDescent="0.15">
      <c r="A837" s="42" t="s">
        <v>1038</v>
      </c>
      <c r="B837" s="3"/>
      <c r="C837" s="46"/>
      <c r="K837" s="3" t="s">
        <v>1038</v>
      </c>
    </row>
    <row r="838" spans="1:30" ht="18.399999999999999" customHeight="1" x14ac:dyDescent="0.15">
      <c r="A838" s="42" t="s">
        <v>2859</v>
      </c>
      <c r="B838" s="3"/>
      <c r="C838" s="46"/>
      <c r="K838" s="3" t="s">
        <v>2859</v>
      </c>
    </row>
    <row r="839" spans="1:30" ht="18.399999999999999" customHeight="1" x14ac:dyDescent="0.15">
      <c r="A839" s="44" t="str">
        <f>CONCATENATE("          포 장 공 :  4.0 인 / 4800 m2  = ","qty 인/m2")</f>
        <v xml:space="preserve">          포 장 공 :  4.0 인 / 4800 m2  = qty 인/m2</v>
      </c>
      <c r="B839" s="3">
        <f>$AB839</f>
        <v>8.0000000000000004E-4</v>
      </c>
      <c r="C839" s="46"/>
      <c r="K839" s="3" t="s">
        <v>937</v>
      </c>
      <c r="AA839" s="39" t="s">
        <v>1268</v>
      </c>
      <c r="AB839" s="10">
        <f>ROUND(4/4800,4)</f>
        <v>8.0000000000000004E-4</v>
      </c>
      <c r="AC839" s="39" t="s">
        <v>2080</v>
      </c>
      <c r="AD839" s="9">
        <f>$AB839</f>
        <v>8.0000000000000004E-4</v>
      </c>
    </row>
    <row r="840" spans="1:30" ht="18.399999999999999" customHeight="1" x14ac:dyDescent="0.15">
      <c r="A840" s="43"/>
      <c r="B840" s="3"/>
      <c r="C840" s="46"/>
    </row>
    <row r="841" spans="1:30" ht="18.399999999999999" customHeight="1" x14ac:dyDescent="0.15">
      <c r="A841" s="42" t="s">
        <v>174</v>
      </c>
      <c r="B841" s="3"/>
      <c r="C841" s="46"/>
      <c r="G841" s="3" t="s">
        <v>2859</v>
      </c>
    </row>
    <row r="842" spans="1:30" ht="18.399999999999999" customHeight="1" x14ac:dyDescent="0.15">
      <c r="A842" s="42" t="s">
        <v>2859</v>
      </c>
      <c r="B842" s="3"/>
      <c r="C842" s="46"/>
      <c r="K842" s="3" t="s">
        <v>2859</v>
      </c>
    </row>
    <row r="843" spans="1:30" ht="18.399999999999999" customHeight="1" x14ac:dyDescent="0.15">
      <c r="A843" s="44" t="str">
        <f>CONCATENATE("          보통인부 :  1.0 인 / 4800 m2  = ","qty 인/m2")</f>
        <v xml:space="preserve">          보통인부 :  1.0 인 / 4800 m2  = qty 인/m2</v>
      </c>
      <c r="B843" s="3">
        <f>$AB843</f>
        <v>2.0000000000000001E-4</v>
      </c>
      <c r="C843" s="46"/>
      <c r="K843" s="3" t="s">
        <v>1227</v>
      </c>
      <c r="AA843" s="39" t="s">
        <v>1268</v>
      </c>
      <c r="AB843" s="10">
        <f>ROUND(1/4800,4)</f>
        <v>2.0000000000000001E-4</v>
      </c>
      <c r="AC843" s="39" t="s">
        <v>2080</v>
      </c>
      <c r="AD843" s="9">
        <f>$AB843</f>
        <v>2.0000000000000001E-4</v>
      </c>
    </row>
    <row r="844" spans="1:30" ht="18.399999999999999" customHeight="1" x14ac:dyDescent="0.15">
      <c r="A844" s="43"/>
      <c r="B844" s="3"/>
      <c r="C844" s="46"/>
    </row>
    <row r="845" spans="1:30" ht="18.399999999999999" customHeight="1" x14ac:dyDescent="0.15">
      <c r="A845" s="42" t="s">
        <v>1803</v>
      </c>
      <c r="B845" s="3"/>
      <c r="C845" s="46"/>
      <c r="G845" s="3" t="s">
        <v>2859</v>
      </c>
    </row>
    <row r="846" spans="1:30" ht="18.399999999999999" customHeight="1" x14ac:dyDescent="0.15">
      <c r="A846" s="42" t="s">
        <v>2859</v>
      </c>
      <c r="B846" s="3"/>
      <c r="C846" s="46"/>
      <c r="K846" s="3" t="s">
        <v>2859</v>
      </c>
    </row>
    <row r="847" spans="1:30" ht="18.399999999999999" customHeight="1" x14ac:dyDescent="0.15">
      <c r="A847" s="42" t="s">
        <v>1977</v>
      </c>
      <c r="B847" s="3"/>
      <c r="C847" s="46"/>
      <c r="K847" s="3" t="s">
        <v>1977</v>
      </c>
    </row>
    <row r="848" spans="1:30" ht="18.399999999999999" customHeight="1" x14ac:dyDescent="0.15">
      <c r="A848" s="42" t="s">
        <v>2859</v>
      </c>
      <c r="B848" s="3"/>
      <c r="C848" s="46"/>
      <c r="K848" s="3" t="s">
        <v>2859</v>
      </c>
    </row>
    <row r="849" spans="1:30" ht="18.399999999999999" customHeight="1" x14ac:dyDescent="0.15">
      <c r="A849" s="44" t="str">
        <f>CONCATENATE("          8.0 hr / 4800 m2  = ","qty hr/m2")</f>
        <v xml:space="preserve">          8.0 hr / 4800 m2  = qty hr/m2</v>
      </c>
      <c r="B849" s="3">
        <f>$AB849</f>
        <v>1.6999999999999999E-3</v>
      </c>
      <c r="C849" s="46"/>
      <c r="K849" s="3" t="s">
        <v>1658</v>
      </c>
      <c r="AA849" s="39" t="s">
        <v>1268</v>
      </c>
      <c r="AB849" s="10">
        <f>ROUND(8/4800,4)</f>
        <v>1.6999999999999999E-3</v>
      </c>
      <c r="AC849" s="39" t="s">
        <v>2080</v>
      </c>
      <c r="AD849" s="9">
        <f>$AB849</f>
        <v>1.6999999999999999E-3</v>
      </c>
    </row>
    <row r="850" spans="1:30" ht="18.399999999999999" customHeight="1" x14ac:dyDescent="0.15">
      <c r="A850" s="43"/>
      <c r="B850" s="3"/>
      <c r="C850" s="46"/>
    </row>
    <row r="851" spans="1:30" ht="18.399999999999999" customHeight="1" x14ac:dyDescent="0.15">
      <c r="A851" s="42" t="s">
        <v>2165</v>
      </c>
      <c r="B851" s="3"/>
      <c r="C851" s="46"/>
      <c r="G851" s="3" t="s">
        <v>2859</v>
      </c>
    </row>
    <row r="852" spans="1:30" ht="18.399999999999999" customHeight="1" x14ac:dyDescent="0.15">
      <c r="A852" s="42" t="s">
        <v>2859</v>
      </c>
      <c r="B852" s="3"/>
      <c r="C852" s="46"/>
      <c r="K852" s="3" t="s">
        <v>2859</v>
      </c>
    </row>
    <row r="853" spans="1:30" ht="18.399999999999999" customHeight="1" x14ac:dyDescent="0.15">
      <c r="A853" s="42" t="s">
        <v>2551</v>
      </c>
      <c r="B853" s="3"/>
      <c r="C853" s="46"/>
      <c r="K853" s="3" t="s">
        <v>2551</v>
      </c>
    </row>
    <row r="854" spans="1:30" ht="18.399999999999999" customHeight="1" x14ac:dyDescent="0.15">
      <c r="A854" s="42" t="s">
        <v>2859</v>
      </c>
      <c r="B854" s="3"/>
      <c r="C854" s="46"/>
      <c r="K854" s="3" t="s">
        <v>2859</v>
      </c>
    </row>
    <row r="855" spans="1:30" ht="18.399999999999999" customHeight="1" x14ac:dyDescent="0.15">
      <c r="A855" s="44" t="str">
        <f>CONCATENATE("          8.0 hr / 4800 m2  = ","qty hr/m2")</f>
        <v xml:space="preserve">          8.0 hr / 4800 m2  = qty hr/m2</v>
      </c>
      <c r="B855" s="3">
        <f>$AB855</f>
        <v>1.6999999999999999E-3</v>
      </c>
      <c r="C855" s="46"/>
      <c r="K855" s="3" t="s">
        <v>1658</v>
      </c>
      <c r="AA855" s="39" t="s">
        <v>1268</v>
      </c>
      <c r="AB855" s="10">
        <f>ROUND(8/4800,4)</f>
        <v>1.6999999999999999E-3</v>
      </c>
      <c r="AC855" s="39" t="s">
        <v>2080</v>
      </c>
      <c r="AD855" s="9">
        <f>$AB855</f>
        <v>1.6999999999999999E-3</v>
      </c>
    </row>
    <row r="856" spans="1:30" ht="18.399999999999999" customHeight="1" x14ac:dyDescent="0.15">
      <c r="A856" s="43"/>
      <c r="B856" s="3"/>
      <c r="C856" s="46"/>
    </row>
    <row r="857" spans="1:30" ht="18.399999999999999" customHeight="1" x14ac:dyDescent="0.15">
      <c r="A857" s="42" t="s">
        <v>1580</v>
      </c>
      <c r="B857" s="3"/>
      <c r="C857" s="46"/>
      <c r="G857" s="3" t="s">
        <v>2859</v>
      </c>
    </row>
    <row r="858" spans="1:30" ht="18.399999999999999" customHeight="1" x14ac:dyDescent="0.15">
      <c r="A858" s="42" t="s">
        <v>2859</v>
      </c>
      <c r="B858" s="3"/>
      <c r="C858" s="46"/>
      <c r="K858" s="3" t="s">
        <v>2859</v>
      </c>
    </row>
    <row r="859" spans="1:30" ht="18.399999999999999" customHeight="1" x14ac:dyDescent="0.15">
      <c r="A859" s="42" t="s">
        <v>1514</v>
      </c>
      <c r="B859" s="3"/>
      <c r="C859" s="46"/>
      <c r="K859" s="3" t="s">
        <v>1514</v>
      </c>
    </row>
    <row r="860" spans="1:30" ht="18.399999999999999" customHeight="1" x14ac:dyDescent="0.15">
      <c r="A860" s="42" t="s">
        <v>2859</v>
      </c>
      <c r="B860" s="3"/>
      <c r="C860" s="46"/>
      <c r="K860" s="3" t="s">
        <v>2859</v>
      </c>
    </row>
    <row r="861" spans="1:30" ht="18.399999999999999" customHeight="1" x14ac:dyDescent="0.15">
      <c r="A861" s="44" t="str">
        <f>CONCATENATE("          8.0 hr / 4800 m2  = ","qty hr/m2")</f>
        <v xml:space="preserve">          8.0 hr / 4800 m2  = qty hr/m2</v>
      </c>
      <c r="B861" s="3">
        <f>$AB861</f>
        <v>1.6999999999999999E-3</v>
      </c>
      <c r="C861" s="46"/>
      <c r="K861" s="3" t="s">
        <v>1658</v>
      </c>
      <c r="AA861" s="39" t="s">
        <v>1268</v>
      </c>
      <c r="AB861" s="10">
        <f>ROUND(8/4800,4)</f>
        <v>1.6999999999999999E-3</v>
      </c>
      <c r="AC861" s="39" t="s">
        <v>2080</v>
      </c>
      <c r="AD861" s="9">
        <f>$AB861</f>
        <v>1.6999999999999999E-3</v>
      </c>
    </row>
    <row r="862" spans="1:30" ht="18.399999999999999" customHeight="1" x14ac:dyDescent="0.15">
      <c r="A862" s="43"/>
      <c r="B862" s="3"/>
      <c r="C862" s="46"/>
    </row>
    <row r="863" spans="1:30" ht="18.399999999999999" customHeight="1" x14ac:dyDescent="0.15">
      <c r="A863" s="42" t="s">
        <v>516</v>
      </c>
      <c r="B863" s="3"/>
      <c r="C863" s="46"/>
      <c r="G863" s="3" t="s">
        <v>2859</v>
      </c>
    </row>
    <row r="864" spans="1:30" ht="18.399999999999999" customHeight="1" x14ac:dyDescent="0.15">
      <c r="A864" s="42" t="s">
        <v>2859</v>
      </c>
      <c r="B864" s="3"/>
      <c r="C864" s="46"/>
      <c r="K864" s="3" t="s">
        <v>2859</v>
      </c>
    </row>
    <row r="865" spans="1:30" ht="18.399999999999999" customHeight="1" x14ac:dyDescent="0.15">
      <c r="A865" s="42" t="s">
        <v>2045</v>
      </c>
      <c r="B865" s="3"/>
      <c r="C865" s="46"/>
      <c r="K865" s="3" t="s">
        <v>2045</v>
      </c>
    </row>
    <row r="866" spans="1:30" ht="18.399999999999999" customHeight="1" x14ac:dyDescent="0.15">
      <c r="A866" s="42" t="s">
        <v>2859</v>
      </c>
      <c r="B866" s="3"/>
      <c r="C866" s="46"/>
      <c r="K866" s="3" t="s">
        <v>2859</v>
      </c>
    </row>
    <row r="867" spans="1:30" ht="18.399999999999999" customHeight="1" x14ac:dyDescent="0.15">
      <c r="A867" s="44" t="str">
        <f>CONCATENATE("          4.0 hr / 4800 m2  = ","qty hr/m2")</f>
        <v xml:space="preserve">          4.0 hr / 4800 m2  = qty hr/m2</v>
      </c>
      <c r="B867" s="3">
        <f>$AB867</f>
        <v>8.0000000000000004E-4</v>
      </c>
      <c r="C867" s="46"/>
      <c r="K867" s="3" t="s">
        <v>993</v>
      </c>
      <c r="AA867" s="39" t="s">
        <v>1268</v>
      </c>
      <c r="AB867" s="10">
        <f>ROUND(4/4800,4)</f>
        <v>8.0000000000000004E-4</v>
      </c>
      <c r="AC867" s="39" t="s">
        <v>2080</v>
      </c>
      <c r="AD867" s="9">
        <f>$AB867</f>
        <v>8.0000000000000004E-4</v>
      </c>
    </row>
    <row r="868" spans="1:30" ht="18.399999999999999" customHeight="1" x14ac:dyDescent="0.15">
      <c r="A868" s="42"/>
      <c r="B868" s="3"/>
      <c r="C868" s="46"/>
    </row>
    <row r="869" spans="1:30" ht="18.399999999999999" customHeight="1" thickBot="1" x14ac:dyDescent="0.2">
      <c r="A869" s="45"/>
      <c r="B869" s="5"/>
      <c r="C869" s="49"/>
    </row>
    <row r="870" spans="1:30" ht="18.399999999999999" customHeight="1" x14ac:dyDescent="0.15">
      <c r="A870" s="42"/>
      <c r="B870" s="3"/>
      <c r="C870" s="46"/>
    </row>
    <row r="871" spans="1:30" ht="18.399999999999999" customHeight="1" x14ac:dyDescent="0.15">
      <c r="A871" s="42" t="s">
        <v>1739</v>
      </c>
      <c r="B871" s="36">
        <v>1</v>
      </c>
      <c r="C871" s="46" t="s">
        <v>2859</v>
      </c>
    </row>
    <row r="872" spans="1:30" ht="18.399999999999999" customHeight="1" x14ac:dyDescent="0.15">
      <c r="A872" s="43"/>
      <c r="B872" s="3"/>
      <c r="C872" s="46"/>
    </row>
    <row r="873" spans="1:30" ht="18.399999999999999" customHeight="1" x14ac:dyDescent="0.15">
      <c r="A873" s="42" t="s">
        <v>45</v>
      </c>
      <c r="B873" s="3"/>
      <c r="C873" s="46"/>
      <c r="G873" s="3" t="s">
        <v>2846</v>
      </c>
    </row>
    <row r="874" spans="1:30" ht="18.399999999999999" customHeight="1" x14ac:dyDescent="0.15">
      <c r="A874" s="42" t="s">
        <v>1131</v>
      </c>
      <c r="B874" s="3"/>
      <c r="C874" s="46"/>
      <c r="K874" s="3" t="s">
        <v>2072</v>
      </c>
    </row>
    <row r="875" spans="1:30" ht="18.399999999999999" customHeight="1" x14ac:dyDescent="0.15">
      <c r="A875" s="42" t="s">
        <v>2859</v>
      </c>
      <c r="B875" s="3"/>
      <c r="C875" s="46"/>
      <c r="K875" s="3" t="s">
        <v>2859</v>
      </c>
    </row>
    <row r="876" spans="1:30" ht="18.399999999999999" customHeight="1" x14ac:dyDescent="0.15">
      <c r="A876" s="42" t="s">
        <v>1095</v>
      </c>
      <c r="B876" s="3"/>
      <c r="C876" s="46"/>
      <c r="K876" s="3" t="s">
        <v>1095</v>
      </c>
    </row>
    <row r="877" spans="1:30" ht="18.399999999999999" customHeight="1" x14ac:dyDescent="0.15">
      <c r="A877" s="42" t="s">
        <v>2859</v>
      </c>
      <c r="B877" s="3"/>
      <c r="C877" s="46"/>
      <c r="K877" s="3" t="s">
        <v>2859</v>
      </c>
    </row>
    <row r="878" spans="1:30" ht="18.399999999999999" customHeight="1" x14ac:dyDescent="0.15">
      <c r="A878" s="42" t="s">
        <v>1847</v>
      </c>
      <c r="B878" s="3"/>
      <c r="C878" s="46"/>
      <c r="K878" s="3" t="s">
        <v>76</v>
      </c>
    </row>
    <row r="879" spans="1:30" ht="18.399999999999999" customHeight="1" x14ac:dyDescent="0.15">
      <c r="A879" s="42" t="s">
        <v>2859</v>
      </c>
      <c r="B879" s="3"/>
      <c r="C879" s="46"/>
      <c r="K879" s="3" t="s">
        <v>2859</v>
      </c>
    </row>
    <row r="880" spans="1:30" ht="18.399999999999999" customHeight="1" x14ac:dyDescent="0.15">
      <c r="A880" s="44" t="str">
        <f>CONCATENATE("          0.10 * 2.35 * 1.02 = ","qty ton/m2")</f>
        <v xml:space="preserve">          0.10 * 2.35 * 1.02 = qty ton/m2</v>
      </c>
      <c r="B880" s="3">
        <f>$AB880</f>
        <v>0.2397</v>
      </c>
      <c r="C880" s="46"/>
      <c r="K880" s="3" t="s">
        <v>326</v>
      </c>
      <c r="AA880" s="39" t="s">
        <v>1268</v>
      </c>
      <c r="AB880" s="10">
        <f>ROUND(0.1*2.35*1.02,4)</f>
        <v>0.2397</v>
      </c>
      <c r="AC880" s="39" t="s">
        <v>2080</v>
      </c>
      <c r="AD880" s="9">
        <f>$AB880</f>
        <v>0.2397</v>
      </c>
    </row>
    <row r="881" spans="1:30" ht="18.399999999999999" customHeight="1" x14ac:dyDescent="0.15">
      <c r="A881" s="43"/>
      <c r="B881" s="3"/>
      <c r="C881" s="46"/>
    </row>
    <row r="882" spans="1:30" ht="18.399999999999999" customHeight="1" x14ac:dyDescent="0.15">
      <c r="A882" s="42" t="s">
        <v>1303</v>
      </c>
      <c r="B882" s="3"/>
      <c r="C882" s="46"/>
      <c r="G882" s="3" t="s">
        <v>2859</v>
      </c>
    </row>
    <row r="883" spans="1:30" ht="18.399999999999999" customHeight="1" x14ac:dyDescent="0.15">
      <c r="A883" s="42" t="s">
        <v>2859</v>
      </c>
      <c r="B883" s="3"/>
      <c r="C883" s="46"/>
      <c r="K883" s="3" t="s">
        <v>2859</v>
      </c>
    </row>
    <row r="884" spans="1:30" ht="18.399999999999999" customHeight="1" x14ac:dyDescent="0.15">
      <c r="A884" s="42" t="s">
        <v>1817</v>
      </c>
      <c r="B884" s="3"/>
      <c r="C884" s="46"/>
      <c r="K884" s="3" t="s">
        <v>1817</v>
      </c>
    </row>
    <row r="885" spans="1:30" ht="18.399999999999999" customHeight="1" x14ac:dyDescent="0.15">
      <c r="A885" s="42" t="s">
        <v>2859</v>
      </c>
      <c r="B885" s="3"/>
      <c r="C885" s="46"/>
      <c r="K885" s="3" t="s">
        <v>2859</v>
      </c>
    </row>
    <row r="886" spans="1:30" ht="18.399999999999999" customHeight="1" x14ac:dyDescent="0.15">
      <c r="A886" s="44" t="str">
        <f>CONCATENATE("          8.0 hr / 4500 m2  = ","qty hr/m2")</f>
        <v xml:space="preserve">          8.0 hr / 4500 m2  = qty hr/m2</v>
      </c>
      <c r="B886" s="3">
        <f>$AB886</f>
        <v>1.8E-3</v>
      </c>
      <c r="C886" s="46"/>
      <c r="K886" s="3" t="s">
        <v>691</v>
      </c>
      <c r="AA886" s="39" t="s">
        <v>1268</v>
      </c>
      <c r="AB886" s="10">
        <f>ROUND(8/4500,4)</f>
        <v>1.8E-3</v>
      </c>
      <c r="AC886" s="39" t="s">
        <v>2080</v>
      </c>
      <c r="AD886" s="9">
        <f>$AB886</f>
        <v>1.8E-3</v>
      </c>
    </row>
    <row r="887" spans="1:30" ht="18.399999999999999" customHeight="1" x14ac:dyDescent="0.15">
      <c r="A887" s="43"/>
      <c r="B887" s="3"/>
      <c r="C887" s="46"/>
    </row>
    <row r="888" spans="1:30" ht="18.399999999999999" customHeight="1" x14ac:dyDescent="0.15">
      <c r="A888" s="42" t="s">
        <v>886</v>
      </c>
      <c r="B888" s="3"/>
      <c r="C888" s="46"/>
      <c r="G888" s="3" t="s">
        <v>2859</v>
      </c>
    </row>
    <row r="889" spans="1:30" ht="18.399999999999999" customHeight="1" x14ac:dyDescent="0.15">
      <c r="A889" s="42" t="s">
        <v>2859</v>
      </c>
      <c r="B889" s="3"/>
      <c r="C889" s="46"/>
      <c r="K889" s="3" t="s">
        <v>2859</v>
      </c>
    </row>
    <row r="890" spans="1:30" ht="18.399999999999999" customHeight="1" x14ac:dyDescent="0.15">
      <c r="A890" s="42" t="s">
        <v>1038</v>
      </c>
      <c r="B890" s="3"/>
      <c r="C890" s="46"/>
      <c r="K890" s="3" t="s">
        <v>1038</v>
      </c>
    </row>
    <row r="891" spans="1:30" ht="18.399999999999999" customHeight="1" x14ac:dyDescent="0.15">
      <c r="A891" s="42" t="s">
        <v>2859</v>
      </c>
      <c r="B891" s="3"/>
      <c r="C891" s="46"/>
      <c r="K891" s="3" t="s">
        <v>2859</v>
      </c>
    </row>
    <row r="892" spans="1:30" ht="18.399999999999999" customHeight="1" x14ac:dyDescent="0.15">
      <c r="A892" s="44" t="str">
        <f>CONCATENATE("          포 장 공 :  4.0 인 / 4500 m2  = ","qty 인/m2")</f>
        <v xml:space="preserve">          포 장 공 :  4.0 인 / 4500 m2  = qty 인/m2</v>
      </c>
      <c r="B892" s="3">
        <f>$AB892</f>
        <v>8.9999999999999998E-4</v>
      </c>
      <c r="C892" s="46"/>
      <c r="K892" s="3" t="s">
        <v>1178</v>
      </c>
      <c r="AA892" s="39" t="s">
        <v>1268</v>
      </c>
      <c r="AB892" s="10">
        <f>ROUND(4/4500,4)</f>
        <v>8.9999999999999998E-4</v>
      </c>
      <c r="AC892" s="39" t="s">
        <v>2080</v>
      </c>
      <c r="AD892" s="9">
        <f>$AB892</f>
        <v>8.9999999999999998E-4</v>
      </c>
    </row>
    <row r="893" spans="1:30" ht="18.399999999999999" customHeight="1" x14ac:dyDescent="0.15">
      <c r="A893" s="43"/>
      <c r="B893" s="3"/>
      <c r="C893" s="46"/>
    </row>
    <row r="894" spans="1:30" ht="18.399999999999999" customHeight="1" x14ac:dyDescent="0.15">
      <c r="A894" s="42" t="s">
        <v>174</v>
      </c>
      <c r="B894" s="3"/>
      <c r="C894" s="46"/>
      <c r="G894" s="3" t="s">
        <v>2859</v>
      </c>
    </row>
    <row r="895" spans="1:30" ht="18.399999999999999" customHeight="1" x14ac:dyDescent="0.15">
      <c r="A895" s="44" t="str">
        <f>CONCATENATE("          보통인부 :  1.0 인 / 4500 m2  = ","qty 인/m2")</f>
        <v xml:space="preserve">          보통인부 :  1.0 인 / 4500 m2  = qty 인/m2</v>
      </c>
      <c r="B895" s="3">
        <f>$AB895</f>
        <v>2.0000000000000001E-4</v>
      </c>
      <c r="C895" s="46"/>
      <c r="K895" s="3" t="s">
        <v>992</v>
      </c>
      <c r="AA895" s="39" t="s">
        <v>1268</v>
      </c>
      <c r="AB895" s="10">
        <f>ROUND(1/4500,4)</f>
        <v>2.0000000000000001E-4</v>
      </c>
      <c r="AC895" s="39" t="s">
        <v>2080</v>
      </c>
      <c r="AD895" s="9">
        <f>$AB895</f>
        <v>2.0000000000000001E-4</v>
      </c>
    </row>
    <row r="896" spans="1:30" ht="18.399999999999999" customHeight="1" x14ac:dyDescent="0.15">
      <c r="A896" s="43"/>
      <c r="B896" s="3"/>
      <c r="C896" s="46"/>
    </row>
    <row r="897" spans="1:30" ht="18.399999999999999" customHeight="1" x14ac:dyDescent="0.15">
      <c r="A897" s="42" t="s">
        <v>1747</v>
      </c>
      <c r="B897" s="3"/>
      <c r="C897" s="46"/>
      <c r="G897" s="3" t="s">
        <v>2859</v>
      </c>
    </row>
    <row r="898" spans="1:30" ht="18.399999999999999" customHeight="1" x14ac:dyDescent="0.15">
      <c r="A898" s="42" t="s">
        <v>2859</v>
      </c>
      <c r="B898" s="3"/>
      <c r="C898" s="46"/>
      <c r="K898" s="3" t="s">
        <v>2859</v>
      </c>
    </row>
    <row r="899" spans="1:30" ht="18.399999999999999" customHeight="1" x14ac:dyDescent="0.15">
      <c r="A899" s="42" t="s">
        <v>380</v>
      </c>
      <c r="B899" s="3"/>
      <c r="C899" s="46"/>
      <c r="K899" s="3" t="s">
        <v>380</v>
      </c>
    </row>
    <row r="900" spans="1:30" ht="18.399999999999999" customHeight="1" x14ac:dyDescent="0.15">
      <c r="A900" s="42" t="s">
        <v>2859</v>
      </c>
      <c r="B900" s="3"/>
      <c r="C900" s="46"/>
      <c r="K900" s="3" t="s">
        <v>2859</v>
      </c>
    </row>
    <row r="901" spans="1:30" ht="18.399999999999999" customHeight="1" x14ac:dyDescent="0.15">
      <c r="A901" s="44" t="str">
        <f>CONCATENATE("          8.0 hr / 4500 m2  = ","qty hr/m2")</f>
        <v xml:space="preserve">          8.0 hr / 4500 m2  = qty hr/m2</v>
      </c>
      <c r="B901" s="3">
        <f>$AB901</f>
        <v>1.8E-3</v>
      </c>
      <c r="C901" s="46"/>
      <c r="K901" s="3" t="s">
        <v>691</v>
      </c>
      <c r="AA901" s="39" t="s">
        <v>1268</v>
      </c>
      <c r="AB901" s="10">
        <f>ROUND(8/4500,4)</f>
        <v>1.8E-3</v>
      </c>
      <c r="AC901" s="39" t="s">
        <v>2080</v>
      </c>
      <c r="AD901" s="9">
        <f>$AB901</f>
        <v>1.8E-3</v>
      </c>
    </row>
    <row r="902" spans="1:30" ht="18.399999999999999" customHeight="1" x14ac:dyDescent="0.15">
      <c r="A902" s="43"/>
      <c r="B902" s="3"/>
      <c r="C902" s="46"/>
    </row>
    <row r="903" spans="1:30" ht="18.399999999999999" customHeight="1" x14ac:dyDescent="0.15">
      <c r="A903" s="42" t="s">
        <v>2165</v>
      </c>
      <c r="B903" s="3"/>
      <c r="C903" s="46"/>
      <c r="G903" s="3" t="s">
        <v>2859</v>
      </c>
    </row>
    <row r="904" spans="1:30" ht="18.399999999999999" customHeight="1" x14ac:dyDescent="0.15">
      <c r="A904" s="42" t="s">
        <v>2859</v>
      </c>
      <c r="B904" s="3"/>
      <c r="C904" s="46"/>
      <c r="K904" s="3" t="s">
        <v>2859</v>
      </c>
    </row>
    <row r="905" spans="1:30" ht="18.399999999999999" customHeight="1" x14ac:dyDescent="0.15">
      <c r="A905" s="42" t="s">
        <v>2551</v>
      </c>
      <c r="B905" s="3"/>
      <c r="C905" s="46"/>
      <c r="K905" s="3" t="s">
        <v>2551</v>
      </c>
    </row>
    <row r="906" spans="1:30" ht="18.399999999999999" customHeight="1" x14ac:dyDescent="0.15">
      <c r="A906" s="42" t="s">
        <v>2859</v>
      </c>
      <c r="B906" s="3"/>
      <c r="C906" s="46"/>
      <c r="K906" s="3" t="s">
        <v>2859</v>
      </c>
    </row>
    <row r="907" spans="1:30" ht="18.399999999999999" customHeight="1" x14ac:dyDescent="0.15">
      <c r="A907" s="44" t="str">
        <f>CONCATENATE("          8.0 hr / 4500 m2  = ","qty hr/m2")</f>
        <v xml:space="preserve">          8.0 hr / 4500 m2  = qty hr/m2</v>
      </c>
      <c r="B907" s="3">
        <f>$AB907</f>
        <v>1.8E-3</v>
      </c>
      <c r="C907" s="46"/>
      <c r="K907" s="3" t="s">
        <v>691</v>
      </c>
      <c r="AA907" s="39" t="s">
        <v>1268</v>
      </c>
      <c r="AB907" s="10">
        <f>ROUND(8/4500,4)</f>
        <v>1.8E-3</v>
      </c>
      <c r="AC907" s="39" t="s">
        <v>2080</v>
      </c>
      <c r="AD907" s="9">
        <f>$AB907</f>
        <v>1.8E-3</v>
      </c>
    </row>
    <row r="908" spans="1:30" ht="18.399999999999999" customHeight="1" x14ac:dyDescent="0.15">
      <c r="A908" s="43"/>
      <c r="B908" s="3"/>
      <c r="C908" s="46"/>
    </row>
    <row r="909" spans="1:30" ht="18.399999999999999" customHeight="1" x14ac:dyDescent="0.15">
      <c r="A909" s="42" t="s">
        <v>570</v>
      </c>
      <c r="B909" s="3"/>
      <c r="C909" s="46"/>
      <c r="G909" s="3" t="s">
        <v>2859</v>
      </c>
    </row>
    <row r="910" spans="1:30" ht="18.399999999999999" customHeight="1" x14ac:dyDescent="0.15">
      <c r="A910" s="42" t="s">
        <v>2859</v>
      </c>
      <c r="B910" s="3"/>
      <c r="C910" s="46"/>
      <c r="K910" s="3" t="s">
        <v>2859</v>
      </c>
    </row>
    <row r="911" spans="1:30" ht="18.399999999999999" customHeight="1" x14ac:dyDescent="0.15">
      <c r="A911" s="42" t="s">
        <v>2100</v>
      </c>
      <c r="B911" s="3"/>
      <c r="C911" s="46"/>
      <c r="K911" s="3" t="s">
        <v>2100</v>
      </c>
    </row>
    <row r="912" spans="1:30" ht="18.399999999999999" customHeight="1" x14ac:dyDescent="0.15">
      <c r="A912" s="42" t="s">
        <v>2859</v>
      </c>
      <c r="B912" s="3"/>
      <c r="C912" s="46"/>
      <c r="K912" s="3" t="s">
        <v>2859</v>
      </c>
    </row>
    <row r="913" spans="1:30" ht="18.399999999999999" customHeight="1" x14ac:dyDescent="0.15">
      <c r="A913" s="44" t="str">
        <f>CONCATENATE("          8.0 hr / 4500 m2  = ","qty hr/m2")</f>
        <v xml:space="preserve">          8.0 hr / 4500 m2  = qty hr/m2</v>
      </c>
      <c r="B913" s="3">
        <f>$AB913</f>
        <v>1.8E-3</v>
      </c>
      <c r="C913" s="46"/>
      <c r="K913" s="3" t="s">
        <v>691</v>
      </c>
      <c r="AA913" s="39" t="s">
        <v>1268</v>
      </c>
      <c r="AB913" s="10">
        <f>ROUND(8/4500,4)</f>
        <v>1.8E-3</v>
      </c>
      <c r="AC913" s="39" t="s">
        <v>2080</v>
      </c>
      <c r="AD913" s="9">
        <f>$AB913</f>
        <v>1.8E-3</v>
      </c>
    </row>
    <row r="914" spans="1:30" ht="18.399999999999999" customHeight="1" x14ac:dyDescent="0.15">
      <c r="A914" s="43"/>
      <c r="B914" s="3"/>
      <c r="C914" s="46"/>
    </row>
    <row r="915" spans="1:30" ht="18.399999999999999" customHeight="1" x14ac:dyDescent="0.15">
      <c r="A915" s="42" t="s">
        <v>24</v>
      </c>
      <c r="B915" s="3"/>
      <c r="C915" s="46"/>
      <c r="G915" s="3" t="s">
        <v>2859</v>
      </c>
    </row>
    <row r="916" spans="1:30" ht="18.399999999999999" customHeight="1" x14ac:dyDescent="0.15">
      <c r="A916" s="42" t="s">
        <v>2859</v>
      </c>
      <c r="B916" s="3"/>
      <c r="C916" s="46"/>
      <c r="K916" s="3" t="s">
        <v>2859</v>
      </c>
    </row>
    <row r="917" spans="1:30" ht="18.399999999999999" customHeight="1" x14ac:dyDescent="0.15">
      <c r="A917" s="42" t="s">
        <v>2045</v>
      </c>
      <c r="B917" s="3"/>
      <c r="C917" s="46"/>
      <c r="K917" s="3" t="s">
        <v>2045</v>
      </c>
    </row>
    <row r="918" spans="1:30" ht="18.399999999999999" customHeight="1" x14ac:dyDescent="0.15">
      <c r="A918" s="42" t="s">
        <v>2859</v>
      </c>
      <c r="B918" s="3"/>
      <c r="C918" s="46"/>
      <c r="K918" s="3" t="s">
        <v>2859</v>
      </c>
    </row>
    <row r="919" spans="1:30" ht="18.399999999999999" customHeight="1" x14ac:dyDescent="0.15">
      <c r="A919" s="44" t="str">
        <f>CONCATENATE("          4.0 hr / 4500 m2  = ","qty hr/m2")</f>
        <v xml:space="preserve">          4.0 hr / 4500 m2  = qty hr/m2</v>
      </c>
      <c r="B919" s="3">
        <f>$AB919</f>
        <v>8.9999999999999998E-4</v>
      </c>
      <c r="C919" s="46"/>
      <c r="K919" s="3" t="s">
        <v>1582</v>
      </c>
      <c r="AA919" s="39" t="s">
        <v>1268</v>
      </c>
      <c r="AB919" s="10">
        <f>ROUND(4/4500,4)</f>
        <v>8.9999999999999998E-4</v>
      </c>
      <c r="AC919" s="39" t="s">
        <v>2080</v>
      </c>
      <c r="AD919" s="9">
        <f>$AB919</f>
        <v>8.9999999999999998E-4</v>
      </c>
    </row>
    <row r="920" spans="1:30" ht="18.399999999999999" customHeight="1" x14ac:dyDescent="0.15">
      <c r="A920" s="42"/>
      <c r="B920" s="3"/>
      <c r="C920" s="46"/>
    </row>
    <row r="921" spans="1:30" ht="18.399999999999999" customHeight="1" thickBot="1" x14ac:dyDescent="0.2">
      <c r="A921" s="45"/>
      <c r="B921" s="5"/>
      <c r="C921" s="49"/>
    </row>
    <row r="922" spans="1:30" ht="18.399999999999999" customHeight="1" x14ac:dyDescent="0.15">
      <c r="A922" s="42"/>
      <c r="B922" s="3"/>
      <c r="C922" s="46"/>
    </row>
    <row r="923" spans="1:30" ht="18.399999999999999" customHeight="1" x14ac:dyDescent="0.15">
      <c r="A923" s="42" t="s">
        <v>592</v>
      </c>
      <c r="B923" s="36">
        <v>1</v>
      </c>
      <c r="C923" s="46" t="s">
        <v>2859</v>
      </c>
    </row>
    <row r="924" spans="1:30" ht="18.399999999999999" customHeight="1" x14ac:dyDescent="0.15">
      <c r="A924" s="43"/>
      <c r="B924" s="3"/>
      <c r="C924" s="46"/>
    </row>
    <row r="925" spans="1:30" ht="18.399999999999999" customHeight="1" x14ac:dyDescent="0.15">
      <c r="A925" s="42" t="s">
        <v>1132</v>
      </c>
      <c r="B925" s="3"/>
      <c r="C925" s="46"/>
      <c r="G925" s="3" t="s">
        <v>2245</v>
      </c>
    </row>
    <row r="926" spans="1:30" ht="18.399999999999999" customHeight="1" x14ac:dyDescent="0.15">
      <c r="A926" s="42" t="s">
        <v>1047</v>
      </c>
      <c r="B926" s="3"/>
      <c r="C926" s="46"/>
      <c r="K926" s="3" t="s">
        <v>2008</v>
      </c>
    </row>
    <row r="927" spans="1:30" ht="18.399999999999999" customHeight="1" x14ac:dyDescent="0.15">
      <c r="A927" s="42" t="s">
        <v>2859</v>
      </c>
      <c r="B927" s="3"/>
      <c r="C927" s="46"/>
      <c r="K927" s="3" t="s">
        <v>2859</v>
      </c>
    </row>
    <row r="928" spans="1:30" ht="18.399999999999999" customHeight="1" x14ac:dyDescent="0.15">
      <c r="A928" s="42" t="s">
        <v>2777</v>
      </c>
      <c r="B928" s="3"/>
      <c r="C928" s="46"/>
      <c r="K928" s="3" t="s">
        <v>2777</v>
      </c>
    </row>
    <row r="929" spans="1:30" ht="18.399999999999999" customHeight="1" x14ac:dyDescent="0.15">
      <c r="A929" s="42" t="s">
        <v>2859</v>
      </c>
      <c r="B929" s="3"/>
      <c r="C929" s="46"/>
      <c r="K929" s="3" t="s">
        <v>2859</v>
      </c>
    </row>
    <row r="930" spans="1:30" ht="18.399999999999999" customHeight="1" x14ac:dyDescent="0.15">
      <c r="A930" s="42" t="s">
        <v>2486</v>
      </c>
      <c r="B930" s="3"/>
      <c r="C930" s="46"/>
      <c r="K930" s="3" t="s">
        <v>208</v>
      </c>
    </row>
    <row r="931" spans="1:30" ht="18.399999999999999" customHeight="1" x14ac:dyDescent="0.15">
      <c r="A931" s="42" t="s">
        <v>2859</v>
      </c>
      <c r="B931" s="3"/>
      <c r="C931" s="46"/>
      <c r="K931" s="3" t="s">
        <v>2859</v>
      </c>
    </row>
    <row r="932" spans="1:30" ht="18.399999999999999" customHeight="1" x14ac:dyDescent="0.15">
      <c r="A932" s="44" t="str">
        <f>CONCATENATE("          0.3  L/m2  * 1.03 = ","qty L/m2")</f>
        <v xml:space="preserve">          0.3  L/m2  * 1.03 = qty L/m2</v>
      </c>
      <c r="B932" s="3">
        <f>$AB932</f>
        <v>0.309</v>
      </c>
      <c r="C932" s="46"/>
      <c r="K932" s="3" t="s">
        <v>571</v>
      </c>
      <c r="AA932" s="39" t="s">
        <v>1268</v>
      </c>
      <c r="AB932" s="10">
        <f>ROUND(0.3*1.03,4)</f>
        <v>0.309</v>
      </c>
      <c r="AC932" s="39" t="s">
        <v>2080</v>
      </c>
      <c r="AD932" s="9">
        <f>$AB932</f>
        <v>0.309</v>
      </c>
    </row>
    <row r="933" spans="1:30" ht="18.399999999999999" customHeight="1" x14ac:dyDescent="0.15">
      <c r="A933" s="42" t="s">
        <v>2859</v>
      </c>
      <c r="B933" s="3"/>
      <c r="C933" s="46"/>
      <c r="K933" s="3" t="s">
        <v>2859</v>
      </c>
    </row>
    <row r="934" spans="1:30" ht="18.399999999999999" customHeight="1" x14ac:dyDescent="0.15">
      <c r="A934" s="42" t="s">
        <v>1849</v>
      </c>
      <c r="B934" s="3"/>
      <c r="C934" s="46"/>
      <c r="K934" s="3" t="s">
        <v>575</v>
      </c>
    </row>
    <row r="935" spans="1:30" ht="18.399999999999999" customHeight="1" x14ac:dyDescent="0.15">
      <c r="A935" s="43"/>
      <c r="B935" s="3"/>
      <c r="C935" s="46"/>
    </row>
    <row r="936" spans="1:30" ht="18.399999999999999" customHeight="1" x14ac:dyDescent="0.15">
      <c r="A936" s="42" t="s">
        <v>361</v>
      </c>
      <c r="B936" s="36">
        <v>1</v>
      </c>
      <c r="C936" s="46"/>
      <c r="G936" s="3" t="s">
        <v>2859</v>
      </c>
    </row>
    <row r="937" spans="1:30" ht="18.399999999999999" customHeight="1" x14ac:dyDescent="0.15">
      <c r="A937" s="42" t="s">
        <v>2859</v>
      </c>
      <c r="B937" s="3"/>
      <c r="C937" s="46"/>
      <c r="K937" s="3" t="s">
        <v>2691</v>
      </c>
      <c r="AA937" s="40" t="s">
        <v>2113</v>
      </c>
      <c r="AB937" s="10">
        <f>355*0.1</f>
        <v>35.5</v>
      </c>
      <c r="AC937" s="40" t="s">
        <v>2372</v>
      </c>
      <c r="AD937" s="9">
        <f>$AB937</f>
        <v>35.5</v>
      </c>
    </row>
    <row r="938" spans="1:30" ht="18.399999999999999" customHeight="1" x14ac:dyDescent="0.15">
      <c r="A938" s="43"/>
      <c r="B938" s="3"/>
      <c r="C938" s="46"/>
    </row>
    <row r="939" spans="1:30" ht="18.399999999999999" customHeight="1" x14ac:dyDescent="0.15">
      <c r="A939" s="42" t="s">
        <v>174</v>
      </c>
      <c r="B939" s="3"/>
      <c r="C939" s="46"/>
      <c r="G939" s="3" t="s">
        <v>2859</v>
      </c>
    </row>
    <row r="940" spans="1:30" ht="18.399999999999999" customHeight="1" x14ac:dyDescent="0.15">
      <c r="A940" s="42" t="s">
        <v>2859</v>
      </c>
      <c r="B940" s="3"/>
      <c r="C940" s="46"/>
      <c r="K940" s="3" t="s">
        <v>2859</v>
      </c>
    </row>
    <row r="941" spans="1:30" ht="18.399999999999999" customHeight="1" x14ac:dyDescent="0.15">
      <c r="A941" s="42" t="s">
        <v>193</v>
      </c>
      <c r="B941" s="3"/>
      <c r="C941" s="46"/>
      <c r="K941" s="3" t="s">
        <v>193</v>
      </c>
    </row>
    <row r="942" spans="1:30" ht="18.399999999999999" customHeight="1" x14ac:dyDescent="0.15">
      <c r="A942" s="42" t="s">
        <v>2859</v>
      </c>
      <c r="B942" s="3"/>
      <c r="C942" s="46"/>
      <c r="K942" s="3" t="s">
        <v>2859</v>
      </c>
    </row>
    <row r="943" spans="1:30" ht="18.399999999999999" customHeight="1" x14ac:dyDescent="0.15">
      <c r="A943" s="44" t="str">
        <f>CONCATENATE("          보통인부 :  2.0 인  / 8000 = ","qty 인/m2")</f>
        <v xml:space="preserve">          보통인부 :  2.0 인  / 8000 = qty 인/m2</v>
      </c>
      <c r="B943" s="3">
        <f>$AB943</f>
        <v>2.9999999999999997E-4</v>
      </c>
      <c r="C943" s="46"/>
      <c r="K943" s="3" t="s">
        <v>1641</v>
      </c>
      <c r="AA943" s="39" t="s">
        <v>1268</v>
      </c>
      <c r="AB943" s="10">
        <f>ROUND(2/8000,4)</f>
        <v>2.9999999999999997E-4</v>
      </c>
      <c r="AC943" s="39" t="s">
        <v>2080</v>
      </c>
      <c r="AD943" s="9">
        <f>$AB943</f>
        <v>2.9999999999999997E-4</v>
      </c>
    </row>
    <row r="944" spans="1:30" ht="18.399999999999999" customHeight="1" x14ac:dyDescent="0.15">
      <c r="A944" s="43"/>
      <c r="B944" s="3"/>
      <c r="C944" s="46"/>
    </row>
    <row r="945" spans="1:30" ht="18.399999999999999" customHeight="1" x14ac:dyDescent="0.15">
      <c r="A945" s="42" t="s">
        <v>1511</v>
      </c>
      <c r="B945" s="3"/>
      <c r="C945" s="46"/>
      <c r="G945" s="3" t="s">
        <v>2859</v>
      </c>
    </row>
    <row r="946" spans="1:30" ht="18.399999999999999" customHeight="1" x14ac:dyDescent="0.15">
      <c r="A946" s="42" t="s">
        <v>2859</v>
      </c>
      <c r="B946" s="3"/>
      <c r="C946" s="46"/>
      <c r="K946" s="3" t="s">
        <v>2859</v>
      </c>
    </row>
    <row r="947" spans="1:30" ht="18.399999999999999" customHeight="1" x14ac:dyDescent="0.15">
      <c r="A947" s="42" t="s">
        <v>797</v>
      </c>
      <c r="B947" s="3"/>
      <c r="C947" s="46"/>
      <c r="K947" s="3" t="s">
        <v>797</v>
      </c>
    </row>
    <row r="948" spans="1:30" ht="18.399999999999999" customHeight="1" x14ac:dyDescent="0.15">
      <c r="A948" s="42" t="s">
        <v>2859</v>
      </c>
      <c r="B948" s="3"/>
      <c r="C948" s="46"/>
      <c r="K948" s="3" t="s">
        <v>2859</v>
      </c>
    </row>
    <row r="949" spans="1:30" ht="18.399999999999999" customHeight="1" x14ac:dyDescent="0.15">
      <c r="A949" s="44" t="str">
        <f>CONCATENATE("          8.0 hr / 8000 m2  = ","qty hr/m2")</f>
        <v xml:space="preserve">          8.0 hr / 8000 m2  = qty hr/m2</v>
      </c>
      <c r="B949" s="3">
        <f>$AB949</f>
        <v>1E-3</v>
      </c>
      <c r="C949" s="46"/>
      <c r="K949" s="3" t="s">
        <v>2381</v>
      </c>
      <c r="AA949" s="39" t="s">
        <v>1268</v>
      </c>
      <c r="AB949" s="10">
        <f>ROUND(8/8000,4)</f>
        <v>1E-3</v>
      </c>
      <c r="AC949" s="39" t="s">
        <v>2080</v>
      </c>
      <c r="AD949" s="9">
        <f>$AB949</f>
        <v>1E-3</v>
      </c>
    </row>
    <row r="950" spans="1:30" ht="18.399999999999999" customHeight="1" x14ac:dyDescent="0.15">
      <c r="A950" s="42"/>
      <c r="B950" s="3"/>
      <c r="C950" s="46"/>
    </row>
    <row r="951" spans="1:30" ht="18.399999999999999" customHeight="1" thickBot="1" x14ac:dyDescent="0.2">
      <c r="A951" s="45"/>
      <c r="B951" s="5"/>
      <c r="C951" s="49"/>
    </row>
    <row r="952" spans="1:30" ht="18.399999999999999" customHeight="1" x14ac:dyDescent="0.15">
      <c r="A952" s="42"/>
      <c r="B952" s="3"/>
      <c r="C952" s="46"/>
    </row>
    <row r="953" spans="1:30" ht="18.399999999999999" customHeight="1" x14ac:dyDescent="0.15">
      <c r="A953" s="42" t="s">
        <v>557</v>
      </c>
      <c r="B953" s="36">
        <v>1</v>
      </c>
      <c r="C953" s="46" t="s">
        <v>2859</v>
      </c>
    </row>
    <row r="954" spans="1:30" ht="18.399999999999999" customHeight="1" x14ac:dyDescent="0.15">
      <c r="A954" s="43"/>
      <c r="B954" s="3"/>
      <c r="C954" s="46"/>
    </row>
    <row r="955" spans="1:30" ht="18.399999999999999" customHeight="1" x14ac:dyDescent="0.15">
      <c r="A955" s="42" t="s">
        <v>1132</v>
      </c>
      <c r="B955" s="3"/>
      <c r="C955" s="46"/>
      <c r="G955" s="3" t="s">
        <v>1571</v>
      </c>
    </row>
    <row r="956" spans="1:30" ht="18.399999999999999" customHeight="1" x14ac:dyDescent="0.15">
      <c r="A956" s="42" t="s">
        <v>329</v>
      </c>
      <c r="B956" s="3"/>
      <c r="C956" s="46"/>
      <c r="K956" s="3" t="s">
        <v>1578</v>
      </c>
    </row>
    <row r="957" spans="1:30" ht="18.399999999999999" customHeight="1" x14ac:dyDescent="0.15">
      <c r="A957" s="42" t="s">
        <v>2859</v>
      </c>
      <c r="B957" s="3"/>
      <c r="C957" s="46"/>
      <c r="K957" s="3" t="s">
        <v>2859</v>
      </c>
    </row>
    <row r="958" spans="1:30" ht="18.399999999999999" customHeight="1" x14ac:dyDescent="0.15">
      <c r="A958" s="42" t="s">
        <v>1926</v>
      </c>
      <c r="B958" s="3"/>
      <c r="C958" s="46"/>
      <c r="K958" s="3" t="s">
        <v>1926</v>
      </c>
    </row>
    <row r="959" spans="1:30" ht="18.399999999999999" customHeight="1" x14ac:dyDescent="0.15">
      <c r="A959" s="42" t="s">
        <v>2859</v>
      </c>
      <c r="B959" s="3"/>
      <c r="C959" s="46"/>
      <c r="K959" s="3" t="s">
        <v>2859</v>
      </c>
    </row>
    <row r="960" spans="1:30" ht="18.399999999999999" customHeight="1" x14ac:dyDescent="0.15">
      <c r="A960" s="42" t="s">
        <v>996</v>
      </c>
      <c r="B960" s="3"/>
      <c r="C960" s="46"/>
      <c r="K960" s="3" t="s">
        <v>18</v>
      </c>
    </row>
    <row r="961" spans="1:30" ht="18.399999999999999" customHeight="1" x14ac:dyDescent="0.15">
      <c r="A961" s="42" t="s">
        <v>2859</v>
      </c>
      <c r="B961" s="3"/>
      <c r="C961" s="46"/>
      <c r="K961" s="3" t="s">
        <v>2859</v>
      </c>
    </row>
    <row r="962" spans="1:30" ht="18.399999999999999" customHeight="1" x14ac:dyDescent="0.15">
      <c r="A962" s="44" t="str">
        <f>CONCATENATE("          0.75  L/m2  * 1.03 = ","qty L/m2")</f>
        <v xml:space="preserve">          0.75  L/m2  * 1.03 = qty L/m2</v>
      </c>
      <c r="B962" s="3">
        <f>$AB962</f>
        <v>0.77249999999999996</v>
      </c>
      <c r="C962" s="46"/>
      <c r="K962" s="3" t="s">
        <v>1957</v>
      </c>
      <c r="AA962" s="39" t="s">
        <v>1268</v>
      </c>
      <c r="AB962" s="10">
        <f>ROUND(0.75*1.03,4)</f>
        <v>0.77249999999999996</v>
      </c>
      <c r="AC962" s="39" t="s">
        <v>2080</v>
      </c>
      <c r="AD962" s="9">
        <f>$AB962</f>
        <v>0.77249999999999996</v>
      </c>
    </row>
    <row r="963" spans="1:30" ht="18.399999999999999" customHeight="1" x14ac:dyDescent="0.15">
      <c r="A963" s="42" t="s">
        <v>2859</v>
      </c>
      <c r="B963" s="3"/>
      <c r="C963" s="46"/>
      <c r="K963" s="3" t="s">
        <v>2859</v>
      </c>
    </row>
    <row r="964" spans="1:30" ht="18.399999999999999" customHeight="1" x14ac:dyDescent="0.15">
      <c r="A964" s="42" t="s">
        <v>1881</v>
      </c>
      <c r="B964" s="3"/>
      <c r="C964" s="46"/>
      <c r="K964" s="3" t="s">
        <v>2531</v>
      </c>
    </row>
    <row r="965" spans="1:30" ht="18.399999999999999" customHeight="1" x14ac:dyDescent="0.15">
      <c r="A965" s="43"/>
      <c r="B965" s="3"/>
      <c r="C965" s="46"/>
    </row>
    <row r="966" spans="1:30" ht="18.399999999999999" customHeight="1" x14ac:dyDescent="0.15">
      <c r="A966" s="42" t="s">
        <v>792</v>
      </c>
      <c r="B966" s="36">
        <v>1</v>
      </c>
      <c r="C966" s="46"/>
      <c r="G966" s="3" t="s">
        <v>2859</v>
      </c>
    </row>
    <row r="967" spans="1:30" ht="18.399999999999999" customHeight="1" x14ac:dyDescent="0.15">
      <c r="A967" s="42" t="s">
        <v>2859</v>
      </c>
      <c r="B967" s="3"/>
      <c r="C967" s="46"/>
      <c r="K967" s="3" t="s">
        <v>2691</v>
      </c>
      <c r="AA967" s="40" t="s">
        <v>2113</v>
      </c>
      <c r="AB967" s="10">
        <f>1467*0.1</f>
        <v>146.70000000000002</v>
      </c>
      <c r="AC967" s="40" t="s">
        <v>2372</v>
      </c>
      <c r="AD967" s="9">
        <f>$AB967</f>
        <v>146.70000000000002</v>
      </c>
    </row>
    <row r="968" spans="1:30" ht="18.399999999999999" customHeight="1" x14ac:dyDescent="0.15">
      <c r="A968" s="43"/>
      <c r="B968" s="3"/>
      <c r="C968" s="46"/>
    </row>
    <row r="969" spans="1:30" ht="18.399999999999999" customHeight="1" x14ac:dyDescent="0.15">
      <c r="A969" s="42" t="s">
        <v>174</v>
      </c>
      <c r="B969" s="3"/>
      <c r="C969" s="46"/>
      <c r="G969" s="3" t="s">
        <v>2859</v>
      </c>
    </row>
    <row r="970" spans="1:30" ht="18.399999999999999" customHeight="1" x14ac:dyDescent="0.15">
      <c r="A970" s="42" t="s">
        <v>2859</v>
      </c>
      <c r="B970" s="3"/>
      <c r="C970" s="46"/>
      <c r="K970" s="3" t="s">
        <v>2859</v>
      </c>
    </row>
    <row r="971" spans="1:30" ht="18.399999999999999" customHeight="1" x14ac:dyDescent="0.15">
      <c r="A971" s="42" t="s">
        <v>193</v>
      </c>
      <c r="B971" s="3"/>
      <c r="C971" s="46"/>
      <c r="K971" s="3" t="s">
        <v>193</v>
      </c>
    </row>
    <row r="972" spans="1:30" ht="18.399999999999999" customHeight="1" x14ac:dyDescent="0.15">
      <c r="A972" s="42" t="s">
        <v>2859</v>
      </c>
      <c r="B972" s="3"/>
      <c r="C972" s="46"/>
      <c r="K972" s="3" t="s">
        <v>2859</v>
      </c>
    </row>
    <row r="973" spans="1:30" ht="18.399999999999999" customHeight="1" x14ac:dyDescent="0.15">
      <c r="A973" s="44" t="str">
        <f>CONCATENATE("          보통인부 :  2.0 인  / 8000 = ","qty 인/m2")</f>
        <v xml:space="preserve">          보통인부 :  2.0 인  / 8000 = qty 인/m2</v>
      </c>
      <c r="B973" s="3">
        <f>$AB973</f>
        <v>2.9999999999999997E-4</v>
      </c>
      <c r="C973" s="46"/>
      <c r="K973" s="3" t="s">
        <v>1641</v>
      </c>
      <c r="AA973" s="39" t="s">
        <v>1268</v>
      </c>
      <c r="AB973" s="10">
        <f>ROUND(2/8000,4)</f>
        <v>2.9999999999999997E-4</v>
      </c>
      <c r="AC973" s="39" t="s">
        <v>2080</v>
      </c>
      <c r="AD973" s="9">
        <f>$AB973</f>
        <v>2.9999999999999997E-4</v>
      </c>
    </row>
    <row r="974" spans="1:30" ht="18.399999999999999" customHeight="1" x14ac:dyDescent="0.15">
      <c r="A974" s="43"/>
      <c r="B974" s="3"/>
      <c r="C974" s="46"/>
    </row>
    <row r="975" spans="1:30" ht="18.399999999999999" customHeight="1" x14ac:dyDescent="0.15">
      <c r="A975" s="42" t="s">
        <v>1511</v>
      </c>
      <c r="B975" s="3"/>
      <c r="C975" s="46"/>
      <c r="G975" s="3" t="s">
        <v>2859</v>
      </c>
    </row>
    <row r="976" spans="1:30" ht="18.399999999999999" customHeight="1" x14ac:dyDescent="0.15">
      <c r="A976" s="42" t="s">
        <v>2859</v>
      </c>
      <c r="B976" s="3"/>
      <c r="C976" s="46"/>
      <c r="K976" s="3" t="s">
        <v>2859</v>
      </c>
    </row>
    <row r="977" spans="1:30" ht="18.399999999999999" customHeight="1" x14ac:dyDescent="0.15">
      <c r="A977" s="42" t="s">
        <v>797</v>
      </c>
      <c r="B977" s="3"/>
      <c r="C977" s="46"/>
      <c r="K977" s="3" t="s">
        <v>797</v>
      </c>
    </row>
    <row r="978" spans="1:30" ht="18.399999999999999" customHeight="1" x14ac:dyDescent="0.15">
      <c r="A978" s="42" t="s">
        <v>2859</v>
      </c>
      <c r="B978" s="3"/>
      <c r="C978" s="46"/>
      <c r="K978" s="3" t="s">
        <v>2859</v>
      </c>
    </row>
    <row r="979" spans="1:30" ht="18.399999999999999" customHeight="1" x14ac:dyDescent="0.15">
      <c r="A979" s="44" t="str">
        <f>CONCATENATE("          8.0 hr / 8000 m2  = ","qty hr/m2")</f>
        <v xml:space="preserve">          8.0 hr / 8000 m2  = qty hr/m2</v>
      </c>
      <c r="B979" s="3">
        <f>$AB979</f>
        <v>1E-3</v>
      </c>
      <c r="C979" s="46"/>
      <c r="K979" s="3" t="s">
        <v>2381</v>
      </c>
      <c r="AA979" s="39" t="s">
        <v>1268</v>
      </c>
      <c r="AB979" s="10">
        <f>ROUND(8/8000,4)</f>
        <v>1E-3</v>
      </c>
      <c r="AC979" s="39" t="s">
        <v>2080</v>
      </c>
      <c r="AD979" s="9">
        <f>$AB979</f>
        <v>1E-3</v>
      </c>
    </row>
    <row r="980" spans="1:30" ht="18.399999999999999" customHeight="1" x14ac:dyDescent="0.15">
      <c r="A980" s="42"/>
      <c r="B980" s="3"/>
      <c r="C980" s="46"/>
    </row>
    <row r="981" spans="1:30" ht="18.399999999999999" customHeight="1" thickBot="1" x14ac:dyDescent="0.2">
      <c r="A981" s="45"/>
      <c r="B981" s="5"/>
      <c r="C981" s="49"/>
    </row>
    <row r="982" spans="1:30" ht="18.399999999999999" customHeight="1" x14ac:dyDescent="0.15">
      <c r="A982" s="42"/>
      <c r="B982" s="3"/>
      <c r="C982" s="46"/>
    </row>
    <row r="983" spans="1:30" ht="18.399999999999999" customHeight="1" x14ac:dyDescent="0.15">
      <c r="A983" s="42" t="s">
        <v>541</v>
      </c>
      <c r="B983" s="36">
        <v>1</v>
      </c>
      <c r="C983" s="46" t="s">
        <v>2859</v>
      </c>
    </row>
    <row r="984" spans="1:30" ht="18.399999999999999" customHeight="1" x14ac:dyDescent="0.15">
      <c r="A984" s="43"/>
      <c r="B984" s="3"/>
      <c r="C984" s="46"/>
    </row>
    <row r="985" spans="1:30" ht="18.399999999999999" customHeight="1" x14ac:dyDescent="0.15">
      <c r="A985" s="42" t="s">
        <v>1093</v>
      </c>
      <c r="B985" s="3"/>
      <c r="C985" s="46"/>
      <c r="G985" s="3" t="s">
        <v>2835</v>
      </c>
    </row>
    <row r="986" spans="1:30" ht="18.399999999999999" customHeight="1" x14ac:dyDescent="0.15">
      <c r="A986" s="42" t="s">
        <v>2061</v>
      </c>
      <c r="B986" s="3"/>
      <c r="C986" s="46"/>
      <c r="K986" s="3" t="s">
        <v>1922</v>
      </c>
    </row>
    <row r="987" spans="1:30" ht="18.399999999999999" customHeight="1" x14ac:dyDescent="0.15">
      <c r="A987" s="42" t="s">
        <v>2859</v>
      </c>
      <c r="B987" s="3"/>
      <c r="C987" s="46"/>
      <c r="K987" s="3" t="s">
        <v>2859</v>
      </c>
    </row>
    <row r="988" spans="1:30" ht="18.399999999999999" customHeight="1" x14ac:dyDescent="0.15">
      <c r="A988" s="42" t="s">
        <v>313</v>
      </c>
      <c r="B988" s="3"/>
      <c r="C988" s="46"/>
      <c r="K988" s="3" t="s">
        <v>313</v>
      </c>
    </row>
    <row r="989" spans="1:30" ht="18.399999999999999" customHeight="1" x14ac:dyDescent="0.15">
      <c r="A989" s="42" t="s">
        <v>2859</v>
      </c>
      <c r="B989" s="3"/>
      <c r="C989" s="46"/>
      <c r="K989" s="3" t="s">
        <v>2859</v>
      </c>
    </row>
    <row r="990" spans="1:30" ht="18.399999999999999" customHeight="1" x14ac:dyDescent="0.15">
      <c r="A990" s="44" t="str">
        <f>CONCATENATE("          1 m  * 1.03 ea  = ","qty  ea")</f>
        <v xml:space="preserve">          1 m  * 1.03 ea  = qty  ea</v>
      </c>
      <c r="B990" s="3">
        <f>$AB990</f>
        <v>1.03</v>
      </c>
      <c r="C990" s="46"/>
      <c r="K990" s="3" t="s">
        <v>1650</v>
      </c>
      <c r="AA990" s="39" t="s">
        <v>1268</v>
      </c>
      <c r="AB990" s="10">
        <f>ROUND(1*1.03,4)</f>
        <v>1.03</v>
      </c>
      <c r="AC990" s="39" t="s">
        <v>2080</v>
      </c>
      <c r="AD990" s="9">
        <f>$AB990</f>
        <v>1.03</v>
      </c>
    </row>
    <row r="991" spans="1:30" ht="18.399999999999999" customHeight="1" x14ac:dyDescent="0.15">
      <c r="A991" s="43"/>
      <c r="B991" s="3"/>
      <c r="C991" s="46"/>
    </row>
    <row r="992" spans="1:30" ht="18.399999999999999" customHeight="1" x14ac:dyDescent="0.15">
      <c r="A992" s="42" t="s">
        <v>174</v>
      </c>
      <c r="B992" s="3"/>
      <c r="C992" s="46"/>
      <c r="G992" s="3" t="s">
        <v>2859</v>
      </c>
    </row>
    <row r="993" spans="1:30" ht="18.399999999999999" customHeight="1" x14ac:dyDescent="0.15">
      <c r="A993" s="42" t="s">
        <v>2859</v>
      </c>
      <c r="B993" s="3"/>
      <c r="C993" s="46"/>
      <c r="K993" s="3" t="s">
        <v>2859</v>
      </c>
    </row>
    <row r="994" spans="1:30" ht="18.399999999999999" customHeight="1" x14ac:dyDescent="0.15">
      <c r="A994" s="42" t="s">
        <v>519</v>
      </c>
      <c r="B994" s="3"/>
      <c r="C994" s="46"/>
      <c r="K994" s="3" t="s">
        <v>519</v>
      </c>
    </row>
    <row r="995" spans="1:30" ht="18.399999999999999" customHeight="1" x14ac:dyDescent="0.15">
      <c r="A995" s="42" t="s">
        <v>2859</v>
      </c>
      <c r="B995" s="3"/>
      <c r="C995" s="46"/>
      <c r="K995" s="3" t="s">
        <v>2859</v>
      </c>
    </row>
    <row r="996" spans="1:30" ht="18.399999999999999" customHeight="1" x14ac:dyDescent="0.15">
      <c r="A996" s="42" t="s">
        <v>155</v>
      </c>
      <c r="B996" s="3"/>
      <c r="C996" s="46"/>
      <c r="K996" s="3" t="s">
        <v>33</v>
      </c>
    </row>
    <row r="997" spans="1:30" ht="18.399999999999999" customHeight="1" x14ac:dyDescent="0.15">
      <c r="A997" s="42" t="s">
        <v>2859</v>
      </c>
      <c r="B997" s="3"/>
      <c r="C997" s="46"/>
      <c r="K997" s="3" t="s">
        <v>2859</v>
      </c>
    </row>
    <row r="998" spans="1:30" ht="18.399999999999999" customHeight="1" x14ac:dyDescent="0.15">
      <c r="A998" s="44" t="str">
        <f>CONCATENATE("          1 / 90 = ","QTY 인/m")</f>
        <v xml:space="preserve">          1 / 90 = QTY 인/m</v>
      </c>
      <c r="B998" s="3">
        <f>$AB998</f>
        <v>1.11E-2</v>
      </c>
      <c r="C998" s="46"/>
      <c r="K998" s="3" t="s">
        <v>2139</v>
      </c>
      <c r="AA998" s="39" t="s">
        <v>1268</v>
      </c>
      <c r="AB998" s="10">
        <f>ROUND(1/90,4)</f>
        <v>1.11E-2</v>
      </c>
      <c r="AC998" s="39" t="s">
        <v>2080</v>
      </c>
      <c r="AD998" s="9">
        <f>$AB998</f>
        <v>1.11E-2</v>
      </c>
    </row>
    <row r="999" spans="1:30" ht="18.399999999999999" customHeight="1" x14ac:dyDescent="0.15">
      <c r="A999" s="43"/>
      <c r="B999" s="3"/>
      <c r="C999" s="46"/>
    </row>
    <row r="1000" spans="1:30" ht="18.399999999999999" customHeight="1" x14ac:dyDescent="0.15">
      <c r="A1000" s="42" t="s">
        <v>133</v>
      </c>
      <c r="B1000" s="3"/>
      <c r="C1000" s="46"/>
      <c r="G1000" s="3" t="s">
        <v>2859</v>
      </c>
    </row>
    <row r="1001" spans="1:30" ht="18.399999999999999" customHeight="1" x14ac:dyDescent="0.15">
      <c r="A1001" s="42" t="s">
        <v>670</v>
      </c>
      <c r="B1001" s="3"/>
      <c r="C1001" s="46"/>
      <c r="K1001" s="3" t="s">
        <v>1157</v>
      </c>
    </row>
    <row r="1002" spans="1:30" ht="18.399999999999999" customHeight="1" x14ac:dyDescent="0.15">
      <c r="A1002" s="42" t="s">
        <v>2859</v>
      </c>
      <c r="B1002" s="3"/>
      <c r="C1002" s="46"/>
      <c r="K1002" s="3" t="s">
        <v>2859</v>
      </c>
    </row>
    <row r="1003" spans="1:30" ht="18.399999999999999" customHeight="1" x14ac:dyDescent="0.15">
      <c r="A1003" s="44" t="str">
        <f>CONCATENATE("          3 / 90 = ","QTY 인/m")</f>
        <v xml:space="preserve">          3 / 90 = QTY 인/m</v>
      </c>
      <c r="B1003" s="3">
        <f>$AB1003</f>
        <v>3.3300000000000003E-2</v>
      </c>
      <c r="C1003" s="46"/>
      <c r="K1003" s="3" t="s">
        <v>2593</v>
      </c>
      <c r="AA1003" s="39" t="s">
        <v>1268</v>
      </c>
      <c r="AB1003" s="10">
        <f>ROUND(3/90,4)</f>
        <v>3.3300000000000003E-2</v>
      </c>
      <c r="AC1003" s="39" t="s">
        <v>2080</v>
      </c>
      <c r="AD1003" s="9">
        <f>$AB1003</f>
        <v>3.3300000000000003E-2</v>
      </c>
    </row>
    <row r="1004" spans="1:30" ht="18.399999999999999" customHeight="1" x14ac:dyDescent="0.15">
      <c r="A1004" s="43"/>
      <c r="B1004" s="3"/>
      <c r="C1004" s="46"/>
    </row>
    <row r="1005" spans="1:30" ht="18.399999999999999" customHeight="1" x14ac:dyDescent="0.15">
      <c r="A1005" s="42" t="s">
        <v>978</v>
      </c>
      <c r="B1005" s="3"/>
      <c r="C1005" s="46"/>
      <c r="G1005" s="3" t="s">
        <v>2859</v>
      </c>
    </row>
    <row r="1006" spans="1:30" ht="18.399999999999999" customHeight="1" x14ac:dyDescent="0.15">
      <c r="A1006" s="42" t="s">
        <v>2859</v>
      </c>
      <c r="B1006" s="3"/>
      <c r="C1006" s="46"/>
      <c r="K1006" s="3" t="s">
        <v>2859</v>
      </c>
    </row>
    <row r="1007" spans="1:30" ht="18.399999999999999" customHeight="1" x14ac:dyDescent="0.15">
      <c r="A1007" s="42" t="s">
        <v>1351</v>
      </c>
      <c r="B1007" s="3"/>
      <c r="C1007" s="46"/>
      <c r="K1007" s="3" t="s">
        <v>1351</v>
      </c>
    </row>
    <row r="1008" spans="1:30" ht="18.399999999999999" customHeight="1" x14ac:dyDescent="0.15">
      <c r="A1008" s="42" t="s">
        <v>2859</v>
      </c>
      <c r="B1008" s="3"/>
      <c r="C1008" s="46"/>
      <c r="K1008" s="3" t="s">
        <v>2859</v>
      </c>
    </row>
    <row r="1009" spans="1:30" ht="18.399999999999999" customHeight="1" x14ac:dyDescent="0.15">
      <c r="A1009" s="44" t="str">
        <f>CONCATENATE("          8.0 hr / 90 m  = ","qty hr/m")</f>
        <v xml:space="preserve">          8.0 hr / 90 m  = qty hr/m</v>
      </c>
      <c r="B1009" s="3">
        <f>$AB1009</f>
        <v>8.8900000000000007E-2</v>
      </c>
      <c r="C1009" s="46"/>
      <c r="K1009" s="3" t="s">
        <v>789</v>
      </c>
      <c r="AA1009" s="39" t="s">
        <v>1268</v>
      </c>
      <c r="AB1009" s="10">
        <f>ROUND(8/90,4)</f>
        <v>8.8900000000000007E-2</v>
      </c>
      <c r="AC1009" s="39" t="s">
        <v>2080</v>
      </c>
      <c r="AD1009" s="9">
        <f>$AB1009</f>
        <v>8.8900000000000007E-2</v>
      </c>
    </row>
    <row r="1010" spans="1:30" ht="18.399999999999999" customHeight="1" x14ac:dyDescent="0.15">
      <c r="A1010" s="42"/>
      <c r="B1010" s="3"/>
      <c r="C1010" s="46"/>
    </row>
    <row r="1011" spans="1:30" ht="18.399999999999999" customHeight="1" thickBot="1" x14ac:dyDescent="0.2">
      <c r="A1011" s="45"/>
      <c r="B1011" s="5"/>
      <c r="C1011" s="49"/>
    </row>
    <row r="1012" spans="1:30" ht="18.399999999999999" customHeight="1" x14ac:dyDescent="0.15">
      <c r="A1012" s="42"/>
      <c r="B1012" s="3"/>
      <c r="C1012" s="46"/>
    </row>
    <row r="1013" spans="1:30" ht="18.399999999999999" customHeight="1" x14ac:dyDescent="0.15">
      <c r="A1013" s="42" t="s">
        <v>1087</v>
      </c>
      <c r="B1013" s="36">
        <v>1</v>
      </c>
      <c r="C1013" s="46" t="s">
        <v>2859</v>
      </c>
    </row>
    <row r="1014" spans="1:30" ht="18.399999999999999" customHeight="1" x14ac:dyDescent="0.15">
      <c r="A1014" s="43"/>
      <c r="B1014" s="3"/>
      <c r="C1014" s="46"/>
    </row>
    <row r="1015" spans="1:30" ht="18.399999999999999" customHeight="1" x14ac:dyDescent="0.15">
      <c r="A1015" s="42" t="s">
        <v>1093</v>
      </c>
      <c r="B1015" s="3"/>
      <c r="C1015" s="46"/>
      <c r="G1015" s="3" t="s">
        <v>677</v>
      </c>
    </row>
    <row r="1016" spans="1:30" ht="18.399999999999999" customHeight="1" x14ac:dyDescent="0.15">
      <c r="A1016" s="42" t="s">
        <v>2145</v>
      </c>
      <c r="B1016" s="3"/>
      <c r="C1016" s="46"/>
      <c r="K1016" s="3" t="s">
        <v>2115</v>
      </c>
    </row>
    <row r="1017" spans="1:30" ht="18.399999999999999" customHeight="1" x14ac:dyDescent="0.15">
      <c r="A1017" s="42" t="s">
        <v>2859</v>
      </c>
      <c r="B1017" s="3"/>
      <c r="C1017" s="46"/>
      <c r="K1017" s="3" t="s">
        <v>2859</v>
      </c>
    </row>
    <row r="1018" spans="1:30" ht="18.399999999999999" customHeight="1" x14ac:dyDescent="0.15">
      <c r="A1018" s="42" t="s">
        <v>224</v>
      </c>
      <c r="B1018" s="3"/>
      <c r="C1018" s="46"/>
      <c r="K1018" s="3" t="s">
        <v>224</v>
      </c>
    </row>
    <row r="1019" spans="1:30" ht="18.399999999999999" customHeight="1" x14ac:dyDescent="0.15">
      <c r="A1019" s="42" t="s">
        <v>2859</v>
      </c>
      <c r="B1019" s="3"/>
      <c r="C1019" s="46"/>
      <c r="K1019" s="3" t="s">
        <v>2859</v>
      </c>
    </row>
    <row r="1020" spans="1:30" ht="18.399999999999999" customHeight="1" x14ac:dyDescent="0.15">
      <c r="A1020" s="44" t="str">
        <f>CONCATENATE("          1 m  * 1.03 ea  = ","qty  ea")</f>
        <v xml:space="preserve">          1 m  * 1.03 ea  = qty  ea</v>
      </c>
      <c r="B1020" s="3">
        <f>$AB1020</f>
        <v>1.03</v>
      </c>
      <c r="C1020" s="46"/>
      <c r="K1020" s="3" t="s">
        <v>1650</v>
      </c>
      <c r="AA1020" s="39" t="s">
        <v>1268</v>
      </c>
      <c r="AB1020" s="10">
        <f>ROUND(1*1.03,4)</f>
        <v>1.03</v>
      </c>
      <c r="AC1020" s="39" t="s">
        <v>2080</v>
      </c>
      <c r="AD1020" s="9">
        <f>$AB1020</f>
        <v>1.03</v>
      </c>
    </row>
    <row r="1021" spans="1:30" ht="18.399999999999999" customHeight="1" x14ac:dyDescent="0.15">
      <c r="A1021" s="43"/>
      <c r="B1021" s="3"/>
      <c r="C1021" s="46"/>
    </row>
    <row r="1022" spans="1:30" ht="18.399999999999999" customHeight="1" x14ac:dyDescent="0.15">
      <c r="A1022" s="42" t="s">
        <v>174</v>
      </c>
      <c r="B1022" s="3"/>
      <c r="C1022" s="46"/>
      <c r="G1022" s="3" t="s">
        <v>2859</v>
      </c>
    </row>
    <row r="1023" spans="1:30" ht="18.399999999999999" customHeight="1" x14ac:dyDescent="0.15">
      <c r="A1023" s="42" t="s">
        <v>2859</v>
      </c>
      <c r="B1023" s="3"/>
      <c r="C1023" s="46"/>
      <c r="K1023" s="3" t="s">
        <v>2859</v>
      </c>
    </row>
    <row r="1024" spans="1:30" ht="18.399999999999999" customHeight="1" x14ac:dyDescent="0.15">
      <c r="A1024" s="42" t="s">
        <v>519</v>
      </c>
      <c r="B1024" s="3"/>
      <c r="C1024" s="46"/>
      <c r="K1024" s="3" t="s">
        <v>519</v>
      </c>
    </row>
    <row r="1025" spans="1:30" ht="18.399999999999999" customHeight="1" x14ac:dyDescent="0.15">
      <c r="A1025" s="42" t="s">
        <v>2859</v>
      </c>
      <c r="B1025" s="3"/>
      <c r="C1025" s="46"/>
      <c r="K1025" s="3" t="s">
        <v>2859</v>
      </c>
    </row>
    <row r="1026" spans="1:30" ht="18.399999999999999" customHeight="1" x14ac:dyDescent="0.15">
      <c r="A1026" s="42" t="s">
        <v>2296</v>
      </c>
      <c r="B1026" s="3"/>
      <c r="C1026" s="46"/>
      <c r="K1026" s="3" t="s">
        <v>1665</v>
      </c>
    </row>
    <row r="1027" spans="1:30" ht="18.399999999999999" customHeight="1" x14ac:dyDescent="0.15">
      <c r="A1027" s="42" t="s">
        <v>2859</v>
      </c>
      <c r="B1027" s="3"/>
      <c r="C1027" s="46"/>
      <c r="K1027" s="3" t="s">
        <v>2859</v>
      </c>
    </row>
    <row r="1028" spans="1:30" ht="18.399999999999999" customHeight="1" x14ac:dyDescent="0.15">
      <c r="A1028" s="44" t="str">
        <f>CONCATENATE("          1 / 80 = ","QTY 인/m")</f>
        <v xml:space="preserve">          1 / 80 = QTY 인/m</v>
      </c>
      <c r="B1028" s="3">
        <f>$AB1028</f>
        <v>1.2500000000000001E-2</v>
      </c>
      <c r="C1028" s="46"/>
      <c r="K1028" s="3" t="s">
        <v>505</v>
      </c>
      <c r="AA1028" s="39" t="s">
        <v>1268</v>
      </c>
      <c r="AB1028" s="10">
        <f>ROUND(1/80,4)</f>
        <v>1.2500000000000001E-2</v>
      </c>
      <c r="AC1028" s="39" t="s">
        <v>2080</v>
      </c>
      <c r="AD1028" s="9">
        <f>$AB1028</f>
        <v>1.2500000000000001E-2</v>
      </c>
    </row>
    <row r="1029" spans="1:30" ht="18.399999999999999" customHeight="1" x14ac:dyDescent="0.15">
      <c r="A1029" s="43"/>
      <c r="B1029" s="3"/>
      <c r="C1029" s="46"/>
    </row>
    <row r="1030" spans="1:30" ht="18.399999999999999" customHeight="1" x14ac:dyDescent="0.15">
      <c r="A1030" s="42" t="s">
        <v>133</v>
      </c>
      <c r="B1030" s="3"/>
      <c r="C1030" s="46"/>
      <c r="G1030" s="3" t="s">
        <v>2859</v>
      </c>
    </row>
    <row r="1031" spans="1:30" ht="18.399999999999999" customHeight="1" x14ac:dyDescent="0.15">
      <c r="A1031" s="42" t="s">
        <v>2844</v>
      </c>
      <c r="B1031" s="3"/>
      <c r="C1031" s="46"/>
      <c r="K1031" s="3" t="s">
        <v>2723</v>
      </c>
    </row>
    <row r="1032" spans="1:30" ht="18.399999999999999" customHeight="1" x14ac:dyDescent="0.15">
      <c r="A1032" s="42" t="s">
        <v>2859</v>
      </c>
      <c r="B1032" s="3"/>
      <c r="C1032" s="46"/>
      <c r="K1032" s="3" t="s">
        <v>2859</v>
      </c>
    </row>
    <row r="1033" spans="1:30" ht="18.399999999999999" customHeight="1" x14ac:dyDescent="0.15">
      <c r="A1033" s="44" t="str">
        <f>CONCATENATE("          3 / 80 = ","QTY 인/m")</f>
        <v xml:space="preserve">          3 / 80 = QTY 인/m</v>
      </c>
      <c r="B1033" s="3">
        <f>$AB1033</f>
        <v>3.7499999999999999E-2</v>
      </c>
      <c r="C1033" s="46"/>
      <c r="K1033" s="3" t="s">
        <v>231</v>
      </c>
      <c r="AA1033" s="39" t="s">
        <v>1268</v>
      </c>
      <c r="AB1033" s="10">
        <f>ROUND(3/80,4)</f>
        <v>3.7499999999999999E-2</v>
      </c>
      <c r="AC1033" s="39" t="s">
        <v>2080</v>
      </c>
      <c r="AD1033" s="9">
        <f>$AB1033</f>
        <v>3.7499999999999999E-2</v>
      </c>
    </row>
    <row r="1034" spans="1:30" ht="18.399999999999999" customHeight="1" x14ac:dyDescent="0.15">
      <c r="A1034" s="43"/>
      <c r="B1034" s="3"/>
      <c r="C1034" s="46"/>
    </row>
    <row r="1035" spans="1:30" ht="18.399999999999999" customHeight="1" x14ac:dyDescent="0.15">
      <c r="A1035" s="42" t="s">
        <v>978</v>
      </c>
      <c r="B1035" s="3"/>
      <c r="C1035" s="46"/>
      <c r="G1035" s="3" t="s">
        <v>2859</v>
      </c>
    </row>
    <row r="1036" spans="1:30" ht="18.399999999999999" customHeight="1" x14ac:dyDescent="0.15">
      <c r="A1036" s="42" t="s">
        <v>2859</v>
      </c>
      <c r="B1036" s="3"/>
      <c r="C1036" s="46"/>
      <c r="K1036" s="3" t="s">
        <v>2859</v>
      </c>
    </row>
    <row r="1037" spans="1:30" ht="18.399999999999999" customHeight="1" x14ac:dyDescent="0.15">
      <c r="A1037" s="42" t="s">
        <v>1351</v>
      </c>
      <c r="B1037" s="3"/>
      <c r="C1037" s="46"/>
      <c r="K1037" s="3" t="s">
        <v>1351</v>
      </c>
    </row>
    <row r="1038" spans="1:30" ht="18.399999999999999" customHeight="1" x14ac:dyDescent="0.15">
      <c r="A1038" s="42" t="s">
        <v>2859</v>
      </c>
      <c r="B1038" s="3"/>
      <c r="C1038" s="46"/>
      <c r="K1038" s="3" t="s">
        <v>2859</v>
      </c>
    </row>
    <row r="1039" spans="1:30" ht="18.399999999999999" customHeight="1" x14ac:dyDescent="0.15">
      <c r="A1039" s="44" t="str">
        <f>CONCATENATE("          8.0 hr / 80 m  = ","qty hr/m")</f>
        <v xml:space="preserve">          8.0 hr / 80 m  = qty hr/m</v>
      </c>
      <c r="B1039" s="3">
        <f>$AB1039</f>
        <v>0.1</v>
      </c>
      <c r="C1039" s="46"/>
      <c r="K1039" s="3" t="s">
        <v>1130</v>
      </c>
      <c r="AA1039" s="39" t="s">
        <v>1268</v>
      </c>
      <c r="AB1039" s="10">
        <f>ROUND(8/80,4)</f>
        <v>0.1</v>
      </c>
      <c r="AC1039" s="39" t="s">
        <v>2080</v>
      </c>
      <c r="AD1039" s="9">
        <f>$AB1039</f>
        <v>0.1</v>
      </c>
    </row>
    <row r="1040" spans="1:30" ht="18.399999999999999" customHeight="1" x14ac:dyDescent="0.15">
      <c r="A1040" s="42"/>
      <c r="B1040" s="3"/>
      <c r="C1040" s="46"/>
    </row>
    <row r="1041" spans="1:30" ht="18.399999999999999" customHeight="1" thickBot="1" x14ac:dyDescent="0.2">
      <c r="A1041" s="45"/>
      <c r="B1041" s="5"/>
      <c r="C1041" s="49"/>
    </row>
    <row r="1042" spans="1:30" ht="18.399999999999999" customHeight="1" x14ac:dyDescent="0.15">
      <c r="A1042" s="42"/>
      <c r="B1042" s="3"/>
      <c r="C1042" s="46"/>
    </row>
    <row r="1043" spans="1:30" ht="18.399999999999999" customHeight="1" x14ac:dyDescent="0.15">
      <c r="A1043" s="42" t="s">
        <v>1271</v>
      </c>
      <c r="B1043" s="36">
        <v>1</v>
      </c>
      <c r="C1043" s="46" t="s">
        <v>2859</v>
      </c>
    </row>
    <row r="1044" spans="1:30" ht="18.399999999999999" customHeight="1" x14ac:dyDescent="0.15">
      <c r="A1044" s="43"/>
      <c r="B1044" s="3"/>
      <c r="C1044" s="46"/>
    </row>
    <row r="1045" spans="1:30" ht="18.399999999999999" customHeight="1" x14ac:dyDescent="0.15">
      <c r="A1045" s="42" t="s">
        <v>1093</v>
      </c>
      <c r="B1045" s="3"/>
      <c r="C1045" s="46"/>
      <c r="G1045" s="3" t="s">
        <v>677</v>
      </c>
    </row>
    <row r="1046" spans="1:30" ht="18.399999999999999" customHeight="1" x14ac:dyDescent="0.15">
      <c r="A1046" s="42" t="s">
        <v>2365</v>
      </c>
      <c r="B1046" s="3"/>
      <c r="C1046" s="46"/>
      <c r="K1046" s="3" t="s">
        <v>1755</v>
      </c>
    </row>
    <row r="1047" spans="1:30" ht="18.399999999999999" customHeight="1" x14ac:dyDescent="0.15">
      <c r="A1047" s="42" t="s">
        <v>2859</v>
      </c>
      <c r="B1047" s="3"/>
      <c r="C1047" s="46"/>
      <c r="K1047" s="3" t="s">
        <v>2859</v>
      </c>
    </row>
    <row r="1048" spans="1:30" ht="18.399999999999999" customHeight="1" x14ac:dyDescent="0.15">
      <c r="A1048" s="42" t="s">
        <v>1300</v>
      </c>
      <c r="B1048" s="3"/>
      <c r="C1048" s="46"/>
      <c r="K1048" s="3" t="s">
        <v>1300</v>
      </c>
    </row>
    <row r="1049" spans="1:30" ht="18.399999999999999" customHeight="1" x14ac:dyDescent="0.15">
      <c r="A1049" s="42" t="s">
        <v>2859</v>
      </c>
      <c r="B1049" s="3"/>
      <c r="C1049" s="46"/>
      <c r="K1049" s="3" t="s">
        <v>2859</v>
      </c>
    </row>
    <row r="1050" spans="1:30" ht="18.399999999999999" customHeight="1" x14ac:dyDescent="0.15">
      <c r="A1050" s="44" t="str">
        <f>CONCATENATE("          1 m  * 1.03 ea  = ","qty  ea")</f>
        <v xml:space="preserve">          1 m  * 1.03 ea  = qty  ea</v>
      </c>
      <c r="B1050" s="3">
        <f>$AB1050</f>
        <v>1.03</v>
      </c>
      <c r="C1050" s="46"/>
      <c r="K1050" s="3" t="s">
        <v>1650</v>
      </c>
      <c r="AA1050" s="39" t="s">
        <v>1268</v>
      </c>
      <c r="AB1050" s="10">
        <f>ROUND(1*1.03,4)</f>
        <v>1.03</v>
      </c>
      <c r="AC1050" s="39" t="s">
        <v>2080</v>
      </c>
      <c r="AD1050" s="9">
        <f>$AB1050</f>
        <v>1.03</v>
      </c>
    </row>
    <row r="1051" spans="1:30" ht="18.399999999999999" customHeight="1" x14ac:dyDescent="0.15">
      <c r="A1051" s="43"/>
      <c r="B1051" s="3"/>
      <c r="C1051" s="46"/>
    </row>
    <row r="1052" spans="1:30" ht="18.399999999999999" customHeight="1" x14ac:dyDescent="0.15">
      <c r="A1052" s="42" t="s">
        <v>174</v>
      </c>
      <c r="B1052" s="3"/>
      <c r="C1052" s="46"/>
      <c r="G1052" s="3" t="s">
        <v>2859</v>
      </c>
    </row>
    <row r="1053" spans="1:30" ht="18.399999999999999" customHeight="1" x14ac:dyDescent="0.15">
      <c r="A1053" s="42" t="s">
        <v>2859</v>
      </c>
      <c r="B1053" s="3"/>
      <c r="C1053" s="46"/>
      <c r="K1053" s="3" t="s">
        <v>2859</v>
      </c>
    </row>
    <row r="1054" spans="1:30" ht="18.399999999999999" customHeight="1" x14ac:dyDescent="0.15">
      <c r="A1054" s="42" t="s">
        <v>519</v>
      </c>
      <c r="B1054" s="3"/>
      <c r="C1054" s="46"/>
      <c r="K1054" s="3" t="s">
        <v>519</v>
      </c>
    </row>
    <row r="1055" spans="1:30" ht="18.399999999999999" customHeight="1" x14ac:dyDescent="0.15">
      <c r="A1055" s="42" t="s">
        <v>2859</v>
      </c>
      <c r="B1055" s="3"/>
      <c r="C1055" s="46"/>
      <c r="K1055" s="3" t="s">
        <v>2859</v>
      </c>
    </row>
    <row r="1056" spans="1:30" ht="18.399999999999999" customHeight="1" x14ac:dyDescent="0.15">
      <c r="A1056" s="42" t="s">
        <v>57</v>
      </c>
      <c r="B1056" s="3"/>
      <c r="C1056" s="46"/>
      <c r="K1056" s="3" t="s">
        <v>1285</v>
      </c>
    </row>
    <row r="1057" spans="1:30" ht="18.399999999999999" customHeight="1" x14ac:dyDescent="0.15">
      <c r="A1057" s="42" t="s">
        <v>2859</v>
      </c>
      <c r="B1057" s="3"/>
      <c r="C1057" s="46"/>
      <c r="K1057" s="3" t="s">
        <v>2859</v>
      </c>
    </row>
    <row r="1058" spans="1:30" ht="18.399999999999999" customHeight="1" x14ac:dyDescent="0.15">
      <c r="A1058" s="44" t="str">
        <f>CONCATENATE("          1 / 170 = ","QTY 인/m")</f>
        <v xml:space="preserve">          1 / 170 = QTY 인/m</v>
      </c>
      <c r="B1058" s="3">
        <f>$AB1058</f>
        <v>5.8999999999999999E-3</v>
      </c>
      <c r="C1058" s="46"/>
      <c r="K1058" s="3" t="s">
        <v>1129</v>
      </c>
      <c r="AA1058" s="39" t="s">
        <v>1268</v>
      </c>
      <c r="AB1058" s="10">
        <f>ROUND(1/170,4)</f>
        <v>5.8999999999999999E-3</v>
      </c>
      <c r="AC1058" s="39" t="s">
        <v>2080</v>
      </c>
      <c r="AD1058" s="9">
        <f>$AB1058</f>
        <v>5.8999999999999999E-3</v>
      </c>
    </row>
    <row r="1059" spans="1:30" ht="18.399999999999999" customHeight="1" x14ac:dyDescent="0.15">
      <c r="A1059" s="43"/>
      <c r="B1059" s="3"/>
      <c r="C1059" s="46"/>
    </row>
    <row r="1060" spans="1:30" ht="18.399999999999999" customHeight="1" x14ac:dyDescent="0.15">
      <c r="A1060" s="42" t="s">
        <v>133</v>
      </c>
      <c r="B1060" s="3"/>
      <c r="C1060" s="46"/>
      <c r="G1060" s="3" t="s">
        <v>2859</v>
      </c>
    </row>
    <row r="1061" spans="1:30" ht="18.399999999999999" customHeight="1" x14ac:dyDescent="0.15">
      <c r="A1061" s="42" t="s">
        <v>2280</v>
      </c>
      <c r="B1061" s="3"/>
      <c r="C1061" s="46"/>
      <c r="K1061" s="3" t="s">
        <v>860</v>
      </c>
    </row>
    <row r="1062" spans="1:30" ht="18.399999999999999" customHeight="1" x14ac:dyDescent="0.15">
      <c r="A1062" s="42" t="s">
        <v>2859</v>
      </c>
      <c r="B1062" s="3"/>
      <c r="C1062" s="46"/>
      <c r="K1062" s="3" t="s">
        <v>2859</v>
      </c>
    </row>
    <row r="1063" spans="1:30" ht="18.399999999999999" customHeight="1" x14ac:dyDescent="0.15">
      <c r="A1063" s="44" t="str">
        <f>CONCATENATE("          3 / 170 = ","QTY 인/m")</f>
        <v xml:space="preserve">          3 / 170 = QTY 인/m</v>
      </c>
      <c r="B1063" s="3">
        <f>$AB1063</f>
        <v>1.7600000000000001E-2</v>
      </c>
      <c r="C1063" s="46"/>
      <c r="K1063" s="3" t="s">
        <v>647</v>
      </c>
      <c r="AA1063" s="39" t="s">
        <v>1268</v>
      </c>
      <c r="AB1063" s="10">
        <f>ROUND(3/170,4)</f>
        <v>1.7600000000000001E-2</v>
      </c>
      <c r="AC1063" s="39" t="s">
        <v>2080</v>
      </c>
      <c r="AD1063" s="9">
        <f>$AB1063</f>
        <v>1.7600000000000001E-2</v>
      </c>
    </row>
    <row r="1064" spans="1:30" ht="18.399999999999999" customHeight="1" x14ac:dyDescent="0.15">
      <c r="A1064" s="43"/>
      <c r="B1064" s="3"/>
      <c r="C1064" s="46"/>
    </row>
    <row r="1065" spans="1:30" ht="18.399999999999999" customHeight="1" x14ac:dyDescent="0.15">
      <c r="A1065" s="42" t="s">
        <v>978</v>
      </c>
      <c r="B1065" s="3"/>
      <c r="C1065" s="46"/>
      <c r="G1065" s="3" t="s">
        <v>2859</v>
      </c>
    </row>
    <row r="1066" spans="1:30" ht="18.399999999999999" customHeight="1" x14ac:dyDescent="0.15">
      <c r="A1066" s="42" t="s">
        <v>2859</v>
      </c>
      <c r="B1066" s="3"/>
      <c r="C1066" s="46"/>
      <c r="K1066" s="3" t="s">
        <v>2859</v>
      </c>
    </row>
    <row r="1067" spans="1:30" ht="18.399999999999999" customHeight="1" x14ac:dyDescent="0.15">
      <c r="A1067" s="42" t="s">
        <v>1351</v>
      </c>
      <c r="B1067" s="3"/>
      <c r="C1067" s="46"/>
      <c r="K1067" s="3" t="s">
        <v>1351</v>
      </c>
    </row>
    <row r="1068" spans="1:30" ht="18.399999999999999" customHeight="1" x14ac:dyDescent="0.15">
      <c r="A1068" s="42" t="s">
        <v>2859</v>
      </c>
      <c r="B1068" s="3"/>
      <c r="C1068" s="46"/>
      <c r="K1068" s="3" t="s">
        <v>2859</v>
      </c>
    </row>
    <row r="1069" spans="1:30" ht="18.399999999999999" customHeight="1" x14ac:dyDescent="0.15">
      <c r="A1069" s="44" t="str">
        <f>CONCATENATE("          8.0 hr / 170 m  = ","qty hr/m")</f>
        <v xml:space="preserve">          8.0 hr / 170 m  = qty hr/m</v>
      </c>
      <c r="B1069" s="3">
        <f>$AB1069</f>
        <v>4.7100000000000003E-2</v>
      </c>
      <c r="C1069" s="46"/>
      <c r="K1069" s="3" t="s">
        <v>1143</v>
      </c>
      <c r="AA1069" s="39" t="s">
        <v>1268</v>
      </c>
      <c r="AB1069" s="10">
        <f>ROUND(8/170,4)</f>
        <v>4.7100000000000003E-2</v>
      </c>
      <c r="AC1069" s="39" t="s">
        <v>2080</v>
      </c>
      <c r="AD1069" s="9">
        <f>$AB1069</f>
        <v>4.7100000000000003E-2</v>
      </c>
    </row>
    <row r="1070" spans="1:30" ht="18.399999999999999" customHeight="1" x14ac:dyDescent="0.15">
      <c r="A1070" s="42"/>
      <c r="B1070" s="3"/>
      <c r="C1070" s="46"/>
    </row>
    <row r="1071" spans="1:30" ht="18.399999999999999" customHeight="1" thickBot="1" x14ac:dyDescent="0.2">
      <c r="A1071" s="45"/>
      <c r="B1071" s="5"/>
      <c r="C1071" s="49"/>
    </row>
    <row r="1072" spans="1:30" ht="18.399999999999999" customHeight="1" x14ac:dyDescent="0.15">
      <c r="A1072" s="42"/>
      <c r="B1072" s="3"/>
      <c r="C1072" s="46"/>
    </row>
    <row r="1073" spans="1:34" ht="18.399999999999999" customHeight="1" x14ac:dyDescent="0.15">
      <c r="A1073" s="42" t="s">
        <v>89</v>
      </c>
      <c r="B1073" s="36">
        <v>1</v>
      </c>
      <c r="C1073" s="46" t="s">
        <v>2859</v>
      </c>
    </row>
    <row r="1074" spans="1:34" ht="18.399999999999999" customHeight="1" x14ac:dyDescent="0.15">
      <c r="A1074" s="43"/>
      <c r="B1074" s="3"/>
      <c r="C1074" s="46"/>
    </row>
    <row r="1075" spans="1:34" ht="18.399999999999999" customHeight="1" x14ac:dyDescent="0.15">
      <c r="A1075" s="42" t="s">
        <v>1513</v>
      </c>
      <c r="B1075" s="3"/>
      <c r="C1075" s="46"/>
      <c r="G1075" s="3" t="s">
        <v>2859</v>
      </c>
    </row>
    <row r="1076" spans="1:34" ht="18.399999999999999" customHeight="1" x14ac:dyDescent="0.15">
      <c r="A1076" s="42" t="s">
        <v>784</v>
      </c>
      <c r="B1076" s="3"/>
      <c r="C1076" s="46"/>
      <c r="K1076" s="3" t="s">
        <v>295</v>
      </c>
    </row>
    <row r="1077" spans="1:34" ht="18.399999999999999" customHeight="1" x14ac:dyDescent="0.15">
      <c r="A1077" s="42" t="s">
        <v>2859</v>
      </c>
      <c r="B1077" s="3"/>
      <c r="C1077" s="46"/>
      <c r="K1077" s="3" t="s">
        <v>2859</v>
      </c>
    </row>
    <row r="1078" spans="1:34" ht="18.399999999999999" customHeight="1" x14ac:dyDescent="0.15">
      <c r="A1078" s="42" t="s">
        <v>1824</v>
      </c>
      <c r="B1078" s="3"/>
      <c r="C1078" s="46"/>
      <c r="K1078" s="3" t="s">
        <v>1824</v>
      </c>
    </row>
    <row r="1079" spans="1:34" ht="18.399999999999999" customHeight="1" x14ac:dyDescent="0.15">
      <c r="A1079" s="42" t="s">
        <v>2859</v>
      </c>
      <c r="B1079" s="3"/>
      <c r="C1079" s="46"/>
      <c r="K1079" s="3" t="s">
        <v>2859</v>
      </c>
    </row>
    <row r="1080" spans="1:34" ht="18.399999999999999" customHeight="1" x14ac:dyDescent="0.15">
      <c r="A1080" s="42" t="s">
        <v>63</v>
      </c>
      <c r="B1080" s="3"/>
      <c r="C1080" s="46"/>
      <c r="K1080" s="3" t="s">
        <v>63</v>
      </c>
    </row>
    <row r="1081" spans="1:34" ht="18.399999999999999" customHeight="1" x14ac:dyDescent="0.15">
      <c r="A1081" s="42" t="s">
        <v>2859</v>
      </c>
      <c r="B1081" s="3"/>
      <c r="C1081" s="46"/>
      <c r="K1081" s="3" t="s">
        <v>2859</v>
      </c>
    </row>
    <row r="1082" spans="1:34" ht="18.399999999999999" customHeight="1" x14ac:dyDescent="0.15">
      <c r="A1082" s="44" t="str">
        <f>CONCATENATE("       Q = 45.3 / 10 = ","QTY  KG/㎡")</f>
        <v xml:space="preserve">       Q = 45.3 / 10 = QTY  KG/㎡</v>
      </c>
      <c r="B1082" s="3">
        <f>$AF1082</f>
        <v>4.53</v>
      </c>
      <c r="C1082" s="46"/>
      <c r="K1082" s="3" t="s">
        <v>2499</v>
      </c>
      <c r="AA1082" s="39" t="s">
        <v>504</v>
      </c>
      <c r="AB1082" s="10">
        <f>ROUND(45.3/10,4)</f>
        <v>4.53</v>
      </c>
      <c r="AC1082" s="39" t="s">
        <v>1972</v>
      </c>
      <c r="AD1082" s="9">
        <f>$AB1082</f>
        <v>4.53</v>
      </c>
      <c r="AE1082" s="39" t="s">
        <v>1268</v>
      </c>
      <c r="AF1082" s="10">
        <f>$AB1082</f>
        <v>4.53</v>
      </c>
      <c r="AG1082" s="39" t="s">
        <v>2080</v>
      </c>
      <c r="AH1082" s="9">
        <f>$AF1082</f>
        <v>4.53</v>
      </c>
    </row>
    <row r="1083" spans="1:34" ht="18.399999999999999" customHeight="1" x14ac:dyDescent="0.15">
      <c r="A1083" s="43"/>
      <c r="B1083" s="3"/>
      <c r="C1083" s="46"/>
    </row>
    <row r="1084" spans="1:34" ht="18.399999999999999" customHeight="1" x14ac:dyDescent="0.15">
      <c r="A1084" s="42" t="s">
        <v>1911</v>
      </c>
      <c r="B1084" s="3"/>
      <c r="C1084" s="46"/>
      <c r="G1084" s="3" t="s">
        <v>2859</v>
      </c>
    </row>
    <row r="1085" spans="1:34" ht="18.399999999999999" customHeight="1" x14ac:dyDescent="0.15">
      <c r="A1085" s="42" t="s">
        <v>2859</v>
      </c>
      <c r="B1085" s="3"/>
      <c r="C1085" s="46"/>
      <c r="K1085" s="3" t="s">
        <v>2859</v>
      </c>
    </row>
    <row r="1086" spans="1:34" ht="18.399999999999999" customHeight="1" x14ac:dyDescent="0.15">
      <c r="A1086" s="42" t="s">
        <v>1407</v>
      </c>
      <c r="B1086" s="3"/>
      <c r="C1086" s="46"/>
      <c r="K1086" s="3" t="s">
        <v>1407</v>
      </c>
    </row>
    <row r="1087" spans="1:34" ht="18.399999999999999" customHeight="1" x14ac:dyDescent="0.15">
      <c r="A1087" s="42" t="s">
        <v>2859</v>
      </c>
      <c r="B1087" s="3"/>
      <c r="C1087" s="46"/>
      <c r="K1087" s="3" t="s">
        <v>2859</v>
      </c>
    </row>
    <row r="1088" spans="1:34" ht="18.399999999999999" customHeight="1" x14ac:dyDescent="0.15">
      <c r="A1088" s="44" t="str">
        <f>CONCATENATE("      고휘도용 유리알 :   (45.3 * 0.25) / 10 * 0.4 = ","QTY  ㎏/㎡")</f>
        <v xml:space="preserve">      고휘도용 유리알 :   (45.3 * 0.25) / 10 * 0.4 = QTY  ㎏/㎡</v>
      </c>
      <c r="B1088" s="3">
        <f>$AB1088</f>
        <v>0.45</v>
      </c>
      <c r="C1088" s="46"/>
      <c r="K1088" s="3" t="s">
        <v>707</v>
      </c>
      <c r="AA1088" s="39" t="s">
        <v>1268</v>
      </c>
      <c r="AB1088" s="10">
        <f>ROUND((45.3*0.25)/10*0.4,2)</f>
        <v>0.45</v>
      </c>
      <c r="AC1088" s="39" t="s">
        <v>2080</v>
      </c>
      <c r="AD1088" s="9">
        <f>$AB1088</f>
        <v>0.45</v>
      </c>
    </row>
    <row r="1089" spans="1:34" ht="18.399999999999999" customHeight="1" x14ac:dyDescent="0.15">
      <c r="A1089" s="43"/>
      <c r="B1089" s="3"/>
      <c r="C1089" s="46"/>
    </row>
    <row r="1090" spans="1:34" ht="18.399999999999999" customHeight="1" x14ac:dyDescent="0.15">
      <c r="A1090" s="42" t="s">
        <v>976</v>
      </c>
      <c r="B1090" s="3"/>
      <c r="C1090" s="46"/>
      <c r="G1090" s="3" t="s">
        <v>2859</v>
      </c>
    </row>
    <row r="1091" spans="1:34" ht="18.399999999999999" customHeight="1" x14ac:dyDescent="0.15">
      <c r="A1091" s="42" t="s">
        <v>2859</v>
      </c>
      <c r="B1091" s="3"/>
      <c r="C1091" s="46"/>
      <c r="K1091" s="3" t="s">
        <v>2859</v>
      </c>
    </row>
    <row r="1092" spans="1:34" ht="18.399999999999999" customHeight="1" x14ac:dyDescent="0.15">
      <c r="A1092" s="42" t="s">
        <v>2082</v>
      </c>
      <c r="B1092" s="3"/>
      <c r="C1092" s="46"/>
      <c r="K1092" s="3" t="s">
        <v>2082</v>
      </c>
    </row>
    <row r="1093" spans="1:34" ht="18.399999999999999" customHeight="1" x14ac:dyDescent="0.15">
      <c r="A1093" s="42" t="s">
        <v>2859</v>
      </c>
      <c r="B1093" s="3"/>
      <c r="C1093" s="46"/>
      <c r="K1093" s="3" t="s">
        <v>2859</v>
      </c>
    </row>
    <row r="1094" spans="1:34" ht="18.399999999999999" customHeight="1" x14ac:dyDescent="0.15">
      <c r="A1094" s="44" t="str">
        <f>CONCATENATE("      Q = 2.0 / 10 = ","QTY  ㎏/㎡")</f>
        <v xml:space="preserve">      Q = 2.0 / 10 = QTY  ㎏/㎡</v>
      </c>
      <c r="B1094" s="3">
        <f>$AF1094</f>
        <v>0.2</v>
      </c>
      <c r="C1094" s="46"/>
      <c r="K1094" s="3" t="s">
        <v>671</v>
      </c>
      <c r="AA1094" s="39" t="s">
        <v>504</v>
      </c>
      <c r="AB1094" s="10">
        <f>ROUND(2/10,4)</f>
        <v>0.2</v>
      </c>
      <c r="AC1094" s="39" t="s">
        <v>1972</v>
      </c>
      <c r="AD1094" s="9">
        <f>$AB1094</f>
        <v>0.2</v>
      </c>
      <c r="AE1094" s="39" t="s">
        <v>1268</v>
      </c>
      <c r="AF1094" s="10">
        <f>$AB1094</f>
        <v>0.2</v>
      </c>
      <c r="AG1094" s="39" t="s">
        <v>2080</v>
      </c>
      <c r="AH1094" s="9">
        <f>$AF1094</f>
        <v>0.2</v>
      </c>
    </row>
    <row r="1095" spans="1:34" ht="18.399999999999999" customHeight="1" x14ac:dyDescent="0.15">
      <c r="A1095" s="43"/>
      <c r="B1095" s="3"/>
      <c r="C1095" s="46"/>
    </row>
    <row r="1096" spans="1:34" ht="18.399999999999999" customHeight="1" x14ac:dyDescent="0.15">
      <c r="A1096" s="42" t="s">
        <v>2010</v>
      </c>
      <c r="B1096" s="3"/>
      <c r="C1096" s="46"/>
      <c r="G1096" s="3" t="s">
        <v>2859</v>
      </c>
    </row>
    <row r="1097" spans="1:34" ht="18.399999999999999" customHeight="1" x14ac:dyDescent="0.15">
      <c r="A1097" s="42" t="s">
        <v>2859</v>
      </c>
      <c r="B1097" s="3"/>
      <c r="C1097" s="46"/>
      <c r="K1097" s="3" t="s">
        <v>2859</v>
      </c>
    </row>
    <row r="1098" spans="1:34" ht="18.399999999999999" customHeight="1" x14ac:dyDescent="0.15">
      <c r="A1098" s="42" t="s">
        <v>1128</v>
      </c>
      <c r="B1098" s="3"/>
      <c r="C1098" s="46"/>
      <c r="K1098" s="3" t="s">
        <v>1128</v>
      </c>
    </row>
    <row r="1099" spans="1:34" ht="18.399999999999999" customHeight="1" x14ac:dyDescent="0.15">
      <c r="A1099" s="42" t="s">
        <v>2859</v>
      </c>
      <c r="B1099" s="3"/>
      <c r="C1099" s="46"/>
      <c r="K1099" s="3" t="s">
        <v>2859</v>
      </c>
    </row>
    <row r="1100" spans="1:34" ht="18.399999999999999" customHeight="1" x14ac:dyDescent="0.15">
      <c r="A1100" s="44" t="str">
        <f>CONCATENATE("      Q = 2.0 / 10 = ","QTY  ㎏/㎡")</f>
        <v xml:space="preserve">      Q = 2.0 / 10 = QTY  ㎏/㎡</v>
      </c>
      <c r="B1100" s="3">
        <f>$AF1100</f>
        <v>0.2</v>
      </c>
      <c r="C1100" s="46"/>
      <c r="K1100" s="3" t="s">
        <v>671</v>
      </c>
      <c r="AA1100" s="39" t="s">
        <v>504</v>
      </c>
      <c r="AB1100" s="10">
        <f>ROUND(2/10,4)</f>
        <v>0.2</v>
      </c>
      <c r="AC1100" s="39" t="s">
        <v>1972</v>
      </c>
      <c r="AD1100" s="9">
        <f>$AB1100</f>
        <v>0.2</v>
      </c>
      <c r="AE1100" s="39" t="s">
        <v>1268</v>
      </c>
      <c r="AF1100" s="10">
        <f>$AB1100</f>
        <v>0.2</v>
      </c>
      <c r="AG1100" s="39" t="s">
        <v>2080</v>
      </c>
      <c r="AH1100" s="9">
        <f>$AF1100</f>
        <v>0.2</v>
      </c>
    </row>
    <row r="1101" spans="1:34" ht="18.399999999999999" customHeight="1" x14ac:dyDescent="0.15">
      <c r="A1101" s="43"/>
      <c r="B1101" s="3"/>
      <c r="C1101" s="46"/>
    </row>
    <row r="1102" spans="1:34" ht="18.399999999999999" customHeight="1" x14ac:dyDescent="0.15">
      <c r="A1102" s="42" t="s">
        <v>133</v>
      </c>
      <c r="B1102" s="3"/>
      <c r="C1102" s="46"/>
      <c r="G1102" s="3" t="s">
        <v>2859</v>
      </c>
    </row>
    <row r="1103" spans="1:34" ht="18.399999999999999" customHeight="1" x14ac:dyDescent="0.15">
      <c r="A1103" s="42" t="s">
        <v>2859</v>
      </c>
      <c r="B1103" s="3"/>
      <c r="C1103" s="46"/>
      <c r="K1103" s="3" t="s">
        <v>2859</v>
      </c>
    </row>
    <row r="1104" spans="1:34" ht="18.399999999999999" customHeight="1" x14ac:dyDescent="0.15">
      <c r="A1104" s="42" t="s">
        <v>2040</v>
      </c>
      <c r="B1104" s="3"/>
      <c r="C1104" s="46"/>
      <c r="K1104" s="3" t="s">
        <v>2040</v>
      </c>
    </row>
    <row r="1105" spans="1:30" ht="18.399999999999999" customHeight="1" x14ac:dyDescent="0.15">
      <c r="A1105" s="42" t="s">
        <v>2859</v>
      </c>
      <c r="B1105" s="3"/>
      <c r="C1105" s="46"/>
      <c r="K1105" s="3" t="s">
        <v>2859</v>
      </c>
    </row>
    <row r="1106" spans="1:30" ht="18.399999999999999" customHeight="1" x14ac:dyDescent="0.15">
      <c r="A1106" s="44" t="str">
        <f>CONCATENATE("     특별인부:  2  인 / 700 ㎡  = ","QTY 인/㎡")</f>
        <v xml:space="preserve">     특별인부:  2  인 / 700 ㎡  = QTY 인/㎡</v>
      </c>
      <c r="B1106" s="3">
        <f>$AB1106</f>
        <v>2.8999999999999998E-3</v>
      </c>
      <c r="C1106" s="46"/>
      <c r="K1106" s="3" t="s">
        <v>1423</v>
      </c>
      <c r="AA1106" s="39" t="s">
        <v>1268</v>
      </c>
      <c r="AB1106" s="10">
        <f>ROUND(2/700,4)</f>
        <v>2.8999999999999998E-3</v>
      </c>
      <c r="AC1106" s="39" t="s">
        <v>2080</v>
      </c>
      <c r="AD1106" s="9">
        <f>$AB1106</f>
        <v>2.8999999999999998E-3</v>
      </c>
    </row>
    <row r="1107" spans="1:30" ht="18.399999999999999" customHeight="1" x14ac:dyDescent="0.15">
      <c r="A1107" s="43"/>
      <c r="B1107" s="3"/>
      <c r="C1107" s="46"/>
    </row>
    <row r="1108" spans="1:30" ht="18.399999999999999" customHeight="1" x14ac:dyDescent="0.15">
      <c r="A1108" s="42" t="s">
        <v>174</v>
      </c>
      <c r="B1108" s="3"/>
      <c r="C1108" s="46"/>
      <c r="G1108" s="3" t="s">
        <v>2859</v>
      </c>
    </row>
    <row r="1109" spans="1:30" ht="18.399999999999999" customHeight="1" x14ac:dyDescent="0.15">
      <c r="A1109" s="44" t="str">
        <f>CONCATENATE("     보통인부:  2  인 / 700 ㎡  = ","QTY 인/㎡")</f>
        <v xml:space="preserve">     보통인부:  2  인 / 700 ㎡  = QTY 인/㎡</v>
      </c>
      <c r="B1109" s="3">
        <f>$AB1109</f>
        <v>2.8999999999999998E-3</v>
      </c>
      <c r="C1109" s="46"/>
      <c r="K1109" s="3" t="s">
        <v>2237</v>
      </c>
      <c r="AA1109" s="39" t="s">
        <v>1268</v>
      </c>
      <c r="AB1109" s="10">
        <f>ROUND(2/700,4)</f>
        <v>2.8999999999999998E-3</v>
      </c>
      <c r="AC1109" s="39" t="s">
        <v>2080</v>
      </c>
      <c r="AD1109" s="9">
        <f>$AB1109</f>
        <v>2.8999999999999998E-3</v>
      </c>
    </row>
    <row r="1110" spans="1:30" ht="18.399999999999999" customHeight="1" x14ac:dyDescent="0.15">
      <c r="A1110" s="43"/>
      <c r="B1110" s="3"/>
      <c r="C1110" s="46"/>
    </row>
    <row r="1111" spans="1:30" ht="18.399999999999999" customHeight="1" x14ac:dyDescent="0.15">
      <c r="A1111" s="42" t="s">
        <v>1272</v>
      </c>
      <c r="B1111" s="3"/>
      <c r="C1111" s="46"/>
      <c r="G1111" s="3" t="s">
        <v>2859</v>
      </c>
    </row>
    <row r="1112" spans="1:30" ht="18.399999999999999" customHeight="1" x14ac:dyDescent="0.15">
      <c r="A1112" s="42" t="s">
        <v>2859</v>
      </c>
      <c r="B1112" s="3"/>
      <c r="C1112" s="46"/>
      <c r="K1112" s="3" t="s">
        <v>2859</v>
      </c>
    </row>
    <row r="1113" spans="1:30" ht="18.399999999999999" customHeight="1" x14ac:dyDescent="0.15">
      <c r="A1113" s="42" t="s">
        <v>877</v>
      </c>
      <c r="B1113" s="3"/>
      <c r="C1113" s="46"/>
      <c r="K1113" s="3" t="s">
        <v>877</v>
      </c>
    </row>
    <row r="1114" spans="1:30" ht="18.399999999999999" customHeight="1" x14ac:dyDescent="0.15">
      <c r="A1114" s="42" t="s">
        <v>2859</v>
      </c>
      <c r="B1114" s="3"/>
      <c r="C1114" s="46"/>
      <c r="K1114" s="3" t="s">
        <v>2859</v>
      </c>
    </row>
    <row r="1115" spans="1:30" ht="18.399999999999999" customHeight="1" x14ac:dyDescent="0.15">
      <c r="A1115" s="44" t="str">
        <f>CONCATENATE("     8 hr / 700 ㎡  = ","QTY hr/㎡")</f>
        <v xml:space="preserve">     8 hr / 700 ㎡  = QTY hr/㎡</v>
      </c>
      <c r="B1115" s="3">
        <f>$AB1115</f>
        <v>1.14E-2</v>
      </c>
      <c r="C1115" s="46"/>
      <c r="K1115" s="3" t="s">
        <v>1666</v>
      </c>
      <c r="AA1115" s="39" t="s">
        <v>1268</v>
      </c>
      <c r="AB1115" s="10">
        <f>ROUND(8/700,4)</f>
        <v>1.14E-2</v>
      </c>
      <c r="AC1115" s="39" t="s">
        <v>2080</v>
      </c>
      <c r="AD1115" s="9">
        <f>$AB1115</f>
        <v>1.14E-2</v>
      </c>
    </row>
    <row r="1116" spans="1:30" ht="18.399999999999999" customHeight="1" x14ac:dyDescent="0.15">
      <c r="A1116" s="43"/>
      <c r="B1116" s="3"/>
      <c r="C1116" s="46"/>
    </row>
    <row r="1117" spans="1:30" ht="18.399999999999999" customHeight="1" x14ac:dyDescent="0.15">
      <c r="A1117" s="42" t="s">
        <v>1272</v>
      </c>
      <c r="B1117" s="3"/>
      <c r="C1117" s="46"/>
      <c r="G1117" s="3" t="s">
        <v>2859</v>
      </c>
    </row>
    <row r="1118" spans="1:30" ht="18.399999999999999" customHeight="1" x14ac:dyDescent="0.15">
      <c r="A1118" s="42" t="s">
        <v>2859</v>
      </c>
      <c r="B1118" s="3"/>
      <c r="C1118" s="46"/>
      <c r="K1118" s="3" t="s">
        <v>2859</v>
      </c>
    </row>
    <row r="1119" spans="1:30" ht="18.399999999999999" customHeight="1" x14ac:dyDescent="0.15">
      <c r="A1119" s="42" t="s">
        <v>1509</v>
      </c>
      <c r="B1119" s="3"/>
      <c r="C1119" s="46"/>
      <c r="K1119" s="3" t="s">
        <v>1509</v>
      </c>
    </row>
    <row r="1120" spans="1:30" ht="18.399999999999999" customHeight="1" x14ac:dyDescent="0.15">
      <c r="A1120" s="42" t="s">
        <v>2859</v>
      </c>
      <c r="B1120" s="3"/>
      <c r="C1120" s="46"/>
      <c r="K1120" s="3" t="s">
        <v>2859</v>
      </c>
    </row>
    <row r="1121" spans="1:30" ht="18.399999999999999" customHeight="1" x14ac:dyDescent="0.15">
      <c r="A1121" s="44" t="str">
        <f>CONCATENATE("     8 hr / 700 ㎡  = ","QTY hr/㎡")</f>
        <v xml:space="preserve">     8 hr / 700 ㎡  = QTY hr/㎡</v>
      </c>
      <c r="B1121" s="3">
        <f>$AB1121</f>
        <v>1.14E-2</v>
      </c>
      <c r="C1121" s="46"/>
      <c r="K1121" s="3" t="s">
        <v>1666</v>
      </c>
      <c r="AA1121" s="39" t="s">
        <v>1268</v>
      </c>
      <c r="AB1121" s="10">
        <f>ROUND(8/700,4)</f>
        <v>1.14E-2</v>
      </c>
      <c r="AC1121" s="39" t="s">
        <v>2080</v>
      </c>
      <c r="AD1121" s="9">
        <f>$AB1121</f>
        <v>1.14E-2</v>
      </c>
    </row>
    <row r="1122" spans="1:30" ht="18.399999999999999" customHeight="1" x14ac:dyDescent="0.15">
      <c r="A1122" s="42" t="s">
        <v>2859</v>
      </c>
      <c r="B1122" s="3"/>
      <c r="C1122" s="46"/>
      <c r="K1122" s="3" t="s">
        <v>2859</v>
      </c>
    </row>
    <row r="1123" spans="1:30" ht="18.399999999999999" customHeight="1" x14ac:dyDescent="0.15">
      <c r="A1123" s="42" t="s">
        <v>2859</v>
      </c>
      <c r="B1123" s="3"/>
      <c r="C1123" s="46"/>
      <c r="K1123" s="3" t="s">
        <v>2859</v>
      </c>
    </row>
    <row r="1124" spans="1:30" ht="18.399999999999999" customHeight="1" x14ac:dyDescent="0.15">
      <c r="A1124" s="42" t="s">
        <v>1833</v>
      </c>
      <c r="B1124" s="3"/>
      <c r="C1124" s="46"/>
      <c r="K1124" s="3" t="s">
        <v>1833</v>
      </c>
    </row>
    <row r="1125" spans="1:30" ht="18.399999999999999" customHeight="1" x14ac:dyDescent="0.15">
      <c r="A1125" s="42" t="s">
        <v>2859</v>
      </c>
      <c r="B1125" s="3"/>
      <c r="C1125" s="46"/>
      <c r="K1125" s="3" t="s">
        <v>2859</v>
      </c>
    </row>
    <row r="1126" spans="1:30" ht="18.399999999999999" customHeight="1" x14ac:dyDescent="0.15">
      <c r="A1126" s="42" t="s">
        <v>2859</v>
      </c>
      <c r="B1126" s="3"/>
      <c r="C1126" s="46"/>
      <c r="K1126" s="3" t="s">
        <v>2859</v>
      </c>
    </row>
    <row r="1127" spans="1:30" ht="18.399999999999999" customHeight="1" x14ac:dyDescent="0.15">
      <c r="A1127" s="42" t="s">
        <v>2303</v>
      </c>
      <c r="B1127" s="3"/>
      <c r="C1127" s="46"/>
      <c r="K1127" s="3" t="s">
        <v>2303</v>
      </c>
    </row>
    <row r="1128" spans="1:30" ht="18.399999999999999" customHeight="1" x14ac:dyDescent="0.15">
      <c r="A1128" s="43"/>
      <c r="B1128" s="3"/>
      <c r="C1128" s="46"/>
    </row>
    <row r="1129" spans="1:30" ht="18.399999999999999" customHeight="1" x14ac:dyDescent="0.15">
      <c r="A1129" s="42" t="s">
        <v>1567</v>
      </c>
      <c r="B1129" s="36">
        <v>1</v>
      </c>
      <c r="C1129" s="46"/>
      <c r="G1129" s="3" t="s">
        <v>2859</v>
      </c>
    </row>
    <row r="1130" spans="1:30" ht="18.399999999999999" customHeight="1" x14ac:dyDescent="0.15">
      <c r="A1130" s="42" t="s">
        <v>2859</v>
      </c>
      <c r="B1130" s="3"/>
      <c r="C1130" s="46"/>
      <c r="K1130" s="3" t="s">
        <v>300</v>
      </c>
      <c r="AA1130" s="40" t="s">
        <v>907</v>
      </c>
      <c r="AB1130" s="10">
        <f>((636*전역변수!C34)+(484*전역변수!C34))*0.1</f>
        <v>112</v>
      </c>
      <c r="AC1130" s="40" t="s">
        <v>1545</v>
      </c>
      <c r="AD1130" s="9">
        <f>$AB1130</f>
        <v>112</v>
      </c>
    </row>
    <row r="1131" spans="1:30" ht="18.399999999999999" customHeight="1" x14ac:dyDescent="0.15">
      <c r="A1131" s="43"/>
      <c r="B1131" s="3"/>
      <c r="C1131" s="46"/>
    </row>
    <row r="1132" spans="1:30" ht="18.399999999999999" customHeight="1" x14ac:dyDescent="0.15">
      <c r="A1132" s="42" t="s">
        <v>476</v>
      </c>
      <c r="B1132" s="36">
        <v>1</v>
      </c>
      <c r="C1132" s="46"/>
      <c r="G1132" s="3" t="s">
        <v>2859</v>
      </c>
    </row>
    <row r="1133" spans="1:30" ht="18.399999999999999" customHeight="1" x14ac:dyDescent="0.15">
      <c r="A1133" s="42" t="s">
        <v>2859</v>
      </c>
      <c r="B1133" s="3"/>
      <c r="C1133" s="46"/>
      <c r="K1133" s="3" t="s">
        <v>1160</v>
      </c>
      <c r="AA1133" s="40" t="s">
        <v>2113</v>
      </c>
      <c r="AB1133" s="10">
        <f>(14949+1935+487+396)*0.01</f>
        <v>177.67000000000002</v>
      </c>
      <c r="AC1133" s="40" t="s">
        <v>2372</v>
      </c>
      <c r="AD1133" s="9">
        <f>$AB1133</f>
        <v>177.67000000000002</v>
      </c>
    </row>
    <row r="1134" spans="1:30" ht="18.399999999999999" customHeight="1" x14ac:dyDescent="0.15">
      <c r="A1134" s="42"/>
      <c r="B1134" s="3"/>
      <c r="C1134" s="46"/>
    </row>
    <row r="1135" spans="1:30" ht="18.399999999999999" customHeight="1" thickBot="1" x14ac:dyDescent="0.2">
      <c r="A1135" s="45"/>
      <c r="B1135" s="5"/>
      <c r="C1135" s="49"/>
    </row>
    <row r="1136" spans="1:30" ht="18.399999999999999" customHeight="1" x14ac:dyDescent="0.15">
      <c r="A1136" s="42"/>
      <c r="B1136" s="3"/>
      <c r="C1136" s="46"/>
    </row>
    <row r="1137" spans="1:34" ht="18.399999999999999" customHeight="1" x14ac:dyDescent="0.15">
      <c r="A1137" s="42" t="s">
        <v>325</v>
      </c>
      <c r="B1137" s="36">
        <v>1</v>
      </c>
      <c r="C1137" s="46" t="s">
        <v>2859</v>
      </c>
    </row>
    <row r="1138" spans="1:34" ht="18.399999999999999" customHeight="1" x14ac:dyDescent="0.15">
      <c r="A1138" s="43"/>
      <c r="B1138" s="3"/>
      <c r="C1138" s="46"/>
    </row>
    <row r="1139" spans="1:34" ht="18.399999999999999" customHeight="1" x14ac:dyDescent="0.15">
      <c r="A1139" s="42" t="s">
        <v>1513</v>
      </c>
      <c r="B1139" s="3"/>
      <c r="C1139" s="46"/>
      <c r="G1139" s="3" t="s">
        <v>2859</v>
      </c>
    </row>
    <row r="1140" spans="1:34" ht="18.399999999999999" customHeight="1" x14ac:dyDescent="0.15">
      <c r="A1140" s="42" t="s">
        <v>784</v>
      </c>
      <c r="B1140" s="3"/>
      <c r="C1140" s="46"/>
      <c r="K1140" s="3" t="s">
        <v>295</v>
      </c>
    </row>
    <row r="1141" spans="1:34" ht="18.399999999999999" customHeight="1" x14ac:dyDescent="0.15">
      <c r="A1141" s="42" t="s">
        <v>2859</v>
      </c>
      <c r="B1141" s="3"/>
      <c r="C1141" s="46"/>
      <c r="K1141" s="3" t="s">
        <v>2859</v>
      </c>
    </row>
    <row r="1142" spans="1:34" ht="18.399999999999999" customHeight="1" x14ac:dyDescent="0.15">
      <c r="A1142" s="42" t="s">
        <v>1824</v>
      </c>
      <c r="B1142" s="3"/>
      <c r="C1142" s="46"/>
      <c r="K1142" s="3" t="s">
        <v>1824</v>
      </c>
    </row>
    <row r="1143" spans="1:34" ht="18.399999999999999" customHeight="1" x14ac:dyDescent="0.15">
      <c r="A1143" s="42" t="s">
        <v>2859</v>
      </c>
      <c r="B1143" s="3"/>
      <c r="C1143" s="46"/>
      <c r="K1143" s="3" t="s">
        <v>2859</v>
      </c>
    </row>
    <row r="1144" spans="1:34" ht="18.399999999999999" customHeight="1" x14ac:dyDescent="0.15">
      <c r="A1144" s="42" t="s">
        <v>63</v>
      </c>
      <c r="B1144" s="3"/>
      <c r="C1144" s="46"/>
      <c r="K1144" s="3" t="s">
        <v>63</v>
      </c>
    </row>
    <row r="1145" spans="1:34" ht="18.399999999999999" customHeight="1" x14ac:dyDescent="0.15">
      <c r="A1145" s="42" t="s">
        <v>2859</v>
      </c>
      <c r="B1145" s="3"/>
      <c r="C1145" s="46"/>
      <c r="K1145" s="3" t="s">
        <v>2859</v>
      </c>
    </row>
    <row r="1146" spans="1:34" ht="18.399999999999999" customHeight="1" x14ac:dyDescent="0.15">
      <c r="A1146" s="44" t="str">
        <f>CONCATENATE("       Q = 45.3 / 10 = ","QTY  KG/㎡")</f>
        <v xml:space="preserve">       Q = 45.3 / 10 = QTY  KG/㎡</v>
      </c>
      <c r="B1146" s="3">
        <f>$AF1146</f>
        <v>4.53</v>
      </c>
      <c r="C1146" s="46"/>
      <c r="K1146" s="3" t="s">
        <v>2499</v>
      </c>
      <c r="AA1146" s="39" t="s">
        <v>504</v>
      </c>
      <c r="AB1146" s="10">
        <f>ROUND(45.3/10,4)</f>
        <v>4.53</v>
      </c>
      <c r="AC1146" s="39" t="s">
        <v>1972</v>
      </c>
      <c r="AD1146" s="9">
        <f>$AB1146</f>
        <v>4.53</v>
      </c>
      <c r="AE1146" s="39" t="s">
        <v>1268</v>
      </c>
      <c r="AF1146" s="10">
        <f>$AB1146</f>
        <v>4.53</v>
      </c>
      <c r="AG1146" s="39" t="s">
        <v>2080</v>
      </c>
      <c r="AH1146" s="9">
        <f>$AF1146</f>
        <v>4.53</v>
      </c>
    </row>
    <row r="1147" spans="1:34" ht="18.399999999999999" customHeight="1" x14ac:dyDescent="0.15">
      <c r="A1147" s="43"/>
      <c r="B1147" s="3"/>
      <c r="C1147" s="46"/>
    </row>
    <row r="1148" spans="1:34" ht="18.399999999999999" customHeight="1" x14ac:dyDescent="0.15">
      <c r="A1148" s="42" t="s">
        <v>1911</v>
      </c>
      <c r="B1148" s="3"/>
      <c r="C1148" s="46"/>
      <c r="G1148" s="3" t="s">
        <v>2859</v>
      </c>
    </row>
    <row r="1149" spans="1:34" ht="18.399999999999999" customHeight="1" x14ac:dyDescent="0.15">
      <c r="A1149" s="42" t="s">
        <v>2859</v>
      </c>
      <c r="B1149" s="3"/>
      <c r="C1149" s="46"/>
      <c r="K1149" s="3" t="s">
        <v>2859</v>
      </c>
    </row>
    <row r="1150" spans="1:34" ht="18.399999999999999" customHeight="1" x14ac:dyDescent="0.15">
      <c r="A1150" s="42" t="s">
        <v>1407</v>
      </c>
      <c r="B1150" s="3"/>
      <c r="C1150" s="46"/>
      <c r="K1150" s="3" t="s">
        <v>1407</v>
      </c>
    </row>
    <row r="1151" spans="1:34" ht="18.399999999999999" customHeight="1" x14ac:dyDescent="0.15">
      <c r="A1151" s="42" t="s">
        <v>2859</v>
      </c>
      <c r="B1151" s="3"/>
      <c r="C1151" s="46"/>
      <c r="K1151" s="3" t="s">
        <v>2859</v>
      </c>
    </row>
    <row r="1152" spans="1:34" ht="18.399999999999999" customHeight="1" x14ac:dyDescent="0.15">
      <c r="A1152" s="44" t="str">
        <f>CONCATENATE("      고휘도용 유리알 :   (45.3 * 0.25) / 10 * 0.4 = ","QTY  ㎏/㎡")</f>
        <v xml:space="preserve">      고휘도용 유리알 :   (45.3 * 0.25) / 10 * 0.4 = QTY  ㎏/㎡</v>
      </c>
      <c r="B1152" s="3">
        <f>$AB1152</f>
        <v>0.45</v>
      </c>
      <c r="C1152" s="46"/>
      <c r="K1152" s="3" t="s">
        <v>707</v>
      </c>
      <c r="AA1152" s="39" t="s">
        <v>1268</v>
      </c>
      <c r="AB1152" s="10">
        <f>ROUND((45.3*0.25)/10*0.4,2)</f>
        <v>0.45</v>
      </c>
      <c r="AC1152" s="39" t="s">
        <v>2080</v>
      </c>
      <c r="AD1152" s="9">
        <f>$AB1152</f>
        <v>0.45</v>
      </c>
    </row>
    <row r="1153" spans="1:34" ht="18.399999999999999" customHeight="1" x14ac:dyDescent="0.15">
      <c r="A1153" s="43"/>
      <c r="B1153" s="3"/>
      <c r="C1153" s="46"/>
    </row>
    <row r="1154" spans="1:34" ht="18.399999999999999" customHeight="1" x14ac:dyDescent="0.15">
      <c r="A1154" s="42" t="s">
        <v>976</v>
      </c>
      <c r="B1154" s="3"/>
      <c r="C1154" s="46"/>
      <c r="G1154" s="3" t="s">
        <v>2859</v>
      </c>
    </row>
    <row r="1155" spans="1:34" ht="18.399999999999999" customHeight="1" x14ac:dyDescent="0.15">
      <c r="A1155" s="42" t="s">
        <v>2859</v>
      </c>
      <c r="B1155" s="3"/>
      <c r="C1155" s="46"/>
      <c r="K1155" s="3" t="s">
        <v>2859</v>
      </c>
    </row>
    <row r="1156" spans="1:34" ht="18.399999999999999" customHeight="1" x14ac:dyDescent="0.15">
      <c r="A1156" s="42" t="s">
        <v>2082</v>
      </c>
      <c r="B1156" s="3"/>
      <c r="C1156" s="46"/>
      <c r="K1156" s="3" t="s">
        <v>2082</v>
      </c>
    </row>
    <row r="1157" spans="1:34" ht="18.399999999999999" customHeight="1" x14ac:dyDescent="0.15">
      <c r="A1157" s="42" t="s">
        <v>2859</v>
      </c>
      <c r="B1157" s="3"/>
      <c r="C1157" s="46"/>
      <c r="K1157" s="3" t="s">
        <v>2859</v>
      </c>
    </row>
    <row r="1158" spans="1:34" ht="18.399999999999999" customHeight="1" x14ac:dyDescent="0.15">
      <c r="A1158" s="44" t="str">
        <f>CONCATENATE("      Q = 2.0 / 10 = ","QTY  ㎏/㎡")</f>
        <v xml:space="preserve">      Q = 2.0 / 10 = QTY  ㎏/㎡</v>
      </c>
      <c r="B1158" s="3">
        <f>$AF1158</f>
        <v>0.2</v>
      </c>
      <c r="C1158" s="46"/>
      <c r="K1158" s="3" t="s">
        <v>671</v>
      </c>
      <c r="AA1158" s="39" t="s">
        <v>504</v>
      </c>
      <c r="AB1158" s="10">
        <f>ROUND(2/10,4)</f>
        <v>0.2</v>
      </c>
      <c r="AC1158" s="39" t="s">
        <v>1972</v>
      </c>
      <c r="AD1158" s="9">
        <f>$AB1158</f>
        <v>0.2</v>
      </c>
      <c r="AE1158" s="39" t="s">
        <v>1268</v>
      </c>
      <c r="AF1158" s="10">
        <f>$AB1158</f>
        <v>0.2</v>
      </c>
      <c r="AG1158" s="39" t="s">
        <v>2080</v>
      </c>
      <c r="AH1158" s="9">
        <f>$AF1158</f>
        <v>0.2</v>
      </c>
    </row>
    <row r="1159" spans="1:34" ht="18.399999999999999" customHeight="1" x14ac:dyDescent="0.15">
      <c r="A1159" s="43"/>
      <c r="B1159" s="3"/>
      <c r="C1159" s="46"/>
    </row>
    <row r="1160" spans="1:34" ht="18.399999999999999" customHeight="1" x14ac:dyDescent="0.15">
      <c r="A1160" s="42" t="s">
        <v>2010</v>
      </c>
      <c r="B1160" s="3"/>
      <c r="C1160" s="46"/>
      <c r="G1160" s="3" t="s">
        <v>2859</v>
      </c>
    </row>
    <row r="1161" spans="1:34" ht="18.399999999999999" customHeight="1" x14ac:dyDescent="0.15">
      <c r="A1161" s="42" t="s">
        <v>2859</v>
      </c>
      <c r="B1161" s="3"/>
      <c r="C1161" s="46"/>
      <c r="K1161" s="3" t="s">
        <v>2859</v>
      </c>
    </row>
    <row r="1162" spans="1:34" ht="18.399999999999999" customHeight="1" x14ac:dyDescent="0.15">
      <c r="A1162" s="42" t="s">
        <v>1128</v>
      </c>
      <c r="B1162" s="3"/>
      <c r="C1162" s="46"/>
      <c r="K1162" s="3" t="s">
        <v>1128</v>
      </c>
    </row>
    <row r="1163" spans="1:34" ht="18.399999999999999" customHeight="1" x14ac:dyDescent="0.15">
      <c r="A1163" s="42" t="s">
        <v>2859</v>
      </c>
      <c r="B1163" s="3"/>
      <c r="C1163" s="46"/>
      <c r="K1163" s="3" t="s">
        <v>2859</v>
      </c>
    </row>
    <row r="1164" spans="1:34" ht="18.399999999999999" customHeight="1" x14ac:dyDescent="0.15">
      <c r="A1164" s="44" t="str">
        <f>CONCATENATE("      Q = 2.0 / 10 = ","QTY  ㎏/㎡")</f>
        <v xml:space="preserve">      Q = 2.0 / 10 = QTY  ㎏/㎡</v>
      </c>
      <c r="B1164" s="3">
        <f>$AF1164</f>
        <v>0.2</v>
      </c>
      <c r="C1164" s="46"/>
      <c r="K1164" s="3" t="s">
        <v>671</v>
      </c>
      <c r="AA1164" s="39" t="s">
        <v>504</v>
      </c>
      <c r="AB1164" s="10">
        <f>ROUND(2/10,4)</f>
        <v>0.2</v>
      </c>
      <c r="AC1164" s="39" t="s">
        <v>1972</v>
      </c>
      <c r="AD1164" s="9">
        <f>$AB1164</f>
        <v>0.2</v>
      </c>
      <c r="AE1164" s="39" t="s">
        <v>1268</v>
      </c>
      <c r="AF1164" s="10">
        <f>$AB1164</f>
        <v>0.2</v>
      </c>
      <c r="AG1164" s="39" t="s">
        <v>2080</v>
      </c>
      <c r="AH1164" s="9">
        <f>$AF1164</f>
        <v>0.2</v>
      </c>
    </row>
    <row r="1165" spans="1:34" ht="18.399999999999999" customHeight="1" x14ac:dyDescent="0.15">
      <c r="A1165" s="43"/>
      <c r="B1165" s="3"/>
      <c r="C1165" s="46"/>
    </row>
    <row r="1166" spans="1:34" ht="18.399999999999999" customHeight="1" x14ac:dyDescent="0.15">
      <c r="A1166" s="42" t="s">
        <v>133</v>
      </c>
      <c r="B1166" s="3"/>
      <c r="C1166" s="46"/>
      <c r="G1166" s="3" t="s">
        <v>2859</v>
      </c>
    </row>
    <row r="1167" spans="1:34" ht="18.399999999999999" customHeight="1" x14ac:dyDescent="0.15">
      <c r="A1167" s="42" t="s">
        <v>2859</v>
      </c>
      <c r="B1167" s="3"/>
      <c r="C1167" s="46"/>
      <c r="K1167" s="3" t="s">
        <v>2859</v>
      </c>
    </row>
    <row r="1168" spans="1:34" ht="18.399999999999999" customHeight="1" x14ac:dyDescent="0.15">
      <c r="A1168" s="42" t="s">
        <v>2040</v>
      </c>
      <c r="B1168" s="3"/>
      <c r="C1168" s="46"/>
      <c r="K1168" s="3" t="s">
        <v>2040</v>
      </c>
    </row>
    <row r="1169" spans="1:30" ht="18.399999999999999" customHeight="1" x14ac:dyDescent="0.15">
      <c r="A1169" s="42" t="s">
        <v>2859</v>
      </c>
      <c r="B1169" s="3"/>
      <c r="C1169" s="46"/>
      <c r="K1169" s="3" t="s">
        <v>2859</v>
      </c>
    </row>
    <row r="1170" spans="1:30" ht="18.399999999999999" customHeight="1" x14ac:dyDescent="0.15">
      <c r="A1170" s="44" t="str">
        <f>CONCATENATE("     특별인부:  2  인 / 126 ㎡  = ","QTY 인/㎡")</f>
        <v xml:space="preserve">     특별인부:  2  인 / 126 ㎡  = QTY 인/㎡</v>
      </c>
      <c r="B1170" s="3">
        <f>$AB1170</f>
        <v>1.5900000000000001E-2</v>
      </c>
      <c r="C1170" s="46"/>
      <c r="K1170" s="3" t="s">
        <v>884</v>
      </c>
      <c r="AA1170" s="39" t="s">
        <v>1268</v>
      </c>
      <c r="AB1170" s="10">
        <f>ROUND(2/126,4)</f>
        <v>1.5900000000000001E-2</v>
      </c>
      <c r="AC1170" s="39" t="s">
        <v>2080</v>
      </c>
      <c r="AD1170" s="9">
        <f>$AB1170</f>
        <v>1.5900000000000001E-2</v>
      </c>
    </row>
    <row r="1171" spans="1:30" ht="18.399999999999999" customHeight="1" x14ac:dyDescent="0.15">
      <c r="A1171" s="43"/>
      <c r="B1171" s="3"/>
      <c r="C1171" s="46"/>
    </row>
    <row r="1172" spans="1:30" ht="18.399999999999999" customHeight="1" x14ac:dyDescent="0.15">
      <c r="A1172" s="42" t="s">
        <v>174</v>
      </c>
      <c r="B1172" s="3"/>
      <c r="C1172" s="46"/>
      <c r="G1172" s="3" t="s">
        <v>2859</v>
      </c>
    </row>
    <row r="1173" spans="1:30" ht="18.399999999999999" customHeight="1" x14ac:dyDescent="0.15">
      <c r="A1173" s="44" t="str">
        <f>CONCATENATE("     보통인부:  2  인 / 126 ㎡  = ","QTY 인/㎡")</f>
        <v xml:space="preserve">     보통인부:  2  인 / 126 ㎡  = QTY 인/㎡</v>
      </c>
      <c r="B1173" s="3">
        <f>$AB1173</f>
        <v>1.5900000000000001E-2</v>
      </c>
      <c r="C1173" s="46"/>
      <c r="K1173" s="3" t="s">
        <v>2811</v>
      </c>
      <c r="AA1173" s="39" t="s">
        <v>1268</v>
      </c>
      <c r="AB1173" s="10">
        <f>ROUND(2/126,4)</f>
        <v>1.5900000000000001E-2</v>
      </c>
      <c r="AC1173" s="39" t="s">
        <v>2080</v>
      </c>
      <c r="AD1173" s="9">
        <f>$AB1173</f>
        <v>1.5900000000000001E-2</v>
      </c>
    </row>
    <row r="1174" spans="1:30" ht="18.399999999999999" customHeight="1" x14ac:dyDescent="0.15">
      <c r="A1174" s="43"/>
      <c r="B1174" s="3"/>
      <c r="C1174" s="46"/>
    </row>
    <row r="1175" spans="1:30" ht="18.399999999999999" customHeight="1" x14ac:dyDescent="0.15">
      <c r="A1175" s="42" t="s">
        <v>1272</v>
      </c>
      <c r="B1175" s="3"/>
      <c r="C1175" s="46"/>
      <c r="G1175" s="3" t="s">
        <v>2859</v>
      </c>
    </row>
    <row r="1176" spans="1:30" ht="18.399999999999999" customHeight="1" x14ac:dyDescent="0.15">
      <c r="A1176" s="42" t="s">
        <v>2859</v>
      </c>
      <c r="B1176" s="3"/>
      <c r="C1176" s="46"/>
      <c r="K1176" s="3" t="s">
        <v>2859</v>
      </c>
    </row>
    <row r="1177" spans="1:30" ht="18.399999999999999" customHeight="1" x14ac:dyDescent="0.15">
      <c r="A1177" s="42" t="s">
        <v>877</v>
      </c>
      <c r="B1177" s="3"/>
      <c r="C1177" s="46"/>
      <c r="K1177" s="3" t="s">
        <v>877</v>
      </c>
    </row>
    <row r="1178" spans="1:30" ht="18.399999999999999" customHeight="1" x14ac:dyDescent="0.15">
      <c r="A1178" s="42" t="s">
        <v>2859</v>
      </c>
      <c r="B1178" s="3"/>
      <c r="C1178" s="46"/>
      <c r="K1178" s="3" t="s">
        <v>2859</v>
      </c>
    </row>
    <row r="1179" spans="1:30" ht="18.399999999999999" customHeight="1" x14ac:dyDescent="0.15">
      <c r="A1179" s="44" t="str">
        <f>CONCATENATE("     8 hr / 126 ㎡  = ","QTY hr/㎡")</f>
        <v xml:space="preserve">     8 hr / 126 ㎡  = QTY hr/㎡</v>
      </c>
      <c r="B1179" s="3">
        <f>$AB1179</f>
        <v>6.3500000000000001E-2</v>
      </c>
      <c r="C1179" s="46"/>
      <c r="K1179" s="3" t="s">
        <v>1782</v>
      </c>
      <c r="AA1179" s="39" t="s">
        <v>1268</v>
      </c>
      <c r="AB1179" s="10">
        <f>ROUND(8/126,4)</f>
        <v>6.3500000000000001E-2</v>
      </c>
      <c r="AC1179" s="39" t="s">
        <v>2080</v>
      </c>
      <c r="AD1179" s="9">
        <f>$AB1179</f>
        <v>6.3500000000000001E-2</v>
      </c>
    </row>
    <row r="1180" spans="1:30" ht="18.399999999999999" customHeight="1" x14ac:dyDescent="0.15">
      <c r="A1180" s="43"/>
      <c r="B1180" s="3"/>
      <c r="C1180" s="46"/>
    </row>
    <row r="1181" spans="1:30" ht="18.399999999999999" customHeight="1" x14ac:dyDescent="0.15">
      <c r="A1181" s="42" t="s">
        <v>1272</v>
      </c>
      <c r="B1181" s="3"/>
      <c r="C1181" s="46"/>
      <c r="G1181" s="3" t="s">
        <v>2859</v>
      </c>
    </row>
    <row r="1182" spans="1:30" ht="18.399999999999999" customHeight="1" x14ac:dyDescent="0.15">
      <c r="A1182" s="42" t="s">
        <v>2859</v>
      </c>
      <c r="B1182" s="3"/>
      <c r="C1182" s="46"/>
      <c r="K1182" s="3" t="s">
        <v>2859</v>
      </c>
    </row>
    <row r="1183" spans="1:30" ht="18.399999999999999" customHeight="1" x14ac:dyDescent="0.15">
      <c r="A1183" s="42" t="s">
        <v>1509</v>
      </c>
      <c r="B1183" s="3"/>
      <c r="C1183" s="46"/>
      <c r="K1183" s="3" t="s">
        <v>1509</v>
      </c>
    </row>
    <row r="1184" spans="1:30" ht="18.399999999999999" customHeight="1" x14ac:dyDescent="0.15">
      <c r="A1184" s="42" t="s">
        <v>2859</v>
      </c>
      <c r="B1184" s="3"/>
      <c r="C1184" s="46"/>
      <c r="K1184" s="3" t="s">
        <v>2859</v>
      </c>
    </row>
    <row r="1185" spans="1:30" ht="18.399999999999999" customHeight="1" x14ac:dyDescent="0.15">
      <c r="A1185" s="44" t="str">
        <f>CONCATENATE("     8 hr / 126 ㎡  = ","QTY hr/㎡")</f>
        <v xml:space="preserve">     8 hr / 126 ㎡  = QTY hr/㎡</v>
      </c>
      <c r="B1185" s="3">
        <f>$AB1185</f>
        <v>6.3500000000000001E-2</v>
      </c>
      <c r="C1185" s="46"/>
      <c r="K1185" s="3" t="s">
        <v>1782</v>
      </c>
      <c r="AA1185" s="39" t="s">
        <v>1268</v>
      </c>
      <c r="AB1185" s="10">
        <f>ROUND(8/126,4)</f>
        <v>6.3500000000000001E-2</v>
      </c>
      <c r="AC1185" s="39" t="s">
        <v>2080</v>
      </c>
      <c r="AD1185" s="9">
        <f>$AB1185</f>
        <v>6.3500000000000001E-2</v>
      </c>
    </row>
    <row r="1186" spans="1:30" ht="18.399999999999999" customHeight="1" x14ac:dyDescent="0.15">
      <c r="A1186" s="42" t="s">
        <v>2859</v>
      </c>
      <c r="B1186" s="3"/>
      <c r="C1186" s="46"/>
      <c r="K1186" s="3" t="s">
        <v>2859</v>
      </c>
    </row>
    <row r="1187" spans="1:30" ht="18.399999999999999" customHeight="1" x14ac:dyDescent="0.15">
      <c r="A1187" s="42" t="s">
        <v>2859</v>
      </c>
      <c r="B1187" s="3"/>
      <c r="C1187" s="46"/>
      <c r="K1187" s="3" t="s">
        <v>2859</v>
      </c>
    </row>
    <row r="1188" spans="1:30" ht="18.399999999999999" customHeight="1" x14ac:dyDescent="0.15">
      <c r="A1188" s="42" t="s">
        <v>1833</v>
      </c>
      <c r="B1188" s="3"/>
      <c r="C1188" s="46"/>
      <c r="K1188" s="3" t="s">
        <v>1833</v>
      </c>
    </row>
    <row r="1189" spans="1:30" ht="18.399999999999999" customHeight="1" x14ac:dyDescent="0.15">
      <c r="A1189" s="42" t="s">
        <v>2859</v>
      </c>
      <c r="B1189" s="3"/>
      <c r="C1189" s="46"/>
      <c r="K1189" s="3" t="s">
        <v>2859</v>
      </c>
    </row>
    <row r="1190" spans="1:30" ht="18.399999999999999" customHeight="1" x14ac:dyDescent="0.15">
      <c r="A1190" s="42" t="s">
        <v>2859</v>
      </c>
      <c r="B1190" s="3"/>
      <c r="C1190" s="46"/>
      <c r="K1190" s="3" t="s">
        <v>2859</v>
      </c>
    </row>
    <row r="1191" spans="1:30" ht="18.399999999999999" customHeight="1" x14ac:dyDescent="0.15">
      <c r="A1191" s="42" t="s">
        <v>2303</v>
      </c>
      <c r="B1191" s="3"/>
      <c r="C1191" s="46"/>
      <c r="K1191" s="3" t="s">
        <v>2303</v>
      </c>
    </row>
    <row r="1192" spans="1:30" ht="18.399999999999999" customHeight="1" x14ac:dyDescent="0.15">
      <c r="A1192" s="43"/>
      <c r="B1192" s="3"/>
      <c r="C1192" s="46"/>
    </row>
    <row r="1193" spans="1:30" ht="18.399999999999999" customHeight="1" x14ac:dyDescent="0.15">
      <c r="A1193" s="42" t="s">
        <v>1567</v>
      </c>
      <c r="B1193" s="36">
        <v>1</v>
      </c>
      <c r="C1193" s="46"/>
      <c r="G1193" s="3" t="s">
        <v>2859</v>
      </c>
    </row>
    <row r="1194" spans="1:30" ht="18.399999999999999" customHeight="1" x14ac:dyDescent="0.15">
      <c r="A1194" s="42" t="s">
        <v>2859</v>
      </c>
      <c r="B1194" s="3"/>
      <c r="C1194" s="46"/>
      <c r="K1194" s="3" t="s">
        <v>300</v>
      </c>
      <c r="AA1194" s="40" t="s">
        <v>907</v>
      </c>
      <c r="AB1194" s="10">
        <f>((3487*전역변수!C34)+(2656*전역변수!C34))*0.1</f>
        <v>614.30000000000007</v>
      </c>
      <c r="AC1194" s="40" t="s">
        <v>1545</v>
      </c>
      <c r="AD1194" s="9">
        <f>$AB1194</f>
        <v>614.30000000000007</v>
      </c>
    </row>
    <row r="1195" spans="1:30" ht="18.399999999999999" customHeight="1" x14ac:dyDescent="0.15">
      <c r="A1195" s="43"/>
      <c r="B1195" s="3"/>
      <c r="C1195" s="46"/>
    </row>
    <row r="1196" spans="1:30" ht="18.399999999999999" customHeight="1" x14ac:dyDescent="0.15">
      <c r="A1196" s="42" t="s">
        <v>476</v>
      </c>
      <c r="B1196" s="36">
        <v>1</v>
      </c>
      <c r="C1196" s="46"/>
      <c r="G1196" s="3" t="s">
        <v>2859</v>
      </c>
    </row>
    <row r="1197" spans="1:30" ht="18.399999999999999" customHeight="1" x14ac:dyDescent="0.15">
      <c r="A1197" s="42" t="s">
        <v>2859</v>
      </c>
      <c r="B1197" s="3"/>
      <c r="C1197" s="46"/>
      <c r="K1197" s="3" t="s">
        <v>1160</v>
      </c>
      <c r="AA1197" s="40" t="s">
        <v>2113</v>
      </c>
      <c r="AB1197" s="10">
        <f>(14949+1935+487+396)*0.01</f>
        <v>177.67000000000002</v>
      </c>
      <c r="AC1197" s="40" t="s">
        <v>2372</v>
      </c>
      <c r="AD1197" s="9">
        <f>$AB1197</f>
        <v>177.67000000000002</v>
      </c>
    </row>
    <row r="1198" spans="1:30" ht="18.399999999999999" customHeight="1" x14ac:dyDescent="0.15">
      <c r="A1198" s="42"/>
      <c r="B1198" s="3"/>
      <c r="C1198" s="46"/>
    </row>
    <row r="1199" spans="1:30" ht="18.399999999999999" customHeight="1" thickBot="1" x14ac:dyDescent="0.2">
      <c r="A1199" s="45"/>
      <c r="B1199" s="5"/>
      <c r="C1199" s="49"/>
    </row>
    <row r="1200" spans="1:30" ht="18.399999999999999" customHeight="1" x14ac:dyDescent="0.15">
      <c r="A1200" s="42"/>
      <c r="B1200" s="3"/>
      <c r="C1200" s="46"/>
    </row>
    <row r="1201" spans="1:11" ht="18.399999999999999" customHeight="1" x14ac:dyDescent="0.15">
      <c r="A1201" s="42" t="s">
        <v>241</v>
      </c>
      <c r="B1201" s="36">
        <v>1</v>
      </c>
      <c r="C1201" s="46" t="s">
        <v>2859</v>
      </c>
    </row>
    <row r="1202" spans="1:11" ht="18.399999999999999" customHeight="1" x14ac:dyDescent="0.15">
      <c r="A1202" s="43"/>
      <c r="B1202" s="3"/>
      <c r="C1202" s="46"/>
    </row>
    <row r="1203" spans="1:11" ht="18.399999999999999" customHeight="1" x14ac:dyDescent="0.15">
      <c r="A1203" s="42" t="s">
        <v>1208</v>
      </c>
      <c r="B1203" s="3"/>
      <c r="C1203" s="46"/>
      <c r="G1203" s="3" t="s">
        <v>2859</v>
      </c>
    </row>
    <row r="1204" spans="1:11" ht="18.399999999999999" customHeight="1" x14ac:dyDescent="0.15">
      <c r="A1204" s="42" t="s">
        <v>2859</v>
      </c>
      <c r="B1204" s="3"/>
      <c r="C1204" s="46"/>
      <c r="K1204" s="3" t="s">
        <v>2859</v>
      </c>
    </row>
    <row r="1205" spans="1:11" ht="18.399999999999999" customHeight="1" x14ac:dyDescent="0.15">
      <c r="A1205" s="42" t="s">
        <v>2745</v>
      </c>
      <c r="B1205" s="3"/>
      <c r="C1205" s="46"/>
      <c r="K1205" s="3" t="s">
        <v>429</v>
      </c>
    </row>
    <row r="1206" spans="1:11" ht="18.399999999999999" customHeight="1" x14ac:dyDescent="0.15">
      <c r="A1206" s="42" t="s">
        <v>2859</v>
      </c>
      <c r="B1206" s="3"/>
      <c r="C1206" s="46"/>
      <c r="K1206" s="3" t="s">
        <v>2859</v>
      </c>
    </row>
    <row r="1207" spans="1:11" ht="18.399999999999999" customHeight="1" x14ac:dyDescent="0.15">
      <c r="A1207" s="42" t="s">
        <v>112</v>
      </c>
      <c r="B1207" s="3"/>
      <c r="C1207" s="46"/>
      <c r="K1207" s="3" t="s">
        <v>112</v>
      </c>
    </row>
    <row r="1208" spans="1:11" ht="18.399999999999999" customHeight="1" x14ac:dyDescent="0.15">
      <c r="A1208" s="42" t="s">
        <v>2859</v>
      </c>
      <c r="B1208" s="3"/>
      <c r="C1208" s="46"/>
      <c r="K1208" s="3" t="s">
        <v>2859</v>
      </c>
    </row>
    <row r="1209" spans="1:11" ht="18.399999999999999" customHeight="1" x14ac:dyDescent="0.15">
      <c r="A1209" s="42" t="s">
        <v>1031</v>
      </c>
      <c r="B1209" s="3"/>
      <c r="C1209" s="46"/>
      <c r="K1209" s="3" t="s">
        <v>2013</v>
      </c>
    </row>
    <row r="1210" spans="1:11" ht="18.399999999999999" customHeight="1" x14ac:dyDescent="0.15">
      <c r="A1210" s="42" t="s">
        <v>2859</v>
      </c>
      <c r="B1210" s="3"/>
      <c r="C1210" s="46"/>
      <c r="K1210" s="3" t="s">
        <v>2859</v>
      </c>
    </row>
    <row r="1211" spans="1:11" ht="18.399999999999999" customHeight="1" x14ac:dyDescent="0.15">
      <c r="A1211" s="42" t="s">
        <v>1312</v>
      </c>
      <c r="B1211" s="3"/>
      <c r="C1211" s="46"/>
      <c r="K1211" s="3" t="s">
        <v>1239</v>
      </c>
    </row>
    <row r="1212" spans="1:11" ht="18.399999999999999" customHeight="1" x14ac:dyDescent="0.15">
      <c r="A1212" s="42" t="s">
        <v>2859</v>
      </c>
      <c r="B1212" s="3"/>
      <c r="C1212" s="46"/>
      <c r="K1212" s="3" t="s">
        <v>2859</v>
      </c>
    </row>
    <row r="1213" spans="1:11" ht="18.399999999999999" customHeight="1" x14ac:dyDescent="0.15">
      <c r="A1213" s="42" t="s">
        <v>2708</v>
      </c>
      <c r="B1213" s="3"/>
      <c r="C1213" s="46"/>
      <c r="K1213" s="3" t="s">
        <v>312</v>
      </c>
    </row>
    <row r="1214" spans="1:11" ht="18.399999999999999" customHeight="1" x14ac:dyDescent="0.15">
      <c r="A1214" s="42" t="s">
        <v>2859</v>
      </c>
      <c r="B1214" s="3"/>
      <c r="C1214" s="46"/>
      <c r="K1214" s="3" t="s">
        <v>2859</v>
      </c>
    </row>
    <row r="1215" spans="1:11" ht="18.399999999999999" customHeight="1" x14ac:dyDescent="0.15">
      <c r="A1215" s="42" t="s">
        <v>1459</v>
      </c>
      <c r="B1215" s="3"/>
      <c r="C1215" s="46"/>
      <c r="K1215" s="3" t="s">
        <v>1376</v>
      </c>
    </row>
    <row r="1216" spans="1:11" ht="18.399999999999999" customHeight="1" x14ac:dyDescent="0.15">
      <c r="A1216" s="42" t="s">
        <v>2859</v>
      </c>
      <c r="B1216" s="3"/>
      <c r="C1216" s="46"/>
      <c r="K1216" s="3" t="s">
        <v>2859</v>
      </c>
    </row>
    <row r="1217" spans="1:42" ht="18.399999999999999" customHeight="1" x14ac:dyDescent="0.15">
      <c r="A1217" s="42" t="s">
        <v>135</v>
      </c>
      <c r="B1217" s="3"/>
      <c r="C1217" s="46"/>
      <c r="K1217" s="3" t="s">
        <v>420</v>
      </c>
    </row>
    <row r="1218" spans="1:42" ht="18.399999999999999" customHeight="1" x14ac:dyDescent="0.15">
      <c r="A1218" s="42" t="s">
        <v>909</v>
      </c>
      <c r="B1218" s="3"/>
      <c r="C1218" s="46"/>
      <c r="K1218" s="3" t="s">
        <v>987</v>
      </c>
    </row>
    <row r="1219" spans="1:42" ht="18.399999999999999" customHeight="1" x14ac:dyDescent="0.15">
      <c r="A1219" s="42" t="s">
        <v>2618</v>
      </c>
      <c r="B1219" s="3"/>
      <c r="C1219" s="46"/>
      <c r="K1219" s="3" t="s">
        <v>1873</v>
      </c>
    </row>
    <row r="1220" spans="1:42" ht="18.399999999999999" customHeight="1" x14ac:dyDescent="0.15">
      <c r="A1220" s="42" t="s">
        <v>2859</v>
      </c>
      <c r="B1220" s="3"/>
      <c r="C1220" s="46"/>
      <c r="K1220" s="3" t="s">
        <v>2859</v>
      </c>
    </row>
    <row r="1221" spans="1:42" ht="18.399999999999999" customHeight="1" x14ac:dyDescent="0.15">
      <c r="A1221" s="42" t="s">
        <v>614</v>
      </c>
      <c r="B1221" s="3"/>
      <c r="C1221" s="46"/>
      <c r="K1221" s="3" t="s">
        <v>1809</v>
      </c>
    </row>
    <row r="1222" spans="1:42" ht="18.399999999999999" customHeight="1" x14ac:dyDescent="0.15">
      <c r="A1222" s="42" t="s">
        <v>2859</v>
      </c>
      <c r="B1222" s="3"/>
      <c r="C1222" s="46"/>
      <c r="K1222" s="3" t="s">
        <v>2859</v>
      </c>
    </row>
    <row r="1223" spans="1:42" ht="18.399999999999999" customHeight="1" x14ac:dyDescent="0.15">
      <c r="A1223" s="42" t="s">
        <v>1816</v>
      </c>
      <c r="B1223" s="3"/>
      <c r="C1223" s="46"/>
      <c r="K1223" s="3" t="s">
        <v>421</v>
      </c>
    </row>
    <row r="1224" spans="1:42" ht="18.399999999999999" customHeight="1" x14ac:dyDescent="0.15">
      <c r="A1224" s="42" t="s">
        <v>2859</v>
      </c>
      <c r="B1224" s="3"/>
      <c r="C1224" s="46"/>
      <c r="K1224" s="3" t="s">
        <v>2859</v>
      </c>
    </row>
    <row r="1225" spans="1:42" ht="18.399999999999999" customHeight="1" x14ac:dyDescent="0.15">
      <c r="A1225" s="42" t="s">
        <v>1552</v>
      </c>
      <c r="B1225" s="3"/>
      <c r="C1225" s="46"/>
      <c r="K1225" s="3" t="s">
        <v>363</v>
      </c>
    </row>
    <row r="1226" spans="1:42" ht="18.399999999999999" customHeight="1" x14ac:dyDescent="0.15">
      <c r="A1226" s="42" t="s">
        <v>2859</v>
      </c>
      <c r="B1226" s="3"/>
      <c r="C1226" s="46"/>
      <c r="K1226" s="3" t="s">
        <v>2859</v>
      </c>
    </row>
    <row r="1227" spans="1:42" ht="18.399999999999999" customHeight="1" x14ac:dyDescent="0.15">
      <c r="A1227" s="44" t="str">
        <f>CONCATENATE("          L=",TEXT($AB1227,"#,##0.0")," km  , V=",TEXT($AF1227,"#,##0.00")," km/hr   운반회수 : 2 회(왕복)")</f>
        <v xml:space="preserve">          L=21.0 km  , V=40.00 km/hr   운반회수 : 2 회(왕복)</v>
      </c>
      <c r="B1227" s="3"/>
      <c r="C1227" s="46"/>
      <c r="K1227" s="12" t="str">
        <f>SUBSTITUTE(SUBSTITUTE(SUBSTITUTE("          L = 21.0_x001D_km_x001D_ , V = 40_x001D_km/hr_x001D_ _x001D_운반회수 : 2 회(왕복)_x001D_","21.0",TEXT($AB1227,"#,##0.0"),1),"40",TEXT($AF1227,"#,##0"),1),"_x001D_","'")</f>
        <v xml:space="preserve">          L = 21.0'km' , V = 40'km/hr' '운반회수 : 2 회(왕복)'</v>
      </c>
      <c r="AA1227" s="39" t="s">
        <v>2704</v>
      </c>
      <c r="AB1227" s="8">
        <v>21</v>
      </c>
      <c r="AC1227" s="39" t="s">
        <v>2704</v>
      </c>
      <c r="AD1227" s="9">
        <f>$AB1227</f>
        <v>21</v>
      </c>
      <c r="AE1227" s="39" t="s">
        <v>120</v>
      </c>
      <c r="AF1227" s="8">
        <v>40</v>
      </c>
      <c r="AG1227" s="39" t="s">
        <v>120</v>
      </c>
      <c r="AH1227" s="9">
        <f>$AF1227</f>
        <v>40</v>
      </c>
    </row>
    <row r="1228" spans="1:42" ht="18.399999999999999" customHeight="1" x14ac:dyDescent="0.15">
      <c r="A1228" s="42" t="s">
        <v>2859</v>
      </c>
      <c r="B1228" s="3"/>
      <c r="C1228" s="46"/>
      <c r="K1228" s="3" t="s">
        <v>2859</v>
      </c>
    </row>
    <row r="1229" spans="1:42" ht="18.399999999999999" customHeight="1" x14ac:dyDescent="0.15">
      <c r="A1229" s="44" t="str">
        <f>CONCATENATE("          t1=",TEXT($AB1229,"#,##0.00")," min(적재)")</f>
        <v xml:space="preserve">          t1=30.00 min(적재)</v>
      </c>
      <c r="B1229" s="3"/>
      <c r="C1229" s="46"/>
      <c r="K1229" s="12" t="str">
        <f>SUBSTITUTE(SUBSTITUTE("          t1 = 30_x001D_min(적재)_x001D_","30",TEXT($AB1229,"#,##0"),1),"_x001D_","'")</f>
        <v xml:space="preserve">          t1 = 30'min(적재)'</v>
      </c>
      <c r="AA1229" s="39" t="s">
        <v>2079</v>
      </c>
      <c r="AB1229" s="8">
        <v>30</v>
      </c>
      <c r="AC1229" s="39" t="s">
        <v>2079</v>
      </c>
      <c r="AD1229" s="9">
        <f>$AB1229</f>
        <v>30</v>
      </c>
    </row>
    <row r="1230" spans="1:42" ht="18.399999999999999" customHeight="1" x14ac:dyDescent="0.15">
      <c r="A1230" s="42" t="s">
        <v>2859</v>
      </c>
      <c r="B1230" s="3"/>
      <c r="C1230" s="46"/>
      <c r="K1230" s="3" t="s">
        <v>2859</v>
      </c>
    </row>
    <row r="1231" spans="1:42" ht="18.399999999999999" customHeight="1" x14ac:dyDescent="0.15">
      <c r="A1231" s="44" t="str">
        <f>CONCATENATE("          t2 = ( ",TEXT($AB1231,"#,##0.00")," / ",TEXT($AF1231,"#,##0.00")," ) * 2 * 60 = ",TEXT($AN1231,"#,##0.00")," min")</f>
        <v xml:space="preserve">          t2 = ( 21.00 / 40.00 ) * 2 * 60 = 63.00 min</v>
      </c>
      <c r="B1231" s="3"/>
      <c r="C1231" s="46"/>
      <c r="K1231" s="3" t="s">
        <v>2052</v>
      </c>
      <c r="AA1231" s="39" t="s">
        <v>2097</v>
      </c>
      <c r="AB1231" s="10">
        <f>$AD1227</f>
        <v>21</v>
      </c>
      <c r="AC1231" s="39" t="s">
        <v>348</v>
      </c>
      <c r="AD1231" s="9">
        <f>$AB1231</f>
        <v>21</v>
      </c>
      <c r="AE1231" s="39" t="s">
        <v>1232</v>
      </c>
      <c r="AF1231" s="10">
        <f>$AH1227</f>
        <v>40</v>
      </c>
      <c r="AG1231" s="39" t="s">
        <v>2284</v>
      </c>
      <c r="AH1231" s="9">
        <f>$AF1231</f>
        <v>40</v>
      </c>
      <c r="AI1231" s="39" t="s">
        <v>2737</v>
      </c>
      <c r="AJ1231" s="10">
        <f>ROUND(($AD1231/$AH1231)*2*60,2)</f>
        <v>63</v>
      </c>
      <c r="AK1231" s="39" t="s">
        <v>953</v>
      </c>
      <c r="AL1231" s="9">
        <f>$AJ1231</f>
        <v>63</v>
      </c>
      <c r="AM1231" s="39" t="s">
        <v>2488</v>
      </c>
      <c r="AN1231" s="10">
        <f>ROUND(ROUND(($AD1231/$AH1231)*2*60,2),2)</f>
        <v>63</v>
      </c>
      <c r="AO1231" s="39" t="s">
        <v>1899</v>
      </c>
      <c r="AP1231" s="9">
        <f>$AN1231</f>
        <v>63</v>
      </c>
    </row>
    <row r="1232" spans="1:42" ht="18.399999999999999" customHeight="1" x14ac:dyDescent="0.15">
      <c r="A1232" s="42" t="s">
        <v>2859</v>
      </c>
      <c r="B1232" s="3"/>
      <c r="C1232" s="46"/>
      <c r="K1232" s="3" t="s">
        <v>2859</v>
      </c>
    </row>
    <row r="1233" spans="1:50" ht="18.399999999999999" customHeight="1" x14ac:dyDescent="0.15">
      <c r="A1233" s="44" t="str">
        <f>CONCATENATE("          t3=",TEXT($AB1233,"#,##0.00")," min(적하)  ,  t4=",TEXT($AF1233,"#,##0.00")," min")</f>
        <v xml:space="preserve">          t3=30.00 min(적하)  ,  t4=10.00 min</v>
      </c>
      <c r="B1233" s="3"/>
      <c r="C1233" s="46"/>
      <c r="K1233" s="12" t="str">
        <f>SUBSTITUTE(SUBSTITUTE(SUBSTITUTE("          t3 = 30_x001D_min(적하)_x001D_ ,  t4 = 10_x001D_min_x001D_","30",TEXT($AB1233,"#,##0"),1),"10",TEXT($AF1233,"#,##0"),1),"_x001D_","'")</f>
        <v xml:space="preserve">          t3 = 30'min(적하)' ,  t4 = 10'min'</v>
      </c>
      <c r="AA1233" s="39" t="s">
        <v>511</v>
      </c>
      <c r="AB1233" s="8">
        <v>30</v>
      </c>
      <c r="AC1233" s="39" t="s">
        <v>511</v>
      </c>
      <c r="AD1233" s="9">
        <f>$AB1233</f>
        <v>30</v>
      </c>
      <c r="AE1233" s="39" t="s">
        <v>1531</v>
      </c>
      <c r="AF1233" s="8">
        <v>10</v>
      </c>
      <c r="AG1233" s="39" t="s">
        <v>1531</v>
      </c>
      <c r="AH1233" s="9">
        <f>$AF1233</f>
        <v>10</v>
      </c>
    </row>
    <row r="1234" spans="1:50" ht="18.399999999999999" customHeight="1" x14ac:dyDescent="0.15">
      <c r="A1234" s="42" t="s">
        <v>2859</v>
      </c>
      <c r="B1234" s="3"/>
      <c r="C1234" s="46"/>
      <c r="K1234" s="3" t="s">
        <v>2859</v>
      </c>
    </row>
    <row r="1235" spans="1:50" ht="18.399999999999999" customHeight="1" x14ac:dyDescent="0.15">
      <c r="A1235" s="44" t="str">
        <f>CONCATENATE("          Cm = (",TEXT($AB1235,"#,##0.00")," + ",TEXT($AF1235,"#,##0.00")," + ",TEXT($AJ1235,"#,##0.00")," + ",TEXT($AN1235,"#,##0.00"),") = ",TEXT($AV1235,"#,##0.00")," min")</f>
        <v xml:space="preserve">          Cm = (30.00 + 63.00 + 30.00 + 10.00) = 133.00 min</v>
      </c>
      <c r="B1235" s="3"/>
      <c r="C1235" s="46"/>
      <c r="K1235" s="3" t="s">
        <v>1999</v>
      </c>
      <c r="AA1235" s="39" t="s">
        <v>1963</v>
      </c>
      <c r="AB1235" s="10">
        <f>$AD1229</f>
        <v>30</v>
      </c>
      <c r="AC1235" s="39" t="s">
        <v>2447</v>
      </c>
      <c r="AD1235" s="9">
        <f>$AB1235</f>
        <v>30</v>
      </c>
      <c r="AE1235" s="39" t="s">
        <v>1110</v>
      </c>
      <c r="AF1235" s="10">
        <f>$AL1231</f>
        <v>63</v>
      </c>
      <c r="AG1235" s="39" t="s">
        <v>549</v>
      </c>
      <c r="AH1235" s="9">
        <f>$AF1235</f>
        <v>63</v>
      </c>
      <c r="AI1235" s="39" t="s">
        <v>2322</v>
      </c>
      <c r="AJ1235" s="10">
        <f>$AD1233</f>
        <v>30</v>
      </c>
      <c r="AK1235" s="39" t="s">
        <v>910</v>
      </c>
      <c r="AL1235" s="9">
        <f>$AJ1235</f>
        <v>30</v>
      </c>
      <c r="AM1235" s="39" t="s">
        <v>2136</v>
      </c>
      <c r="AN1235" s="10">
        <f>$AH1233</f>
        <v>10</v>
      </c>
      <c r="AO1235" s="39" t="s">
        <v>2603</v>
      </c>
      <c r="AP1235" s="9">
        <f>$AN1235</f>
        <v>10</v>
      </c>
      <c r="AQ1235" s="39" t="s">
        <v>2302</v>
      </c>
      <c r="AR1235" s="10">
        <f>ROUND(($AD1235+$AH1235+$AL1235+$AP1235),2)</f>
        <v>133</v>
      </c>
      <c r="AS1235" s="39" t="s">
        <v>139</v>
      </c>
      <c r="AT1235" s="9">
        <f>$AR1235</f>
        <v>133</v>
      </c>
      <c r="AU1235" s="39" t="s">
        <v>1278</v>
      </c>
      <c r="AV1235" s="10">
        <f>ROUND(ROUND(($AD1235+$AH1235+$AL1235+$AP1235),2),2)</f>
        <v>133</v>
      </c>
      <c r="AW1235" s="39" t="s">
        <v>1589</v>
      </c>
      <c r="AX1235" s="9">
        <f>$AV1235</f>
        <v>133</v>
      </c>
    </row>
    <row r="1236" spans="1:50" ht="18.399999999999999" customHeight="1" x14ac:dyDescent="0.15">
      <c r="A1236" s="42" t="s">
        <v>2859</v>
      </c>
      <c r="B1236" s="3"/>
      <c r="C1236" s="46"/>
      <c r="K1236" s="3" t="s">
        <v>2859</v>
      </c>
    </row>
    <row r="1237" spans="1:50" ht="18.399999999999999" customHeight="1" x14ac:dyDescent="0.15">
      <c r="A1237" s="44" t="str">
        <f>CONCATENATE("          To =  Cm / 60 = ",TEXT($AF1237,"#,##0.0000")," hr")</f>
        <v xml:space="preserve">          To =  Cm / 60 = 2.2167 hr</v>
      </c>
      <c r="B1237" s="3"/>
      <c r="C1237" s="46"/>
      <c r="K1237" s="3" t="s">
        <v>1900</v>
      </c>
      <c r="AA1237" s="39" t="s">
        <v>1573</v>
      </c>
      <c r="AB1237" s="10">
        <f>ROUND($AT1235/60,4)</f>
        <v>2.2166999999999999</v>
      </c>
      <c r="AC1237" s="39" t="s">
        <v>202</v>
      </c>
      <c r="AD1237" s="9">
        <f>$AB1237</f>
        <v>2.2166999999999999</v>
      </c>
      <c r="AE1237" s="39" t="s">
        <v>580</v>
      </c>
      <c r="AF1237" s="10">
        <f>ROUND(ROUND($AT1235/60,4),4)</f>
        <v>2.2166999999999999</v>
      </c>
      <c r="AG1237" s="39" t="s">
        <v>1857</v>
      </c>
      <c r="AH1237" s="9">
        <f>$AF1237</f>
        <v>2.2166999999999999</v>
      </c>
    </row>
    <row r="1238" spans="1:50" ht="18.399999999999999" customHeight="1" x14ac:dyDescent="0.15">
      <c r="A1238" s="42" t="s">
        <v>2859</v>
      </c>
      <c r="B1238" s="3"/>
      <c r="C1238" s="46"/>
      <c r="K1238" s="3" t="s">
        <v>2859</v>
      </c>
    </row>
    <row r="1239" spans="1:50" ht="18.399999999999999" customHeight="1" x14ac:dyDescent="0.15">
      <c r="A1239" s="44" t="str">
        <f>CONCATENATE("      Q = To * 5 대  * 2 회(왕복)  = ","qty hr")</f>
        <v xml:space="preserve">      Q = To * 5 대  * 2 회(왕복)  = qty hr</v>
      </c>
      <c r="B1239" s="3">
        <f>$AF1239</f>
        <v>22.167000000000002</v>
      </c>
      <c r="C1239" s="46"/>
      <c r="K1239" s="3" t="s">
        <v>925</v>
      </c>
      <c r="AA1239" s="39" t="s">
        <v>504</v>
      </c>
      <c r="AB1239" s="10">
        <f>ROUND($AD1237*5*2,4)</f>
        <v>22.167000000000002</v>
      </c>
      <c r="AC1239" s="39" t="s">
        <v>1972</v>
      </c>
      <c r="AD1239" s="9">
        <f>$AB1239</f>
        <v>22.167000000000002</v>
      </c>
      <c r="AE1239" s="39" t="s">
        <v>1268</v>
      </c>
      <c r="AF1239" s="10">
        <f>$AB1239</f>
        <v>22.167000000000002</v>
      </c>
      <c r="AG1239" s="39" t="s">
        <v>2080</v>
      </c>
      <c r="AH1239" s="9">
        <f>$AF1239</f>
        <v>22.167000000000002</v>
      </c>
    </row>
    <row r="1240" spans="1:50" ht="18.399999999999999" customHeight="1" x14ac:dyDescent="0.15">
      <c r="A1240" s="43"/>
      <c r="B1240" s="3"/>
      <c r="C1240" s="46"/>
    </row>
    <row r="1241" spans="1:50" ht="18.399999999999999" customHeight="1" x14ac:dyDescent="0.15">
      <c r="A1241" s="42" t="s">
        <v>1208</v>
      </c>
      <c r="B1241" s="3"/>
      <c r="C1241" s="46"/>
      <c r="G1241" s="3" t="s">
        <v>2859</v>
      </c>
    </row>
    <row r="1242" spans="1:50" ht="18.399999999999999" customHeight="1" x14ac:dyDescent="0.15">
      <c r="A1242" s="42" t="s">
        <v>2859</v>
      </c>
      <c r="B1242" s="3"/>
      <c r="C1242" s="46"/>
      <c r="K1242" s="3" t="s">
        <v>2859</v>
      </c>
    </row>
    <row r="1243" spans="1:50" ht="18.399999999999999" customHeight="1" x14ac:dyDescent="0.15">
      <c r="A1243" s="42" t="s">
        <v>2735</v>
      </c>
      <c r="B1243" s="3"/>
      <c r="C1243" s="46"/>
      <c r="K1243" s="3" t="s">
        <v>2460</v>
      </c>
    </row>
    <row r="1244" spans="1:50" ht="18.399999999999999" customHeight="1" x14ac:dyDescent="0.15">
      <c r="A1244" s="42" t="s">
        <v>2859</v>
      </c>
      <c r="B1244" s="3"/>
      <c r="C1244" s="46"/>
      <c r="K1244" s="3" t="s">
        <v>2859</v>
      </c>
    </row>
    <row r="1245" spans="1:50" ht="18.399999999999999" customHeight="1" x14ac:dyDescent="0.15">
      <c r="A1245" s="44" t="str">
        <f>CONCATENATE("          L=",TEXT($AB1245,"#,##0.0")," km  , V=",TEXT($AF1245,"#,##0.00")," km/hr   운반회수 : 2 회(왕복)")</f>
        <v xml:space="preserve">          L=21.0 km  , V=40.00 km/hr   운반회수 : 2 회(왕복)</v>
      </c>
      <c r="B1245" s="3"/>
      <c r="C1245" s="46"/>
      <c r="K1245" s="12" t="str">
        <f>SUBSTITUTE(SUBSTITUTE(SUBSTITUTE("          L = 21.0_x001D_km_x001D_ , V = 40_x001D_km/hr_x001D_ _x001D_운반회수 : 2 회(왕복)_x001D_","21.0",TEXT($AB1245,"#,##0.0"),1),"40",TEXT($AF1245,"#,##0"),1),"_x001D_","'")</f>
        <v xml:space="preserve">          L = 21.0'km' , V = 40'km/hr' '운반회수 : 2 회(왕복)'</v>
      </c>
      <c r="AA1245" s="39" t="s">
        <v>2704</v>
      </c>
      <c r="AB1245" s="8">
        <v>21</v>
      </c>
      <c r="AC1245" s="39" t="s">
        <v>2704</v>
      </c>
      <c r="AD1245" s="9">
        <f>$AB1245</f>
        <v>21</v>
      </c>
      <c r="AE1245" s="39" t="s">
        <v>120</v>
      </c>
      <c r="AF1245" s="8">
        <v>40</v>
      </c>
      <c r="AG1245" s="39" t="s">
        <v>120</v>
      </c>
      <c r="AH1245" s="9">
        <f>$AF1245</f>
        <v>40</v>
      </c>
    </row>
    <row r="1246" spans="1:50" ht="18.399999999999999" customHeight="1" x14ac:dyDescent="0.15">
      <c r="A1246" s="42" t="s">
        <v>2859</v>
      </c>
      <c r="B1246" s="3"/>
      <c r="C1246" s="46"/>
      <c r="K1246" s="3" t="s">
        <v>2859</v>
      </c>
    </row>
    <row r="1247" spans="1:50" ht="18.399999999999999" customHeight="1" x14ac:dyDescent="0.15">
      <c r="A1247" s="44" t="str">
        <f>CONCATENATE("          t1=",TEXT($AB1247,"#,##0.00")," min(적재)")</f>
        <v xml:space="preserve">          t1=30.00 min(적재)</v>
      </c>
      <c r="B1247" s="3"/>
      <c r="C1247" s="46"/>
      <c r="K1247" s="12" t="str">
        <f>SUBSTITUTE(SUBSTITUTE("          t1 = 30_x001D_min(적재)_x001D_","30",TEXT($AB1247,"#,##0"),1),"_x001D_","'")</f>
        <v xml:space="preserve">          t1 = 30'min(적재)'</v>
      </c>
      <c r="AA1247" s="39" t="s">
        <v>2079</v>
      </c>
      <c r="AB1247" s="8">
        <v>30</v>
      </c>
      <c r="AC1247" s="39" t="s">
        <v>2079</v>
      </c>
      <c r="AD1247" s="9">
        <f>$AB1247</f>
        <v>30</v>
      </c>
    </row>
    <row r="1248" spans="1:50" ht="18.399999999999999" customHeight="1" x14ac:dyDescent="0.15">
      <c r="A1248" s="42" t="s">
        <v>2859</v>
      </c>
      <c r="B1248" s="3"/>
      <c r="C1248" s="46"/>
      <c r="K1248" s="3" t="s">
        <v>2859</v>
      </c>
    </row>
    <row r="1249" spans="1:50" ht="18.399999999999999" customHeight="1" x14ac:dyDescent="0.15">
      <c r="A1249" s="44" t="str">
        <f>CONCATENATE("          t2 = ( ",TEXT($AB1249,"#,##0.00")," / ",TEXT($AF1249,"#,##0.00")," ) * 2 * 60 = ",TEXT($AN1249,"#,##0.00")," min")</f>
        <v xml:space="preserve">          t2 = ( 21.00 / 40.00 ) * 2 * 60 = 63.00 min</v>
      </c>
      <c r="B1249" s="3"/>
      <c r="C1249" s="46"/>
      <c r="K1249" s="3" t="s">
        <v>2052</v>
      </c>
      <c r="AA1249" s="39" t="s">
        <v>2469</v>
      </c>
      <c r="AB1249" s="10">
        <f>$AD1245</f>
        <v>21</v>
      </c>
      <c r="AC1249" s="39" t="s">
        <v>1058</v>
      </c>
      <c r="AD1249" s="9">
        <f>$AB1249</f>
        <v>21</v>
      </c>
      <c r="AE1249" s="39" t="s">
        <v>125</v>
      </c>
      <c r="AF1249" s="10">
        <f>$AH1245</f>
        <v>40</v>
      </c>
      <c r="AG1249" s="39" t="s">
        <v>1980</v>
      </c>
      <c r="AH1249" s="9">
        <f>$AF1249</f>
        <v>40</v>
      </c>
      <c r="AI1249" s="39" t="s">
        <v>2737</v>
      </c>
      <c r="AJ1249" s="10">
        <f>ROUND(($AD1249/$AH1249)*2*60,2)</f>
        <v>63</v>
      </c>
      <c r="AK1249" s="39" t="s">
        <v>953</v>
      </c>
      <c r="AL1249" s="9">
        <f>$AJ1249</f>
        <v>63</v>
      </c>
      <c r="AM1249" s="39" t="s">
        <v>2086</v>
      </c>
      <c r="AN1249" s="10">
        <f>ROUND(ROUND(($AD1249/$AH1249)*2*60,2),2)</f>
        <v>63</v>
      </c>
      <c r="AO1249" s="39" t="s">
        <v>2412</v>
      </c>
      <c r="AP1249" s="9">
        <f>$AN1249</f>
        <v>63</v>
      </c>
    </row>
    <row r="1250" spans="1:50" ht="18.399999999999999" customHeight="1" x14ac:dyDescent="0.15">
      <c r="A1250" s="42" t="s">
        <v>2859</v>
      </c>
      <c r="B1250" s="3"/>
      <c r="C1250" s="46"/>
      <c r="K1250" s="3" t="s">
        <v>2859</v>
      </c>
    </row>
    <row r="1251" spans="1:50" ht="18.399999999999999" customHeight="1" x14ac:dyDescent="0.15">
      <c r="A1251" s="44" t="str">
        <f>CONCATENATE("          t3=",TEXT($AB1251,"#,##0.00")," min(적하)  ,  t4=",TEXT($AF1251,"#,##0.00")," min")</f>
        <v xml:space="preserve">          t3=30.00 min(적하)  ,  t4=10.00 min</v>
      </c>
      <c r="B1251" s="3"/>
      <c r="C1251" s="46"/>
      <c r="K1251" s="12" t="str">
        <f>SUBSTITUTE(SUBSTITUTE(SUBSTITUTE("          t3 = 30_x001D_min(적하)_x001D_ ,  t4 = 10_x001D_min_x001D_","30",TEXT($AB1251,"#,##0"),1),"10",TEXT($AF1251,"#,##0"),1),"_x001D_","'")</f>
        <v xml:space="preserve">          t3 = 30'min(적하)' ,  t4 = 10'min'</v>
      </c>
      <c r="AA1251" s="39" t="s">
        <v>511</v>
      </c>
      <c r="AB1251" s="8">
        <v>30</v>
      </c>
      <c r="AC1251" s="39" t="s">
        <v>511</v>
      </c>
      <c r="AD1251" s="9">
        <f>$AB1251</f>
        <v>30</v>
      </c>
      <c r="AE1251" s="39" t="s">
        <v>1531</v>
      </c>
      <c r="AF1251" s="8">
        <v>10</v>
      </c>
      <c r="AG1251" s="39" t="s">
        <v>1531</v>
      </c>
      <c r="AH1251" s="9">
        <f>$AF1251</f>
        <v>10</v>
      </c>
    </row>
    <row r="1252" spans="1:50" ht="18.399999999999999" customHeight="1" x14ac:dyDescent="0.15">
      <c r="A1252" s="42" t="s">
        <v>2859</v>
      </c>
      <c r="B1252" s="3"/>
      <c r="C1252" s="46"/>
      <c r="K1252" s="3" t="s">
        <v>2859</v>
      </c>
    </row>
    <row r="1253" spans="1:50" ht="18.399999999999999" customHeight="1" x14ac:dyDescent="0.15">
      <c r="A1253" s="44" t="str">
        <f>CONCATENATE("          Cm = (",TEXT($AB1253,"#,##0.00")," + ",TEXT($AF1253,"#,##0.00")," + ",TEXT($AJ1253,"#,##0.00")," + ",TEXT($AN1253,"#,##0.00"),") = ",TEXT($AV1253,"#,##0.00")," min")</f>
        <v xml:space="preserve">          Cm = (30.00 + 63.00 + 30.00 + 10.00) = 133.00 min</v>
      </c>
      <c r="B1253" s="3"/>
      <c r="C1253" s="46"/>
      <c r="K1253" s="3" t="s">
        <v>1999</v>
      </c>
      <c r="AA1253" s="39" t="s">
        <v>1403</v>
      </c>
      <c r="AB1253" s="10">
        <f>$AD1247</f>
        <v>30</v>
      </c>
      <c r="AC1253" s="39" t="s">
        <v>2418</v>
      </c>
      <c r="AD1253" s="9">
        <f>$AB1253</f>
        <v>30</v>
      </c>
      <c r="AE1253" s="39" t="s">
        <v>1908</v>
      </c>
      <c r="AF1253" s="10">
        <f>$AL1249</f>
        <v>63</v>
      </c>
      <c r="AG1253" s="39" t="s">
        <v>609</v>
      </c>
      <c r="AH1253" s="9">
        <f>$AF1253</f>
        <v>63</v>
      </c>
      <c r="AI1253" s="39" t="s">
        <v>301</v>
      </c>
      <c r="AJ1253" s="10">
        <f>$AD1251</f>
        <v>30</v>
      </c>
      <c r="AK1253" s="39" t="s">
        <v>1045</v>
      </c>
      <c r="AL1253" s="9">
        <f>$AJ1253</f>
        <v>30</v>
      </c>
      <c r="AM1253" s="39" t="s">
        <v>126</v>
      </c>
      <c r="AN1253" s="10">
        <f>$AH1251</f>
        <v>10</v>
      </c>
      <c r="AO1253" s="39" t="s">
        <v>2576</v>
      </c>
      <c r="AP1253" s="9">
        <f>$AN1253</f>
        <v>10</v>
      </c>
      <c r="AQ1253" s="39" t="s">
        <v>2302</v>
      </c>
      <c r="AR1253" s="10">
        <f>ROUND(($AD1253+$AH1253+$AL1253+$AP1253),2)</f>
        <v>133</v>
      </c>
      <c r="AS1253" s="39" t="s">
        <v>139</v>
      </c>
      <c r="AT1253" s="9">
        <f>$AR1253</f>
        <v>133</v>
      </c>
      <c r="AU1253" s="39" t="s">
        <v>2087</v>
      </c>
      <c r="AV1253" s="10">
        <f>ROUND(ROUND(($AD1253+$AH1253+$AL1253+$AP1253),2),2)</f>
        <v>133</v>
      </c>
      <c r="AW1253" s="39" t="s">
        <v>1443</v>
      </c>
      <c r="AX1253" s="9">
        <f>$AV1253</f>
        <v>133</v>
      </c>
    </row>
    <row r="1254" spans="1:50" ht="18.399999999999999" customHeight="1" x14ac:dyDescent="0.15">
      <c r="A1254" s="42" t="s">
        <v>2859</v>
      </c>
      <c r="B1254" s="3"/>
      <c r="C1254" s="46"/>
      <c r="K1254" s="3" t="s">
        <v>2859</v>
      </c>
    </row>
    <row r="1255" spans="1:50" ht="18.399999999999999" customHeight="1" x14ac:dyDescent="0.15">
      <c r="A1255" s="44" t="str">
        <f>CONCATENATE("          To =  Cm / 60 = ",TEXT($AF1255,"#,##0.0000")," hr")</f>
        <v xml:space="preserve">          To =  Cm / 60 = 2.2167 hr</v>
      </c>
      <c r="B1255" s="3"/>
      <c r="C1255" s="46"/>
      <c r="K1255" s="3" t="s">
        <v>1900</v>
      </c>
      <c r="AA1255" s="39" t="s">
        <v>1573</v>
      </c>
      <c r="AB1255" s="10">
        <f>ROUND($AT1253/60,4)</f>
        <v>2.2166999999999999</v>
      </c>
      <c r="AC1255" s="39" t="s">
        <v>202</v>
      </c>
      <c r="AD1255" s="9">
        <f>$AB1255</f>
        <v>2.2166999999999999</v>
      </c>
      <c r="AE1255" s="39" t="s">
        <v>2772</v>
      </c>
      <c r="AF1255" s="10">
        <f>ROUND(ROUND($AT1253/60,4),4)</f>
        <v>2.2166999999999999</v>
      </c>
      <c r="AG1255" s="39" t="s">
        <v>904</v>
      </c>
      <c r="AH1255" s="9">
        <f>$AF1255</f>
        <v>2.2166999999999999</v>
      </c>
    </row>
    <row r="1256" spans="1:50" ht="18.399999999999999" customHeight="1" x14ac:dyDescent="0.15">
      <c r="A1256" s="42" t="s">
        <v>2859</v>
      </c>
      <c r="B1256" s="3"/>
      <c r="C1256" s="46"/>
      <c r="K1256" s="3" t="s">
        <v>2859</v>
      </c>
    </row>
    <row r="1257" spans="1:50" ht="18.399999999999999" customHeight="1" x14ac:dyDescent="0.15">
      <c r="A1257" s="44" t="str">
        <f>CONCATENATE("      Q = To * 5 대  * 2 회(왕복)  = ",TEXT($AF1257,"#,##0.0000")," hr")</f>
        <v xml:space="preserve">      Q = To * 5 대  * 2 회(왕복)  = 22.1670 hr</v>
      </c>
      <c r="B1257" s="3"/>
      <c r="C1257" s="46"/>
      <c r="K1257" s="3" t="s">
        <v>1026</v>
      </c>
      <c r="AA1257" s="39" t="s">
        <v>504</v>
      </c>
      <c r="AB1257" s="10">
        <f>ROUND($AD1255*5*2,4)</f>
        <v>22.167000000000002</v>
      </c>
      <c r="AC1257" s="39" t="s">
        <v>1972</v>
      </c>
      <c r="AD1257" s="9">
        <f>$AB1257</f>
        <v>22.167000000000002</v>
      </c>
      <c r="AE1257" s="39" t="s">
        <v>1269</v>
      </c>
      <c r="AF1257" s="10">
        <f>ROUND(ROUND($AD1255*5*2,4),4)</f>
        <v>22.167000000000002</v>
      </c>
      <c r="AG1257" s="39" t="s">
        <v>481</v>
      </c>
      <c r="AH1257" s="9">
        <f>$AF1257</f>
        <v>22.167000000000002</v>
      </c>
    </row>
    <row r="1258" spans="1:50" ht="18.399999999999999" customHeight="1" x14ac:dyDescent="0.15">
      <c r="A1258" s="42" t="s">
        <v>2859</v>
      </c>
      <c r="B1258" s="3"/>
      <c r="C1258" s="46"/>
      <c r="K1258" s="3" t="s">
        <v>2859</v>
      </c>
    </row>
    <row r="1259" spans="1:50" ht="18.399999999999999" customHeight="1" x14ac:dyDescent="0.15">
      <c r="A1259" s="44" t="str">
        <f>CONCATENATE("          OH = ( Cm - (t1) - (t3) ) / Cm = ",TEXT($AF1259,"#,##0.0000"))</f>
        <v xml:space="preserve">          OH = ( Cm - (t1) - (t3) ) / Cm = 0.5489</v>
      </c>
      <c r="B1259" s="3"/>
      <c r="C1259" s="46"/>
      <c r="K1259" s="3" t="s">
        <v>1233</v>
      </c>
      <c r="AA1259" s="39" t="s">
        <v>2171</v>
      </c>
      <c r="AB1259" s="10">
        <f>ROUND(($AT1253-($AD1247)-($AD1251))/$AT1253,4)</f>
        <v>0.54890000000000005</v>
      </c>
      <c r="AC1259" s="39" t="s">
        <v>676</v>
      </c>
      <c r="AD1259" s="9">
        <f>$AB1259</f>
        <v>0.54890000000000005</v>
      </c>
      <c r="AE1259" s="39" t="s">
        <v>2559</v>
      </c>
      <c r="AF1259" s="10">
        <f>ROUND(ROUND(($AT1253-($AD1247)-($AD1251))/$AT1253,4),4)</f>
        <v>0.54890000000000005</v>
      </c>
      <c r="AG1259" s="39" t="s">
        <v>340</v>
      </c>
      <c r="AH1259" s="9">
        <f>$AF1259</f>
        <v>0.54890000000000005</v>
      </c>
    </row>
    <row r="1260" spans="1:50" ht="18.399999999999999" customHeight="1" x14ac:dyDescent="0.15">
      <c r="A1260" s="42" t="s">
        <v>2859</v>
      </c>
      <c r="B1260" s="3"/>
      <c r="C1260" s="46"/>
      <c r="K1260" s="3" t="s">
        <v>2859</v>
      </c>
    </row>
    <row r="1261" spans="1:50" ht="18.399999999999999" customHeight="1" x14ac:dyDescent="0.15">
      <c r="A1261" s="44" t="str">
        <f>CONCATENATE("          Q * ",TEXT($AB1261,"#,##0.00")," =  ","qty hr/m3")</f>
        <v xml:space="preserve">          Q * 0.55 =  qty hr/m3</v>
      </c>
      <c r="B1261" s="3">
        <f>$AF1261</f>
        <v>12.167400000000001</v>
      </c>
      <c r="C1261" s="46"/>
      <c r="K1261" s="3" t="s">
        <v>195</v>
      </c>
      <c r="AA1261" s="39" t="s">
        <v>2799</v>
      </c>
      <c r="AB1261" s="10">
        <f>$AD1259</f>
        <v>0.54890000000000005</v>
      </c>
      <c r="AC1261" s="39" t="s">
        <v>1263</v>
      </c>
      <c r="AD1261" s="9">
        <f>$AB1261</f>
        <v>0.54890000000000005</v>
      </c>
      <c r="AE1261" s="39" t="s">
        <v>1268</v>
      </c>
      <c r="AF1261" s="10">
        <f>TRUNC($AD1257*$AD1261,4)</f>
        <v>12.167400000000001</v>
      </c>
      <c r="AG1261" s="39" t="s">
        <v>2080</v>
      </c>
      <c r="AH1261" s="9">
        <f>$AF1261</f>
        <v>12.167400000000001</v>
      </c>
    </row>
    <row r="1262" spans="1:50" ht="18.399999999999999" customHeight="1" x14ac:dyDescent="0.15">
      <c r="A1262" s="43"/>
      <c r="B1262" s="3"/>
      <c r="C1262" s="46"/>
    </row>
    <row r="1263" spans="1:50" ht="18.399999999999999" customHeight="1" x14ac:dyDescent="0.15">
      <c r="A1263" s="42" t="s">
        <v>1544</v>
      </c>
      <c r="B1263" s="36">
        <v>1</v>
      </c>
      <c r="C1263" s="46"/>
      <c r="G1263" s="3" t="s">
        <v>2859</v>
      </c>
    </row>
    <row r="1264" spans="1:50" ht="18.399999999999999" customHeight="1" x14ac:dyDescent="0.15">
      <c r="A1264" s="42" t="s">
        <v>2859</v>
      </c>
      <c r="B1264" s="3"/>
      <c r="C1264" s="46"/>
      <c r="K1264" s="3" t="s">
        <v>1424</v>
      </c>
      <c r="AA1264" s="40" t="s">
        <v>1545</v>
      </c>
      <c r="AB1264" s="8">
        <v>0</v>
      </c>
      <c r="AC1264" s="40" t="s">
        <v>1545</v>
      </c>
      <c r="AD1264" s="9">
        <f>$AB1264</f>
        <v>0</v>
      </c>
    </row>
    <row r="1265" spans="1:30" ht="18.399999999999999" customHeight="1" x14ac:dyDescent="0.15">
      <c r="A1265" s="42"/>
      <c r="B1265" s="3"/>
      <c r="C1265" s="46"/>
    </row>
    <row r="1266" spans="1:30" ht="18.399999999999999" customHeight="1" thickBot="1" x14ac:dyDescent="0.2">
      <c r="A1266" s="45"/>
      <c r="B1266" s="5"/>
      <c r="C1266" s="49"/>
    </row>
    <row r="1267" spans="1:30" ht="18.399999999999999" customHeight="1" x14ac:dyDescent="0.15">
      <c r="A1267" s="42"/>
      <c r="B1267" s="3"/>
      <c r="C1267" s="46"/>
    </row>
    <row r="1268" spans="1:30" ht="18.399999999999999" customHeight="1" x14ac:dyDescent="0.15">
      <c r="A1268" s="42" t="s">
        <v>1357</v>
      </c>
      <c r="B1268" s="36">
        <v>1</v>
      </c>
      <c r="C1268" s="46" t="s">
        <v>2859</v>
      </c>
    </row>
    <row r="1269" spans="1:30" ht="18.399999999999999" customHeight="1" x14ac:dyDescent="0.15">
      <c r="A1269" s="43"/>
      <c r="B1269" s="3"/>
      <c r="C1269" s="46"/>
    </row>
    <row r="1270" spans="1:30" ht="18.399999999999999" customHeight="1" x14ac:dyDescent="0.15">
      <c r="A1270" s="42" t="s">
        <v>2396</v>
      </c>
      <c r="B1270" s="3"/>
      <c r="C1270" s="46"/>
      <c r="G1270" s="3" t="s">
        <v>2859</v>
      </c>
    </row>
    <row r="1271" spans="1:30" ht="18.399999999999999" customHeight="1" x14ac:dyDescent="0.15">
      <c r="A1271" s="42" t="s">
        <v>2859</v>
      </c>
      <c r="B1271" s="3"/>
      <c r="C1271" s="46"/>
      <c r="K1271" s="3" t="s">
        <v>2859</v>
      </c>
    </row>
    <row r="1272" spans="1:30" ht="18.399999999999999" customHeight="1" x14ac:dyDescent="0.15">
      <c r="A1272" s="42" t="s">
        <v>2376</v>
      </c>
      <c r="B1272" s="3"/>
      <c r="C1272" s="46"/>
      <c r="K1272" s="3" t="s">
        <v>2376</v>
      </c>
    </row>
    <row r="1273" spans="1:30" ht="18.399999999999999" customHeight="1" x14ac:dyDescent="0.15">
      <c r="A1273" s="42" t="s">
        <v>2859</v>
      </c>
      <c r="B1273" s="3"/>
      <c r="C1273" s="46"/>
      <c r="K1273" s="3" t="s">
        <v>2859</v>
      </c>
    </row>
    <row r="1274" spans="1:30" ht="18.399999999999999" customHeight="1" x14ac:dyDescent="0.15">
      <c r="A1274" s="42" t="s">
        <v>2120</v>
      </c>
      <c r="B1274" s="3"/>
      <c r="C1274" s="46"/>
      <c r="K1274" s="3" t="s">
        <v>672</v>
      </c>
    </row>
    <row r="1275" spans="1:30" ht="18.399999999999999" customHeight="1" x14ac:dyDescent="0.15">
      <c r="A1275" s="42" t="s">
        <v>2859</v>
      </c>
      <c r="B1275" s="3"/>
      <c r="C1275" s="46"/>
      <c r="K1275" s="3" t="s">
        <v>2859</v>
      </c>
    </row>
    <row r="1276" spans="1:30" ht="18.399999999999999" customHeight="1" x14ac:dyDescent="0.15">
      <c r="A1276" s="44" t="str">
        <f>CONCATENATE("          20 / 60 / (4 * 2.5) * 2 (상하차) = ","qty hr/m")</f>
        <v xml:space="preserve">          20 / 60 / (4 * 2.5) * 2 (상하차) = qty hr/m</v>
      </c>
      <c r="B1276" s="3">
        <f>$AB1276</f>
        <v>6.6699999999999995E-2</v>
      </c>
      <c r="C1276" s="46"/>
      <c r="K1276" s="3" t="s">
        <v>355</v>
      </c>
      <c r="AA1276" s="39" t="s">
        <v>1268</v>
      </c>
      <c r="AB1276" s="10">
        <f>ROUND(20/60/(4*2.5)*2,4)</f>
        <v>6.6699999999999995E-2</v>
      </c>
      <c r="AC1276" s="39" t="s">
        <v>2080</v>
      </c>
      <c r="AD1276" s="9">
        <f>$AB1276</f>
        <v>6.6699999999999995E-2</v>
      </c>
    </row>
    <row r="1277" spans="1:30" ht="18.399999999999999" customHeight="1" x14ac:dyDescent="0.15">
      <c r="A1277" s="43"/>
      <c r="B1277" s="3"/>
      <c r="C1277" s="46"/>
    </row>
    <row r="1278" spans="1:30" ht="18.399999999999999" customHeight="1" x14ac:dyDescent="0.15">
      <c r="A1278" s="42" t="s">
        <v>624</v>
      </c>
      <c r="B1278" s="3"/>
      <c r="C1278" s="46"/>
      <c r="G1278" s="3" t="s">
        <v>2859</v>
      </c>
    </row>
    <row r="1279" spans="1:30" ht="18.399999999999999" customHeight="1" x14ac:dyDescent="0.15">
      <c r="A1279" s="44" t="str">
        <f>CONCATENATE("          비 계 공 : 2 인  * _x001D_0.0667_x001D_ hr/EA / 8 hr  = ","qty 인/EA ")</f>
        <v xml:space="preserve">          비 계 공 : 2 인  * _x001D_0.0667_x001D_ hr/EA / 8 hr  = qty 인/EA </v>
      </c>
      <c r="B1279" s="3">
        <f>$AB1279</f>
        <v>1.67E-2</v>
      </c>
      <c r="C1279" s="46"/>
      <c r="K1279" s="3" t="s">
        <v>1122</v>
      </c>
      <c r="AA1279" s="39" t="s">
        <v>1268</v>
      </c>
      <c r="AB1279" s="10">
        <f>ROUND(2*0.0667/8,4)</f>
        <v>1.67E-2</v>
      </c>
      <c r="AC1279" s="39" t="s">
        <v>2080</v>
      </c>
      <c r="AD1279" s="9">
        <f>$AB1279</f>
        <v>1.67E-2</v>
      </c>
    </row>
    <row r="1280" spans="1:30" ht="18.399999999999999" customHeight="1" x14ac:dyDescent="0.15">
      <c r="A1280" s="43"/>
      <c r="B1280" s="3"/>
      <c r="C1280" s="46"/>
    </row>
    <row r="1281" spans="1:38" ht="18.399999999999999" customHeight="1" x14ac:dyDescent="0.15">
      <c r="A1281" s="42" t="s">
        <v>174</v>
      </c>
      <c r="B1281" s="3"/>
      <c r="C1281" s="46"/>
      <c r="G1281" s="3" t="s">
        <v>2859</v>
      </c>
    </row>
    <row r="1282" spans="1:38" ht="18.399999999999999" customHeight="1" x14ac:dyDescent="0.15">
      <c r="A1282" s="44" t="str">
        <f>CONCATENATE("          보통인부 : 1 인  * _x001D_0.0667_x001D_ hr/EA / 8 hr  = ","qty 인/EA ")</f>
        <v xml:space="preserve">          보통인부 : 1 인  * _x001D_0.0667_x001D_ hr/EA / 8 hr  = qty 인/EA </v>
      </c>
      <c r="B1282" s="3">
        <f>$AB1282</f>
        <v>8.3000000000000001E-3</v>
      </c>
      <c r="C1282" s="46"/>
      <c r="K1282" s="3" t="s">
        <v>412</v>
      </c>
      <c r="AA1282" s="39" t="s">
        <v>1268</v>
      </c>
      <c r="AB1282" s="10">
        <f>ROUND(1*0.0667/8,4)</f>
        <v>8.3000000000000001E-3</v>
      </c>
      <c r="AC1282" s="39" t="s">
        <v>2080</v>
      </c>
      <c r="AD1282" s="9">
        <f>$AB1282</f>
        <v>8.3000000000000001E-3</v>
      </c>
    </row>
    <row r="1283" spans="1:38" ht="18.399999999999999" customHeight="1" x14ac:dyDescent="0.15">
      <c r="A1283" s="43"/>
      <c r="B1283" s="3"/>
      <c r="C1283" s="46"/>
    </row>
    <row r="1284" spans="1:38" ht="18.399999999999999" customHeight="1" x14ac:dyDescent="0.15">
      <c r="A1284" s="42" t="s">
        <v>1767</v>
      </c>
      <c r="B1284" s="3"/>
      <c r="C1284" s="46"/>
      <c r="G1284" s="3" t="s">
        <v>2859</v>
      </c>
    </row>
    <row r="1285" spans="1:38" ht="18.399999999999999" customHeight="1" x14ac:dyDescent="0.15">
      <c r="A1285" s="42" t="s">
        <v>2859</v>
      </c>
      <c r="B1285" s="3"/>
      <c r="C1285" s="46"/>
      <c r="K1285" s="3" t="s">
        <v>2859</v>
      </c>
    </row>
    <row r="1286" spans="1:38" ht="18.399999999999999" customHeight="1" x14ac:dyDescent="0.15">
      <c r="A1286" s="42" t="s">
        <v>336</v>
      </c>
      <c r="B1286" s="3"/>
      <c r="C1286" s="46"/>
      <c r="K1286" s="3" t="s">
        <v>336</v>
      </c>
    </row>
    <row r="1287" spans="1:38" ht="18.399999999999999" customHeight="1" x14ac:dyDescent="0.15">
      <c r="A1287" s="42" t="s">
        <v>2859</v>
      </c>
      <c r="B1287" s="3"/>
      <c r="C1287" s="46"/>
      <c r="K1287" s="3" t="s">
        <v>2859</v>
      </c>
    </row>
    <row r="1288" spans="1:38" ht="18.399999999999999" customHeight="1" x14ac:dyDescent="0.15">
      <c r="A1288" s="42" t="s">
        <v>2779</v>
      </c>
      <c r="B1288" s="3"/>
      <c r="C1288" s="46"/>
      <c r="K1288" s="3" t="s">
        <v>1021</v>
      </c>
    </row>
    <row r="1289" spans="1:38" ht="18.399999999999999" customHeight="1" x14ac:dyDescent="0.15">
      <c r="A1289" s="42" t="s">
        <v>2859</v>
      </c>
      <c r="B1289" s="3"/>
      <c r="C1289" s="46"/>
      <c r="K1289" s="3" t="s">
        <v>2859</v>
      </c>
    </row>
    <row r="1290" spans="1:38" ht="18.399999999999999" customHeight="1" x14ac:dyDescent="0.15">
      <c r="A1290" s="44" t="str">
        <f>CONCATENATE("          q=",TEXT($AB1290,"#,##0.00")," m , E=",TEXT($AF1290,"#,##0.00"),", f=",TEXT($AJ1290,"#,##0.0"))</f>
        <v xml:space="preserve">          q=10.00 m , E=0.90, f=1.0</v>
      </c>
      <c r="B1290" s="3"/>
      <c r="C1290" s="46"/>
      <c r="K1290" s="12" t="str">
        <f>SUBSTITUTE(SUBSTITUTE(SUBSTITUTE(SUBSTITUTE("          q = 10_x001D_m_x001D_, E = 0.90, f = 1.0","10",TEXT($AB1290,"#,##0"),1),"0.90",TEXT($AF1290,"#,##0.00"),1),"1.0",TEXT($AJ1290,"#,##0.0"),1),"_x001D_","'")</f>
        <v xml:space="preserve">          q = 10'm', E = 0.90, f = 1.0</v>
      </c>
      <c r="AA1290" s="39" t="s">
        <v>1972</v>
      </c>
      <c r="AB1290" s="8">
        <v>10</v>
      </c>
      <c r="AC1290" s="39" t="s">
        <v>1972</v>
      </c>
      <c r="AD1290" s="9">
        <f>$AB1290</f>
        <v>10</v>
      </c>
      <c r="AE1290" s="39" t="s">
        <v>1383</v>
      </c>
      <c r="AF1290" s="8">
        <v>0.9</v>
      </c>
      <c r="AG1290" s="39" t="s">
        <v>1383</v>
      </c>
      <c r="AH1290" s="9">
        <f>$AF1290</f>
        <v>0.9</v>
      </c>
      <c r="AI1290" s="39" t="s">
        <v>1652</v>
      </c>
      <c r="AJ1290" s="8">
        <v>1</v>
      </c>
      <c r="AK1290" s="39" t="s">
        <v>1652</v>
      </c>
      <c r="AL1290" s="9">
        <f>$AJ1290</f>
        <v>1</v>
      </c>
    </row>
    <row r="1291" spans="1:38" ht="18.399999999999999" customHeight="1" x14ac:dyDescent="0.15">
      <c r="A1291" s="42" t="s">
        <v>2859</v>
      </c>
      <c r="B1291" s="3"/>
      <c r="C1291" s="46"/>
      <c r="K1291" s="3" t="s">
        <v>2859</v>
      </c>
    </row>
    <row r="1292" spans="1:38" ht="18.399999999999999" customHeight="1" x14ac:dyDescent="0.15">
      <c r="A1292" s="44" t="str">
        <f>CONCATENATE("          t1 = q * _x001D_0.0667_x001D_ / 2 * 60 = ",TEXT($AF1292,"#,##0.00")," min ")</f>
        <v xml:space="preserve">          t1 = q * _x001D_0.0667_x001D_ / 2 * 60 = 20.01 min </v>
      </c>
      <c r="B1292" s="3"/>
      <c r="C1292" s="46"/>
      <c r="K1292" s="3" t="s">
        <v>2543</v>
      </c>
      <c r="AA1292" s="39" t="s">
        <v>366</v>
      </c>
      <c r="AB1292" s="10">
        <f>ROUND($AD1290*0.0667/2*60,2)</f>
        <v>20.010000000000002</v>
      </c>
      <c r="AC1292" s="39" t="s">
        <v>2079</v>
      </c>
      <c r="AD1292" s="9">
        <f>$AB1292</f>
        <v>20.010000000000002</v>
      </c>
      <c r="AE1292" s="39" t="s">
        <v>1964</v>
      </c>
      <c r="AF1292" s="10">
        <f>ROUND(ROUND($AD1290*0.0667/2*60,2),2)</f>
        <v>20.010000000000002</v>
      </c>
      <c r="AG1292" s="39" t="s">
        <v>1061</v>
      </c>
      <c r="AH1292" s="9">
        <f>$AF1292</f>
        <v>20.010000000000002</v>
      </c>
    </row>
    <row r="1293" spans="1:38" ht="18.399999999999999" customHeight="1" x14ac:dyDescent="0.15">
      <c r="A1293" s="42" t="s">
        <v>2859</v>
      </c>
      <c r="B1293" s="3"/>
      <c r="C1293" s="46"/>
      <c r="K1293" s="3" t="s">
        <v>2859</v>
      </c>
    </row>
    <row r="1294" spans="1:38" ht="18.399999999999999" customHeight="1" x14ac:dyDescent="0.15">
      <c r="A1294" s="44" t="str">
        <f>CONCATENATE("          t2 = (2.10 / 30 + 2.10 / 35 ) * 60 = ",TEXT($AF1294,"#,##0.00")," min")</f>
        <v xml:space="preserve">          t2 = (2.10 / 30 + 2.10 / 35 ) * 60 = 7.80 min</v>
      </c>
      <c r="B1294" s="3"/>
      <c r="C1294" s="46"/>
      <c r="K1294" s="3" t="s">
        <v>1046</v>
      </c>
      <c r="AA1294" s="39" t="s">
        <v>2737</v>
      </c>
      <c r="AB1294" s="10">
        <f>ROUND((2.1/30+2.1/35)*60,2)</f>
        <v>7.8</v>
      </c>
      <c r="AC1294" s="39" t="s">
        <v>953</v>
      </c>
      <c r="AD1294" s="9">
        <f>$AB1294</f>
        <v>7.8</v>
      </c>
      <c r="AE1294" s="39" t="s">
        <v>638</v>
      </c>
      <c r="AF1294" s="10">
        <f>ROUND(ROUND((2.1/30+2.1/35)*60,2),2)</f>
        <v>7.8</v>
      </c>
      <c r="AG1294" s="39" t="s">
        <v>2443</v>
      </c>
      <c r="AH1294" s="9">
        <f>$AF1294</f>
        <v>7.8</v>
      </c>
    </row>
    <row r="1295" spans="1:38" ht="18.399999999999999" customHeight="1" x14ac:dyDescent="0.15">
      <c r="A1295" s="42" t="s">
        <v>2859</v>
      </c>
      <c r="B1295" s="3"/>
      <c r="C1295" s="46"/>
      <c r="K1295" s="3" t="s">
        <v>2859</v>
      </c>
    </row>
    <row r="1296" spans="1:38" ht="18.399999999999999" customHeight="1" x14ac:dyDescent="0.15">
      <c r="A1296" s="44" t="str">
        <f>CONCATENATE("          t3 = ",TEXT($AB1296,"#,##0.00")," (t1)  = ",TEXT($AJ1296,"#,##0.00")," min")</f>
        <v xml:space="preserve">          t3 = 20.01 (t1)  = 20.01 min</v>
      </c>
      <c r="B1296" s="3"/>
      <c r="C1296" s="46"/>
      <c r="K1296" s="3" t="s">
        <v>1247</v>
      </c>
      <c r="AA1296" s="39" t="s">
        <v>2108</v>
      </c>
      <c r="AB1296" s="10">
        <f>$AD1292</f>
        <v>20.010000000000002</v>
      </c>
      <c r="AC1296" s="39" t="s">
        <v>1856</v>
      </c>
      <c r="AD1296" s="9">
        <f>$AB1296</f>
        <v>20.010000000000002</v>
      </c>
      <c r="AE1296" s="39" t="s">
        <v>733</v>
      </c>
      <c r="AF1296" s="10">
        <f>ROUND($AD1296,2)</f>
        <v>20.010000000000002</v>
      </c>
      <c r="AG1296" s="39" t="s">
        <v>511</v>
      </c>
      <c r="AH1296" s="9">
        <f>$AF1296</f>
        <v>20.010000000000002</v>
      </c>
      <c r="AI1296" s="39" t="s">
        <v>1231</v>
      </c>
      <c r="AJ1296" s="10">
        <f>ROUND(ROUND($AD1296,2),2)</f>
        <v>20.010000000000002</v>
      </c>
      <c r="AK1296" s="39" t="s">
        <v>812</v>
      </c>
      <c r="AL1296" s="9">
        <f>$AJ1296</f>
        <v>20.010000000000002</v>
      </c>
    </row>
    <row r="1297" spans="1:50" ht="18.399999999999999" customHeight="1" x14ac:dyDescent="0.15">
      <c r="A1297" s="42" t="s">
        <v>2859</v>
      </c>
      <c r="B1297" s="3"/>
      <c r="C1297" s="46"/>
      <c r="K1297" s="3" t="s">
        <v>2859</v>
      </c>
    </row>
    <row r="1298" spans="1:50" ht="18.399999999999999" customHeight="1" x14ac:dyDescent="0.15">
      <c r="A1298" s="44" t="str">
        <f>CONCATENATE("          t4=",TEXT($AB1298,"#,##0.0")," min")</f>
        <v xml:space="preserve">          t4=0.7 min</v>
      </c>
      <c r="B1298" s="3"/>
      <c r="C1298" s="46"/>
      <c r="K1298" s="12" t="str">
        <f>SUBSTITUTE(SUBSTITUTE("          t4 = 0.7_x001D_min_x001D_","0.7",TEXT($AB1298,"#,##0.0"),1),"_x001D_","'")</f>
        <v xml:space="preserve">          t4 = 0.7'min'</v>
      </c>
      <c r="AA1298" s="39" t="s">
        <v>1531</v>
      </c>
      <c r="AB1298" s="8">
        <v>0.7</v>
      </c>
      <c r="AC1298" s="39" t="s">
        <v>1531</v>
      </c>
      <c r="AD1298" s="9">
        <f>$AB1298</f>
        <v>0.7</v>
      </c>
    </row>
    <row r="1299" spans="1:50" ht="18.399999999999999" customHeight="1" x14ac:dyDescent="0.15">
      <c r="A1299" s="42" t="s">
        <v>2859</v>
      </c>
      <c r="B1299" s="3"/>
      <c r="C1299" s="46"/>
      <c r="K1299" s="3" t="s">
        <v>2859</v>
      </c>
    </row>
    <row r="1300" spans="1:50" ht="18.399999999999999" customHeight="1" x14ac:dyDescent="0.15">
      <c r="A1300" s="44" t="str">
        <f>CONCATENATE("          Cm = ",TEXT($AB1300,"#,##0.00")," + ",TEXT($AF1300,"#,##0.00")," + ",TEXT($AJ1300,"#,##0.00")," + ",TEXT($AN1300,"#,##0.00")," = ",TEXT($AV1300,"#,##0.00")," min")</f>
        <v xml:space="preserve">          Cm = 20.01 + 7.80 + 20.01 + 0.70 = 48.52 min</v>
      </c>
      <c r="B1300" s="3"/>
      <c r="C1300" s="46"/>
      <c r="K1300" s="3" t="s">
        <v>260</v>
      </c>
      <c r="AA1300" s="39" t="s">
        <v>656</v>
      </c>
      <c r="AB1300" s="10">
        <f>$AD1292</f>
        <v>20.010000000000002</v>
      </c>
      <c r="AC1300" s="39" t="s">
        <v>766</v>
      </c>
      <c r="AD1300" s="9">
        <f>$AB1300</f>
        <v>20.010000000000002</v>
      </c>
      <c r="AE1300" s="39" t="s">
        <v>2664</v>
      </c>
      <c r="AF1300" s="10">
        <f>$AD1294</f>
        <v>7.8</v>
      </c>
      <c r="AG1300" s="39" t="s">
        <v>1903</v>
      </c>
      <c r="AH1300" s="9">
        <f>$AF1300</f>
        <v>7.8</v>
      </c>
      <c r="AI1300" s="39" t="s">
        <v>1065</v>
      </c>
      <c r="AJ1300" s="10">
        <f>$AH1296</f>
        <v>20.010000000000002</v>
      </c>
      <c r="AK1300" s="39" t="s">
        <v>2281</v>
      </c>
      <c r="AL1300" s="9">
        <f>$AJ1300</f>
        <v>20.010000000000002</v>
      </c>
      <c r="AM1300" s="39" t="s">
        <v>863</v>
      </c>
      <c r="AN1300" s="10">
        <f>$AD1298</f>
        <v>0.7</v>
      </c>
      <c r="AO1300" s="39" t="s">
        <v>1350</v>
      </c>
      <c r="AP1300" s="9">
        <f>$AN1300</f>
        <v>0.7</v>
      </c>
      <c r="AQ1300" s="39" t="s">
        <v>2302</v>
      </c>
      <c r="AR1300" s="10">
        <f>ROUND($AD1300+$AH1300+$AL1300+$AP1300,2)</f>
        <v>48.52</v>
      </c>
      <c r="AS1300" s="39" t="s">
        <v>139</v>
      </c>
      <c r="AT1300" s="9">
        <f>$AR1300</f>
        <v>48.52</v>
      </c>
      <c r="AU1300" s="39" t="s">
        <v>2827</v>
      </c>
      <c r="AV1300" s="10">
        <f>ROUND(ROUND($AD1300+$AH1300+$AL1300+$AP1300,2),2)</f>
        <v>48.52</v>
      </c>
      <c r="AW1300" s="39" t="s">
        <v>182</v>
      </c>
      <c r="AX1300" s="9">
        <f>$AV1300</f>
        <v>48.52</v>
      </c>
    </row>
    <row r="1301" spans="1:50" ht="18.399999999999999" customHeight="1" x14ac:dyDescent="0.15">
      <c r="A1301" s="42" t="s">
        <v>2859</v>
      </c>
      <c r="B1301" s="3"/>
      <c r="C1301" s="46"/>
      <c r="K1301" s="3" t="s">
        <v>2859</v>
      </c>
    </row>
    <row r="1302" spans="1:50" ht="18.399999999999999" customHeight="1" x14ac:dyDescent="0.15">
      <c r="A1302" s="42" t="s">
        <v>2859</v>
      </c>
      <c r="B1302" s="3"/>
      <c r="C1302" s="46"/>
      <c r="K1302" s="3" t="s">
        <v>2859</v>
      </c>
    </row>
    <row r="1303" spans="1:50" ht="18.399999999999999" customHeight="1" x14ac:dyDescent="0.15">
      <c r="A1303" s="44" t="str">
        <f>CONCATENATE("      Q = 60 * ",TEXT($AB1303,"#,##0.00")," * ",TEXT($AF1303,"#,##0.00")," * ",TEXT($AJ1303,"#,##0.00")," / ",TEXT($AN1303,"#,##0.00")," = ",TEXT($AV1303,"#,##0.00")," m/hr")</f>
        <v xml:space="preserve">      Q = 60 * 10.00 * 1.00 * 0.90 / 48.52 = 11.13 m/hr</v>
      </c>
      <c r="B1303" s="3"/>
      <c r="C1303" s="46"/>
      <c r="K1303" s="3" t="s">
        <v>1910</v>
      </c>
      <c r="AA1303" s="39" t="s">
        <v>2791</v>
      </c>
      <c r="AB1303" s="10">
        <f>$AD1290</f>
        <v>10</v>
      </c>
      <c r="AC1303" s="39" t="s">
        <v>1853</v>
      </c>
      <c r="AD1303" s="9">
        <f>$AB1303</f>
        <v>10</v>
      </c>
      <c r="AE1303" s="39" t="s">
        <v>425</v>
      </c>
      <c r="AF1303" s="10">
        <f>$AL1290</f>
        <v>1</v>
      </c>
      <c r="AG1303" s="39" t="s">
        <v>799</v>
      </c>
      <c r="AH1303" s="9">
        <f>$AF1303</f>
        <v>1</v>
      </c>
      <c r="AI1303" s="39" t="s">
        <v>1689</v>
      </c>
      <c r="AJ1303" s="10">
        <f>$AH1290</f>
        <v>0.9</v>
      </c>
      <c r="AK1303" s="39" t="s">
        <v>482</v>
      </c>
      <c r="AL1303" s="9">
        <f>$AJ1303</f>
        <v>0.9</v>
      </c>
      <c r="AM1303" s="39" t="s">
        <v>1524</v>
      </c>
      <c r="AN1303" s="10">
        <f>$AT1300</f>
        <v>48.52</v>
      </c>
      <c r="AO1303" s="39" t="s">
        <v>1654</v>
      </c>
      <c r="AP1303" s="9">
        <f>$AN1303</f>
        <v>48.52</v>
      </c>
      <c r="AQ1303" s="39" t="s">
        <v>504</v>
      </c>
      <c r="AR1303" s="10">
        <f>ROUND(60*$AD1303*$AH1303*$AL1303/$AP1303,2)</f>
        <v>11.13</v>
      </c>
      <c r="AS1303" s="39" t="s">
        <v>1972</v>
      </c>
      <c r="AT1303" s="9">
        <f>$AR1303</f>
        <v>11.13</v>
      </c>
      <c r="AU1303" s="39" t="s">
        <v>603</v>
      </c>
      <c r="AV1303" s="10">
        <f>ROUND(ROUND(60*$AD1303*$AH1303*$AL1303/$AP1303,2),2)</f>
        <v>11.13</v>
      </c>
      <c r="AW1303" s="39" t="s">
        <v>2715</v>
      </c>
      <c r="AX1303" s="9">
        <f>$AV1303</f>
        <v>11.13</v>
      </c>
    </row>
    <row r="1304" spans="1:50" ht="18.399999999999999" customHeight="1" x14ac:dyDescent="0.15">
      <c r="A1304" s="42" t="s">
        <v>2859</v>
      </c>
      <c r="B1304" s="3"/>
      <c r="C1304" s="46"/>
      <c r="K1304" s="3" t="s">
        <v>2859</v>
      </c>
    </row>
    <row r="1305" spans="1:50" ht="18.399999999999999" customHeight="1" x14ac:dyDescent="0.15">
      <c r="A1305" s="44" t="str">
        <f>CONCATENATE("          1 / Q = ","qty hr/m")</f>
        <v xml:space="preserve">          1 / Q = qty hr/m</v>
      </c>
      <c r="B1305" s="3">
        <f>$AB1305</f>
        <v>8.9800000000000005E-2</v>
      </c>
      <c r="C1305" s="46"/>
      <c r="K1305" s="3" t="s">
        <v>620</v>
      </c>
      <c r="AA1305" s="39" t="s">
        <v>1268</v>
      </c>
      <c r="AB1305" s="10">
        <f>ROUND(1/$AT1303,4)</f>
        <v>8.9800000000000005E-2</v>
      </c>
      <c r="AC1305" s="39" t="s">
        <v>2080</v>
      </c>
      <c r="AD1305" s="9">
        <f>$AB1305</f>
        <v>8.9800000000000005E-2</v>
      </c>
    </row>
    <row r="1306" spans="1:50" ht="18.399999999999999" customHeight="1" x14ac:dyDescent="0.15">
      <c r="A1306" s="43"/>
      <c r="B1306" s="3"/>
      <c r="C1306" s="46"/>
    </row>
    <row r="1307" spans="1:50" ht="18.399999999999999" customHeight="1" x14ac:dyDescent="0.15">
      <c r="A1307" s="42" t="s">
        <v>1898</v>
      </c>
      <c r="B1307" s="3"/>
      <c r="C1307" s="46"/>
      <c r="G1307" s="3" t="s">
        <v>2859</v>
      </c>
    </row>
    <row r="1308" spans="1:50" ht="18.399999999999999" customHeight="1" x14ac:dyDescent="0.15">
      <c r="A1308" s="42" t="s">
        <v>2859</v>
      </c>
      <c r="B1308" s="3"/>
      <c r="C1308" s="46"/>
      <c r="K1308" s="3" t="s">
        <v>2859</v>
      </c>
    </row>
    <row r="1309" spans="1:50" ht="18.399999999999999" customHeight="1" x14ac:dyDescent="0.15">
      <c r="A1309" s="42" t="s">
        <v>68</v>
      </c>
      <c r="B1309" s="3"/>
      <c r="C1309" s="46"/>
      <c r="K1309" s="3" t="s">
        <v>68</v>
      </c>
    </row>
    <row r="1310" spans="1:50" ht="18.399999999999999" customHeight="1" x14ac:dyDescent="0.15">
      <c r="A1310" s="42" t="s">
        <v>2859</v>
      </c>
      <c r="B1310" s="3"/>
      <c r="C1310" s="46"/>
      <c r="K1310" s="3" t="s">
        <v>2859</v>
      </c>
    </row>
    <row r="1311" spans="1:50" ht="18.399999999999999" customHeight="1" x14ac:dyDescent="0.15">
      <c r="A1311" s="44" t="str">
        <f>CONCATENATE("          q=",TEXT($AB1311,"#,##0.00")," m , E=",TEXT($AF1311,"#,##0.00"),", f=",TEXT($AJ1311,"#,##0.0"))</f>
        <v xml:space="preserve">          q=10.00 m , E=0.90, f=1.0</v>
      </c>
      <c r="B1311" s="3"/>
      <c r="C1311" s="46"/>
      <c r="K1311" s="12" t="str">
        <f>SUBSTITUTE(SUBSTITUTE(SUBSTITUTE(SUBSTITUTE("          q = 10_x001D_m_x001D_, E = 0.90, f = 1.0","10",TEXT($AB1311,"#,##0"),1),"0.90",TEXT($AF1311,"#,##0.00"),1),"1.0",TEXT($AJ1311,"#,##0.0"),1),"_x001D_","'")</f>
        <v xml:space="preserve">          q = 10'm', E = 0.90, f = 1.0</v>
      </c>
      <c r="AA1311" s="39" t="s">
        <v>1972</v>
      </c>
      <c r="AB1311" s="8">
        <v>10</v>
      </c>
      <c r="AC1311" s="39" t="s">
        <v>1972</v>
      </c>
      <c r="AD1311" s="9">
        <f>$AB1311</f>
        <v>10</v>
      </c>
      <c r="AE1311" s="39" t="s">
        <v>1383</v>
      </c>
      <c r="AF1311" s="8">
        <v>0.9</v>
      </c>
      <c r="AG1311" s="39" t="s">
        <v>1383</v>
      </c>
      <c r="AH1311" s="9">
        <f>$AF1311</f>
        <v>0.9</v>
      </c>
      <c r="AI1311" s="39" t="s">
        <v>1652</v>
      </c>
      <c r="AJ1311" s="8">
        <v>1</v>
      </c>
      <c r="AK1311" s="39" t="s">
        <v>1652</v>
      </c>
      <c r="AL1311" s="9">
        <f>$AJ1311</f>
        <v>1</v>
      </c>
    </row>
    <row r="1312" spans="1:50" ht="18.399999999999999" customHeight="1" x14ac:dyDescent="0.15">
      <c r="A1312" s="42" t="s">
        <v>2859</v>
      </c>
      <c r="B1312" s="3"/>
      <c r="C1312" s="46"/>
      <c r="K1312" s="3" t="s">
        <v>2859</v>
      </c>
    </row>
    <row r="1313" spans="1:50" ht="18.399999999999999" customHeight="1" x14ac:dyDescent="0.15">
      <c r="A1313" s="44" t="str">
        <f>CONCATENATE("          t1 = q * _x001D_0.0667_x001D_ / 2 * 60 = ",TEXT($AF1313,"#,##0.00")," min ")</f>
        <v xml:space="preserve">          t1 = q * _x001D_0.0667_x001D_ / 2 * 60 = 20.01 min </v>
      </c>
      <c r="B1313" s="3"/>
      <c r="C1313" s="46"/>
      <c r="K1313" s="3" t="s">
        <v>2543</v>
      </c>
      <c r="AA1313" s="39" t="s">
        <v>366</v>
      </c>
      <c r="AB1313" s="10">
        <f>ROUND($AD1311*0.0667/2*60,2)</f>
        <v>20.010000000000002</v>
      </c>
      <c r="AC1313" s="39" t="s">
        <v>2079</v>
      </c>
      <c r="AD1313" s="9">
        <f>$AB1313</f>
        <v>20.010000000000002</v>
      </c>
      <c r="AE1313" s="39" t="s">
        <v>2186</v>
      </c>
      <c r="AF1313" s="10">
        <f>ROUND(ROUND($AD1311*0.0667/2*60,2),2)</f>
        <v>20.010000000000002</v>
      </c>
      <c r="AG1313" s="39" t="s">
        <v>2575</v>
      </c>
      <c r="AH1313" s="9">
        <f>$AF1313</f>
        <v>20.010000000000002</v>
      </c>
    </row>
    <row r="1314" spans="1:50" ht="18.399999999999999" customHeight="1" x14ac:dyDescent="0.15">
      <c r="A1314" s="42" t="s">
        <v>2859</v>
      </c>
      <c r="B1314" s="3"/>
      <c r="C1314" s="46"/>
      <c r="K1314" s="3" t="s">
        <v>2859</v>
      </c>
    </row>
    <row r="1315" spans="1:50" ht="18.399999999999999" customHeight="1" x14ac:dyDescent="0.15">
      <c r="A1315" s="44" t="str">
        <f>CONCATENATE("          t2 = (2.10 / 30 + 2.10 / 35 ) * 60 = ",TEXT($AF1315,"#,##0.00")," min")</f>
        <v xml:space="preserve">          t2 = (2.10 / 30 + 2.10 / 35 ) * 60 = 7.80 min</v>
      </c>
      <c r="B1315" s="3"/>
      <c r="C1315" s="46"/>
      <c r="K1315" s="3" t="s">
        <v>1046</v>
      </c>
      <c r="AA1315" s="39" t="s">
        <v>2737</v>
      </c>
      <c r="AB1315" s="10">
        <f>ROUND((2.1/30+2.1/35)*60,2)</f>
        <v>7.8</v>
      </c>
      <c r="AC1315" s="39" t="s">
        <v>953</v>
      </c>
      <c r="AD1315" s="9">
        <f>$AB1315</f>
        <v>7.8</v>
      </c>
      <c r="AE1315" s="39" t="s">
        <v>842</v>
      </c>
      <c r="AF1315" s="10">
        <f>ROUND(ROUND((2.1/30+2.1/35)*60,2),2)</f>
        <v>7.8</v>
      </c>
      <c r="AG1315" s="39" t="s">
        <v>1125</v>
      </c>
      <c r="AH1315" s="9">
        <f>$AF1315</f>
        <v>7.8</v>
      </c>
    </row>
    <row r="1316" spans="1:50" ht="18.399999999999999" customHeight="1" x14ac:dyDescent="0.15">
      <c r="A1316" s="42" t="s">
        <v>2859</v>
      </c>
      <c r="B1316" s="3"/>
      <c r="C1316" s="46"/>
      <c r="K1316" s="3" t="s">
        <v>2859</v>
      </c>
    </row>
    <row r="1317" spans="1:50" ht="18.399999999999999" customHeight="1" x14ac:dyDescent="0.15">
      <c r="A1317" s="44" t="str">
        <f>CONCATENATE("          t3 = ",TEXT($AB1317,"#,##0.00")," (t1)  = ",TEXT($AJ1317,"#,##0.00")," min")</f>
        <v xml:space="preserve">          t3 = 20.01 (t1)  = 20.01 min</v>
      </c>
      <c r="B1317" s="3"/>
      <c r="C1317" s="46"/>
      <c r="K1317" s="3" t="s">
        <v>1247</v>
      </c>
      <c r="AA1317" s="39" t="s">
        <v>2234</v>
      </c>
      <c r="AB1317" s="10">
        <f>$AD1313</f>
        <v>20.010000000000002</v>
      </c>
      <c r="AC1317" s="39" t="s">
        <v>339</v>
      </c>
      <c r="AD1317" s="9">
        <f>$AB1317</f>
        <v>20.010000000000002</v>
      </c>
      <c r="AE1317" s="39" t="s">
        <v>733</v>
      </c>
      <c r="AF1317" s="10">
        <f>ROUND($AD1317,2)</f>
        <v>20.010000000000002</v>
      </c>
      <c r="AG1317" s="39" t="s">
        <v>511</v>
      </c>
      <c r="AH1317" s="9">
        <f>$AF1317</f>
        <v>20.010000000000002</v>
      </c>
      <c r="AI1317" s="39" t="s">
        <v>269</v>
      </c>
      <c r="AJ1317" s="10">
        <f>ROUND(ROUND($AD1317,2),2)</f>
        <v>20.010000000000002</v>
      </c>
      <c r="AK1317" s="39" t="s">
        <v>2718</v>
      </c>
      <c r="AL1317" s="9">
        <f>$AJ1317</f>
        <v>20.010000000000002</v>
      </c>
    </row>
    <row r="1318" spans="1:50" ht="18.399999999999999" customHeight="1" x14ac:dyDescent="0.15">
      <c r="A1318" s="42" t="s">
        <v>2859</v>
      </c>
      <c r="B1318" s="3"/>
      <c r="C1318" s="46"/>
      <c r="K1318" s="3" t="s">
        <v>2859</v>
      </c>
    </row>
    <row r="1319" spans="1:50" ht="18.399999999999999" customHeight="1" x14ac:dyDescent="0.15">
      <c r="A1319" s="44" t="str">
        <f>CONCATENATE("          t4=",TEXT($AB1319,"#,##0.0")," min")</f>
        <v xml:space="preserve">          t4=0.7 min</v>
      </c>
      <c r="B1319" s="3"/>
      <c r="C1319" s="46"/>
      <c r="K1319" s="12" t="str">
        <f>SUBSTITUTE(SUBSTITUTE("          t4 = 0.7_x001D_min_x001D_","0.7",TEXT($AB1319,"#,##0.0"),1),"_x001D_","'")</f>
        <v xml:space="preserve">          t4 = 0.7'min'</v>
      </c>
      <c r="AA1319" s="39" t="s">
        <v>1531</v>
      </c>
      <c r="AB1319" s="8">
        <v>0.7</v>
      </c>
      <c r="AC1319" s="39" t="s">
        <v>1531</v>
      </c>
      <c r="AD1319" s="9">
        <f>$AB1319</f>
        <v>0.7</v>
      </c>
    </row>
    <row r="1320" spans="1:50" ht="18.399999999999999" customHeight="1" x14ac:dyDescent="0.15">
      <c r="A1320" s="42" t="s">
        <v>2859</v>
      </c>
      <c r="B1320" s="3"/>
      <c r="C1320" s="46"/>
      <c r="K1320" s="3" t="s">
        <v>2859</v>
      </c>
    </row>
    <row r="1321" spans="1:50" ht="18.399999999999999" customHeight="1" x14ac:dyDescent="0.15">
      <c r="A1321" s="44" t="str">
        <f>CONCATENATE("          Cm = ",TEXT($AB1321,"#,##0.00")," + ",TEXT($AF1321,"#,##0.00")," + ",TEXT($AJ1321,"#,##0.00")," + ",TEXT($AN1321,"#,##0.00")," = ",TEXT($AV1321,"#,##0.00")," min")</f>
        <v xml:space="preserve">          Cm = 20.01 + 7.80 + 20.01 + 0.70 = 48.52 min</v>
      </c>
      <c r="B1321" s="3"/>
      <c r="C1321" s="46"/>
      <c r="K1321" s="3" t="s">
        <v>260</v>
      </c>
      <c r="AA1321" s="39" t="s">
        <v>735</v>
      </c>
      <c r="AB1321" s="10">
        <f>$AD1313</f>
        <v>20.010000000000002</v>
      </c>
      <c r="AC1321" s="39" t="s">
        <v>1081</v>
      </c>
      <c r="AD1321" s="9">
        <f>$AB1321</f>
        <v>20.010000000000002</v>
      </c>
      <c r="AE1321" s="39" t="s">
        <v>1647</v>
      </c>
      <c r="AF1321" s="10">
        <f>$AD1315</f>
        <v>7.8</v>
      </c>
      <c r="AG1321" s="39" t="s">
        <v>1991</v>
      </c>
      <c r="AH1321" s="9">
        <f>$AF1321</f>
        <v>7.8</v>
      </c>
      <c r="AI1321" s="39" t="s">
        <v>375</v>
      </c>
      <c r="AJ1321" s="10">
        <f>$AH1317</f>
        <v>20.010000000000002</v>
      </c>
      <c r="AK1321" s="39" t="s">
        <v>2398</v>
      </c>
      <c r="AL1321" s="9">
        <f>$AJ1321</f>
        <v>20.010000000000002</v>
      </c>
      <c r="AM1321" s="39" t="s">
        <v>537</v>
      </c>
      <c r="AN1321" s="10">
        <f>$AD1319</f>
        <v>0.7</v>
      </c>
      <c r="AO1321" s="39" t="s">
        <v>1253</v>
      </c>
      <c r="AP1321" s="9">
        <f>$AN1321</f>
        <v>0.7</v>
      </c>
      <c r="AQ1321" s="39" t="s">
        <v>2302</v>
      </c>
      <c r="AR1321" s="10">
        <f>ROUND($AD1321+$AH1321+$AL1321+$AP1321,2)</f>
        <v>48.52</v>
      </c>
      <c r="AS1321" s="39" t="s">
        <v>139</v>
      </c>
      <c r="AT1321" s="9">
        <f>$AR1321</f>
        <v>48.52</v>
      </c>
      <c r="AU1321" s="39" t="s">
        <v>1473</v>
      </c>
      <c r="AV1321" s="10">
        <f>ROUND(ROUND($AD1321+$AH1321+$AL1321+$AP1321,2),2)</f>
        <v>48.52</v>
      </c>
      <c r="AW1321" s="39" t="s">
        <v>106</v>
      </c>
      <c r="AX1321" s="9">
        <f>$AV1321</f>
        <v>48.52</v>
      </c>
    </row>
    <row r="1322" spans="1:50" ht="18.399999999999999" customHeight="1" x14ac:dyDescent="0.15">
      <c r="A1322" s="42" t="s">
        <v>2859</v>
      </c>
      <c r="B1322" s="3"/>
      <c r="C1322" s="46"/>
      <c r="K1322" s="3" t="s">
        <v>2859</v>
      </c>
    </row>
    <row r="1323" spans="1:50" ht="18.399999999999999" customHeight="1" x14ac:dyDescent="0.15">
      <c r="A1323" s="42" t="s">
        <v>2859</v>
      </c>
      <c r="B1323" s="3"/>
      <c r="C1323" s="46"/>
      <c r="K1323" s="3" t="s">
        <v>2859</v>
      </c>
    </row>
    <row r="1324" spans="1:50" ht="18.399999999999999" customHeight="1" x14ac:dyDescent="0.15">
      <c r="A1324" s="44" t="str">
        <f>CONCATENATE("      Q = 60 * ",TEXT($AB1324,"#,##0.00")," * ",TEXT($AF1324,"#,##0.00")," * ",TEXT($AJ1324,"#,##0.00")," / ",TEXT($AN1324,"#,##0.00")," = ",TEXT($AV1324,"#,##0.00")," m/hr")</f>
        <v xml:space="preserve">      Q = 60 * 10.00 * 1.00 * 0.90 / 48.52 = 11.13 m/hr</v>
      </c>
      <c r="B1324" s="3"/>
      <c r="C1324" s="46"/>
      <c r="K1324" s="3" t="s">
        <v>1910</v>
      </c>
      <c r="AA1324" s="39" t="s">
        <v>127</v>
      </c>
      <c r="AB1324" s="10">
        <f>$AD1311</f>
        <v>10</v>
      </c>
      <c r="AC1324" s="39" t="s">
        <v>617</v>
      </c>
      <c r="AD1324" s="9">
        <f>$AB1324</f>
        <v>10</v>
      </c>
      <c r="AE1324" s="39" t="s">
        <v>2474</v>
      </c>
      <c r="AF1324" s="10">
        <f>$AL1311</f>
        <v>1</v>
      </c>
      <c r="AG1324" s="39" t="s">
        <v>2413</v>
      </c>
      <c r="AH1324" s="9">
        <f>$AF1324</f>
        <v>1</v>
      </c>
      <c r="AI1324" s="39" t="s">
        <v>1226</v>
      </c>
      <c r="AJ1324" s="10">
        <f>$AH1311</f>
        <v>0.9</v>
      </c>
      <c r="AK1324" s="39" t="s">
        <v>1981</v>
      </c>
      <c r="AL1324" s="9">
        <f>$AJ1324</f>
        <v>0.9</v>
      </c>
      <c r="AM1324" s="39" t="s">
        <v>1401</v>
      </c>
      <c r="AN1324" s="10">
        <f>$AT1321</f>
        <v>48.52</v>
      </c>
      <c r="AO1324" s="39" t="s">
        <v>118</v>
      </c>
      <c r="AP1324" s="9">
        <f>$AN1324</f>
        <v>48.52</v>
      </c>
      <c r="AQ1324" s="39" t="s">
        <v>504</v>
      </c>
      <c r="AR1324" s="10">
        <f>ROUND(60*$AD1324*$AH1324*$AL1324/$AP1324,2)</f>
        <v>11.13</v>
      </c>
      <c r="AS1324" s="39" t="s">
        <v>1972</v>
      </c>
      <c r="AT1324" s="9">
        <f>$AR1324</f>
        <v>11.13</v>
      </c>
      <c r="AU1324" s="39" t="s">
        <v>2260</v>
      </c>
      <c r="AV1324" s="10">
        <f>ROUND(ROUND(60*$AD1324*$AH1324*$AL1324/$AP1324,2),2)</f>
        <v>11.13</v>
      </c>
      <c r="AW1324" s="39" t="s">
        <v>1245</v>
      </c>
      <c r="AX1324" s="9">
        <f>$AV1324</f>
        <v>11.13</v>
      </c>
    </row>
    <row r="1325" spans="1:50" ht="18.399999999999999" customHeight="1" x14ac:dyDescent="0.15">
      <c r="A1325" s="42" t="s">
        <v>2859</v>
      </c>
      <c r="B1325" s="3"/>
      <c r="C1325" s="46"/>
      <c r="K1325" s="3" t="s">
        <v>2859</v>
      </c>
    </row>
    <row r="1326" spans="1:50" ht="18.399999999999999" customHeight="1" x14ac:dyDescent="0.15">
      <c r="A1326" s="44" t="str">
        <f>CONCATENATE("          OH = ( Cm - (t1) - (t3) ) / Cm = ",TEXT($AF1326,"#,##0.0000"))</f>
        <v xml:space="preserve">          OH = ( Cm - (t1) - (t3) ) / Cm = 0.1752</v>
      </c>
      <c r="B1326" s="3"/>
      <c r="C1326" s="46"/>
      <c r="K1326" s="3" t="s">
        <v>1233</v>
      </c>
      <c r="AA1326" s="39" t="s">
        <v>2171</v>
      </c>
      <c r="AB1326" s="10">
        <f>ROUND(($AT1321-($AD1313)-($AH1317))/$AT1321,4)</f>
        <v>0.17519999999999999</v>
      </c>
      <c r="AC1326" s="39" t="s">
        <v>676</v>
      </c>
      <c r="AD1326" s="9">
        <f>$AB1326</f>
        <v>0.17519999999999999</v>
      </c>
      <c r="AE1326" s="39" t="s">
        <v>1557</v>
      </c>
      <c r="AF1326" s="10">
        <f>ROUND(ROUND(($AT1321-($AD1313)-($AH1317))/$AT1321,4),4)</f>
        <v>0.17519999999999999</v>
      </c>
      <c r="AG1326" s="39" t="s">
        <v>756</v>
      </c>
      <c r="AH1326" s="9">
        <f>$AF1326</f>
        <v>0.17519999999999999</v>
      </c>
    </row>
    <row r="1327" spans="1:50" ht="18.399999999999999" customHeight="1" x14ac:dyDescent="0.15">
      <c r="A1327" s="42" t="s">
        <v>2859</v>
      </c>
      <c r="B1327" s="3"/>
      <c r="C1327" s="46"/>
      <c r="K1327" s="3" t="s">
        <v>2859</v>
      </c>
    </row>
    <row r="1328" spans="1:50" ht="18.399999999999999" customHeight="1" x14ac:dyDescent="0.15">
      <c r="A1328" s="44" t="str">
        <f>CONCATENATE("          1 / Q * ",TEXT($AB1328,"#,##0.00")," =  ","qty hr/m3")</f>
        <v xml:space="preserve">          1 / Q * 0.18 =  qty hr/m3</v>
      </c>
      <c r="B1328" s="3">
        <f>$AF1328</f>
        <v>1.5699999999999999E-2</v>
      </c>
      <c r="C1328" s="46"/>
      <c r="K1328" s="3" t="s">
        <v>809</v>
      </c>
      <c r="AA1328" s="39" t="s">
        <v>248</v>
      </c>
      <c r="AB1328" s="10">
        <f>$AD1326</f>
        <v>0.17519999999999999</v>
      </c>
      <c r="AC1328" s="39" t="s">
        <v>1347</v>
      </c>
      <c r="AD1328" s="9">
        <f>$AB1328</f>
        <v>0.17519999999999999</v>
      </c>
      <c r="AE1328" s="39" t="s">
        <v>1268</v>
      </c>
      <c r="AF1328" s="10">
        <f>TRUNC(1/$AT1324*$AD1328,4)</f>
        <v>1.5699999999999999E-2</v>
      </c>
      <c r="AG1328" s="39" t="s">
        <v>2080</v>
      </c>
      <c r="AH1328" s="9">
        <f>$AF1328</f>
        <v>1.5699999999999999E-2</v>
      </c>
    </row>
    <row r="1329" spans="1:34" ht="18.399999999999999" customHeight="1" x14ac:dyDescent="0.15">
      <c r="A1329" s="42"/>
      <c r="B1329" s="3"/>
      <c r="C1329" s="46"/>
    </row>
    <row r="1330" spans="1:34" ht="18.399999999999999" customHeight="1" thickBot="1" x14ac:dyDescent="0.2">
      <c r="A1330" s="45"/>
      <c r="B1330" s="5"/>
      <c r="C1330" s="49"/>
    </row>
    <row r="1331" spans="1:34" ht="18.399999999999999" customHeight="1" x14ac:dyDescent="0.15">
      <c r="A1331" s="42"/>
      <c r="B1331" s="3"/>
      <c r="C1331" s="46"/>
    </row>
    <row r="1332" spans="1:34" ht="18.399999999999999" customHeight="1" x14ac:dyDescent="0.15">
      <c r="A1332" s="42" t="s">
        <v>1560</v>
      </c>
      <c r="B1332" s="36">
        <v>1</v>
      </c>
      <c r="C1332" s="46" t="s">
        <v>2859</v>
      </c>
    </row>
    <row r="1333" spans="1:34" ht="18.399999999999999" customHeight="1" x14ac:dyDescent="0.15">
      <c r="A1333" s="43"/>
      <c r="B1333" s="3"/>
      <c r="C1333" s="46"/>
    </row>
    <row r="1334" spans="1:34" ht="18.399999999999999" customHeight="1" x14ac:dyDescent="0.15">
      <c r="A1334" s="42" t="s">
        <v>2344</v>
      </c>
      <c r="B1334" s="3"/>
      <c r="C1334" s="46"/>
      <c r="G1334" s="3" t="s">
        <v>2859</v>
      </c>
    </row>
    <row r="1335" spans="1:34" ht="18.399999999999999" customHeight="1" x14ac:dyDescent="0.15">
      <c r="A1335" s="42" t="s">
        <v>2859</v>
      </c>
      <c r="B1335" s="3"/>
      <c r="C1335" s="46"/>
      <c r="K1335" s="3" t="s">
        <v>2859</v>
      </c>
    </row>
    <row r="1336" spans="1:34" ht="18.399999999999999" customHeight="1" x14ac:dyDescent="0.15">
      <c r="A1336" s="42" t="s">
        <v>2105</v>
      </c>
      <c r="B1336" s="3"/>
      <c r="C1336" s="46"/>
      <c r="K1336" s="3" t="s">
        <v>2105</v>
      </c>
    </row>
    <row r="1337" spans="1:34" ht="18.399999999999999" customHeight="1" x14ac:dyDescent="0.15">
      <c r="A1337" s="42" t="s">
        <v>2859</v>
      </c>
      <c r="B1337" s="3"/>
      <c r="C1337" s="46"/>
      <c r="K1337" s="3" t="s">
        <v>2859</v>
      </c>
    </row>
    <row r="1338" spans="1:34" ht="18.399999999999999" customHeight="1" x14ac:dyDescent="0.15">
      <c r="A1338" s="42" t="s">
        <v>2046</v>
      </c>
      <c r="B1338" s="3"/>
      <c r="C1338" s="46"/>
      <c r="K1338" s="3" t="s">
        <v>2850</v>
      </c>
    </row>
    <row r="1339" spans="1:34" ht="18.399999999999999" customHeight="1" x14ac:dyDescent="0.15">
      <c r="A1339" s="42" t="s">
        <v>2859</v>
      </c>
      <c r="B1339" s="3"/>
      <c r="C1339" s="46"/>
      <c r="K1339" s="3" t="s">
        <v>2859</v>
      </c>
    </row>
    <row r="1340" spans="1:34" ht="18.399999999999999" customHeight="1" x14ac:dyDescent="0.15">
      <c r="A1340" s="44" t="str">
        <f>CONCATENATE("      Q = 1 / ( 275 * 40) = ","qty 대/KG")</f>
        <v xml:space="preserve">      Q = 1 / ( 275 * 40) = qty 대/KG</v>
      </c>
      <c r="B1340" s="3">
        <f>$AF1340</f>
        <v>1E-4</v>
      </c>
      <c r="C1340" s="46"/>
      <c r="K1340" s="3" t="s">
        <v>898</v>
      </c>
      <c r="AA1340" s="39" t="s">
        <v>504</v>
      </c>
      <c r="AB1340" s="10">
        <f>ROUND(1/(275*40),4)</f>
        <v>1E-4</v>
      </c>
      <c r="AC1340" s="39" t="s">
        <v>1972</v>
      </c>
      <c r="AD1340" s="9">
        <f>$AB1340</f>
        <v>1E-4</v>
      </c>
      <c r="AE1340" s="39" t="s">
        <v>1268</v>
      </c>
      <c r="AF1340" s="10">
        <f>$AB1340</f>
        <v>1E-4</v>
      </c>
      <c r="AG1340" s="39" t="s">
        <v>2080</v>
      </c>
      <c r="AH1340" s="9">
        <f>$AF1340</f>
        <v>1E-4</v>
      </c>
    </row>
    <row r="1341" spans="1:34" ht="18.399999999999999" customHeight="1" x14ac:dyDescent="0.15">
      <c r="A1341" s="43"/>
      <c r="B1341" s="3"/>
      <c r="C1341" s="46"/>
    </row>
    <row r="1342" spans="1:34" ht="18.399999999999999" customHeight="1" x14ac:dyDescent="0.15">
      <c r="A1342" s="42" t="s">
        <v>207</v>
      </c>
      <c r="B1342" s="3"/>
      <c r="C1342" s="46"/>
      <c r="G1342" s="3" t="s">
        <v>2859</v>
      </c>
    </row>
    <row r="1343" spans="1:34" ht="18.399999999999999" customHeight="1" x14ac:dyDescent="0.15">
      <c r="A1343" s="42" t="s">
        <v>2859</v>
      </c>
      <c r="B1343" s="3"/>
      <c r="C1343" s="46"/>
      <c r="K1343" s="3" t="s">
        <v>2859</v>
      </c>
    </row>
    <row r="1344" spans="1:34" ht="18.399999999999999" customHeight="1" x14ac:dyDescent="0.15">
      <c r="A1344" s="42" t="s">
        <v>1366</v>
      </c>
      <c r="B1344" s="3"/>
      <c r="C1344" s="46"/>
      <c r="K1344" s="3" t="s">
        <v>1366</v>
      </c>
    </row>
    <row r="1345" spans="1:54" ht="18.399999999999999" customHeight="1" x14ac:dyDescent="0.15">
      <c r="A1345" s="42" t="s">
        <v>2859</v>
      </c>
      <c r="B1345" s="3"/>
      <c r="C1345" s="46"/>
      <c r="K1345" s="3" t="s">
        <v>2859</v>
      </c>
    </row>
    <row r="1346" spans="1:54" ht="18.399999999999999" customHeight="1" x14ac:dyDescent="0.15">
      <c r="A1346" s="44" t="str">
        <f>CONCATENATE("      Q = 1 TON  / 1000 = ","qty TON/KG")</f>
        <v xml:space="preserve">      Q = 1 TON  / 1000 = qty TON/KG</v>
      </c>
      <c r="B1346" s="3">
        <f>$AF1346</f>
        <v>1E-3</v>
      </c>
      <c r="C1346" s="46"/>
      <c r="K1346" s="3" t="s">
        <v>191</v>
      </c>
      <c r="AA1346" s="39" t="s">
        <v>504</v>
      </c>
      <c r="AB1346" s="10">
        <f>ROUND(1/1000,4)</f>
        <v>1E-3</v>
      </c>
      <c r="AC1346" s="39" t="s">
        <v>1972</v>
      </c>
      <c r="AD1346" s="9">
        <f>$AB1346</f>
        <v>1E-3</v>
      </c>
      <c r="AE1346" s="39" t="s">
        <v>1268</v>
      </c>
      <c r="AF1346" s="10">
        <f>$AB1346</f>
        <v>1E-3</v>
      </c>
      <c r="AG1346" s="39" t="s">
        <v>2080</v>
      </c>
      <c r="AH1346" s="9">
        <f>$AF1346</f>
        <v>1E-3</v>
      </c>
    </row>
    <row r="1347" spans="1:54" ht="18.399999999999999" customHeight="1" x14ac:dyDescent="0.15">
      <c r="A1347" s="42"/>
      <c r="B1347" s="3"/>
      <c r="C1347" s="46"/>
    </row>
    <row r="1348" spans="1:54" ht="18.399999999999999" customHeight="1" thickBot="1" x14ac:dyDescent="0.2">
      <c r="A1348" s="45"/>
      <c r="B1348" s="5"/>
      <c r="C1348" s="49"/>
    </row>
    <row r="1349" spans="1:54" ht="18.399999999999999" customHeight="1" x14ac:dyDescent="0.15">
      <c r="A1349" s="42"/>
      <c r="B1349" s="3"/>
      <c r="C1349" s="46"/>
    </row>
    <row r="1350" spans="1:54" ht="18.399999999999999" customHeight="1" x14ac:dyDescent="0.15">
      <c r="A1350" s="42" t="s">
        <v>817</v>
      </c>
      <c r="B1350" s="36">
        <v>1</v>
      </c>
      <c r="C1350" s="46" t="s">
        <v>2859</v>
      </c>
    </row>
    <row r="1351" spans="1:54" ht="18.399999999999999" customHeight="1" x14ac:dyDescent="0.15">
      <c r="A1351" s="43"/>
      <c r="B1351" s="3"/>
      <c r="C1351" s="46"/>
    </row>
    <row r="1352" spans="1:54" ht="18.399999999999999" customHeight="1" x14ac:dyDescent="0.15">
      <c r="A1352" s="42" t="s">
        <v>894</v>
      </c>
      <c r="B1352" s="3"/>
      <c r="C1352" s="46"/>
      <c r="G1352" s="3" t="s">
        <v>2859</v>
      </c>
    </row>
    <row r="1353" spans="1:54" ht="18.399999999999999" customHeight="1" x14ac:dyDescent="0.15">
      <c r="A1353" s="42" t="s">
        <v>2859</v>
      </c>
      <c r="B1353" s="3"/>
      <c r="C1353" s="46"/>
      <c r="K1353" s="3" t="s">
        <v>2859</v>
      </c>
    </row>
    <row r="1354" spans="1:54" ht="18.399999999999999" customHeight="1" x14ac:dyDescent="0.15">
      <c r="A1354" s="42" t="s">
        <v>1387</v>
      </c>
      <c r="B1354" s="3"/>
      <c r="C1354" s="46"/>
      <c r="K1354" s="3" t="s">
        <v>1421</v>
      </c>
    </row>
    <row r="1355" spans="1:54" ht="18.399999999999999" customHeight="1" x14ac:dyDescent="0.15">
      <c r="A1355" s="42" t="s">
        <v>2859</v>
      </c>
      <c r="B1355" s="3"/>
      <c r="C1355" s="46"/>
      <c r="K1355" s="3" t="s">
        <v>2859</v>
      </c>
    </row>
    <row r="1356" spans="1:54" ht="18.399999999999999" customHeight="1" x14ac:dyDescent="0.15">
      <c r="A1356" s="44" t="str">
        <f>CONCATENATE("        q=",TEXT($AB1356,"#,##0.0"),",  K=",TEXT($AF1356,"#,##0.00"),",  E=",TEXT($AJ1356,"#,##0.0"))</f>
        <v xml:space="preserve">        q=0.6,  K=0.90,  E=0.6</v>
      </c>
      <c r="B1356" s="3"/>
      <c r="C1356" s="46"/>
      <c r="K1356" s="12" t="str">
        <f>SUBSTITUTE(SUBSTITUTE(SUBSTITUTE(SUBSTITUTE("        q=0.6,  K=0.90,  E=0.6","0.6",TEXT($AB1356,"#,##0.0"),1),"0.90",TEXT($AF1356,"#,##0.00"),1),"0.6",TEXT($AJ1356,"#,##0.0"),2),"_x001D_","'")</f>
        <v xml:space="preserve">        q=0.6,  K=0.90,  E=0.6</v>
      </c>
      <c r="AA1356" s="39" t="s">
        <v>1972</v>
      </c>
      <c r="AB1356" s="8">
        <v>0.6</v>
      </c>
      <c r="AC1356" s="39" t="s">
        <v>1972</v>
      </c>
      <c r="AD1356" s="9">
        <f>$AB1356</f>
        <v>0.6</v>
      </c>
      <c r="AE1356" s="39" t="s">
        <v>806</v>
      </c>
      <c r="AF1356" s="8">
        <v>0.9</v>
      </c>
      <c r="AG1356" s="39" t="s">
        <v>806</v>
      </c>
      <c r="AH1356" s="9">
        <f>$AF1356</f>
        <v>0.9</v>
      </c>
      <c r="AI1356" s="39" t="s">
        <v>1383</v>
      </c>
      <c r="AJ1356" s="8">
        <v>0.6</v>
      </c>
      <c r="AK1356" s="39" t="s">
        <v>1383</v>
      </c>
      <c r="AL1356" s="9">
        <f>$AJ1356</f>
        <v>0.6</v>
      </c>
    </row>
    <row r="1357" spans="1:54" ht="18.399999999999999" customHeight="1" x14ac:dyDescent="0.15">
      <c r="A1357" s="42" t="s">
        <v>2859</v>
      </c>
      <c r="B1357" s="3"/>
      <c r="C1357" s="46"/>
      <c r="K1357" s="3" t="s">
        <v>2859</v>
      </c>
    </row>
    <row r="1358" spans="1:54" ht="18.399999999999999" customHeight="1" x14ac:dyDescent="0.15">
      <c r="A1358" s="44" t="str">
        <f>CONCATENATE("        CM=",TEXT($AB1358,"#,##0.00")," sec(90°) ,   F=",TEXT($AF1358,"#,##0.0"))</f>
        <v xml:space="preserve">        CM=18.00 sec(90°) ,   F=0.8</v>
      </c>
      <c r="B1358" s="3"/>
      <c r="C1358" s="46"/>
      <c r="K1358" s="12" t="str">
        <f>SUBSTITUTE(SUBSTITUTE(SUBSTITUTE("        CM=18_x001D_sec(90°)_x001D_,   F=0.8","18",TEXT($AB1358,"#,##0"),1),"0.8",TEXT($AF1358,"#,##0.0"),1),"_x001D_","'")</f>
        <v xml:space="preserve">        CM=18'sec(90°)',   F=0.8</v>
      </c>
      <c r="AA1358" s="39" t="s">
        <v>139</v>
      </c>
      <c r="AB1358" s="8">
        <v>18</v>
      </c>
      <c r="AC1358" s="39" t="s">
        <v>139</v>
      </c>
      <c r="AD1358" s="9">
        <f>$AB1358</f>
        <v>18</v>
      </c>
      <c r="AE1358" s="39" t="s">
        <v>1652</v>
      </c>
      <c r="AF1358" s="8">
        <v>0.8</v>
      </c>
      <c r="AG1358" s="39" t="s">
        <v>1652</v>
      </c>
      <c r="AH1358" s="9">
        <f>$AF1358</f>
        <v>0.8</v>
      </c>
    </row>
    <row r="1359" spans="1:54" ht="18.399999999999999" customHeight="1" x14ac:dyDescent="0.15">
      <c r="A1359" s="42" t="s">
        <v>2859</v>
      </c>
      <c r="B1359" s="3"/>
      <c r="C1359" s="46"/>
      <c r="K1359" s="3" t="s">
        <v>2859</v>
      </c>
    </row>
    <row r="1360" spans="1:54" ht="18.399999999999999" customHeight="1" x14ac:dyDescent="0.15">
      <c r="A1360" s="44" t="str">
        <f>CONCATENATE("        Q=(3600*",TEXT($AB1360,"#,##0.00"),"*",TEXT($AF1360,"#,##0.00"),"*",TEXT($AJ1360,"#,##0.00"),"*",TEXT($AN1360,"#,##0.00"),")/",TEXT($AR1360,"#,##0.00"),"=",TEXT($AZ1360,"#,##0.00")," M3/HR ")</f>
        <v xml:space="preserve">        Q=(3600*0.60*0.90*0.80*0.60)/18.00=51.84 M3/HR </v>
      </c>
      <c r="B1360" s="3"/>
      <c r="C1360" s="46"/>
      <c r="K1360" s="3" t="s">
        <v>2753</v>
      </c>
      <c r="AA1360" s="39" t="s">
        <v>1386</v>
      </c>
      <c r="AB1360" s="10">
        <f>$AD1356</f>
        <v>0.6</v>
      </c>
      <c r="AC1360" s="39" t="s">
        <v>2304</v>
      </c>
      <c r="AD1360" s="9">
        <f>$AB1360</f>
        <v>0.6</v>
      </c>
      <c r="AE1360" s="39" t="s">
        <v>1886</v>
      </c>
      <c r="AF1360" s="10">
        <f>$AH1356</f>
        <v>0.9</v>
      </c>
      <c r="AG1360" s="39" t="s">
        <v>360</v>
      </c>
      <c r="AH1360" s="9">
        <f>$AF1360</f>
        <v>0.9</v>
      </c>
      <c r="AI1360" s="39" t="s">
        <v>272</v>
      </c>
      <c r="AJ1360" s="10">
        <f>$AH1358</f>
        <v>0.8</v>
      </c>
      <c r="AK1360" s="39" t="s">
        <v>746</v>
      </c>
      <c r="AL1360" s="9">
        <f>$AJ1360</f>
        <v>0.8</v>
      </c>
      <c r="AM1360" s="39" t="s">
        <v>114</v>
      </c>
      <c r="AN1360" s="10">
        <f>$AL1356</f>
        <v>0.6</v>
      </c>
      <c r="AO1360" s="39" t="s">
        <v>2834</v>
      </c>
      <c r="AP1360" s="9">
        <f>$AN1360</f>
        <v>0.6</v>
      </c>
      <c r="AQ1360" s="39" t="s">
        <v>2065</v>
      </c>
      <c r="AR1360" s="10">
        <f>$AD1358</f>
        <v>18</v>
      </c>
      <c r="AS1360" s="39" t="s">
        <v>1690</v>
      </c>
      <c r="AT1360" s="9">
        <f>$AR1360</f>
        <v>18</v>
      </c>
      <c r="AU1360" s="39" t="s">
        <v>504</v>
      </c>
      <c r="AV1360" s="10">
        <f>ROUND((3600*$AD1360*$AH1360*$AL1360*$AP1360)/$AT1360,2)</f>
        <v>51.84</v>
      </c>
      <c r="AW1360" s="39" t="s">
        <v>1972</v>
      </c>
      <c r="AX1360" s="9">
        <f>$AV1360</f>
        <v>51.84</v>
      </c>
      <c r="AY1360" s="39" t="s">
        <v>1213</v>
      </c>
      <c r="AZ1360" s="10">
        <f>ROUND(ROUND((3600*$AD1360*$AH1360*$AL1360*$AP1360)/$AT1360,2),2)</f>
        <v>51.84</v>
      </c>
      <c r="BA1360" s="39" t="s">
        <v>1342</v>
      </c>
      <c r="BB1360" s="9">
        <f>$AZ1360</f>
        <v>51.84</v>
      </c>
    </row>
    <row r="1361" spans="1:38" ht="18.399999999999999" customHeight="1" x14ac:dyDescent="0.15">
      <c r="A1361" s="42" t="s">
        <v>2859</v>
      </c>
      <c r="B1361" s="3"/>
      <c r="C1361" s="46"/>
      <c r="K1361" s="3" t="s">
        <v>2859</v>
      </c>
    </row>
    <row r="1362" spans="1:38" ht="18.399999999999999" customHeight="1" x14ac:dyDescent="0.15">
      <c r="A1362" s="44" t="str">
        <f>CONCATENATE("        0.9/(Q) = ","qty hr/m3")</f>
        <v xml:space="preserve">        0.9/(Q) = qty hr/m3</v>
      </c>
      <c r="B1362" s="3">
        <f>$AB1362</f>
        <v>1.7299999999999999E-2</v>
      </c>
      <c r="C1362" s="46"/>
      <c r="K1362" s="3" t="s">
        <v>2482</v>
      </c>
      <c r="AA1362" s="39" t="s">
        <v>1268</v>
      </c>
      <c r="AB1362" s="10">
        <f>TRUNC(0.9/($AX1360),4)</f>
        <v>1.7299999999999999E-2</v>
      </c>
      <c r="AC1362" s="39" t="s">
        <v>2080</v>
      </c>
      <c r="AD1362" s="9">
        <f>$AB1362</f>
        <v>1.7299999999999999E-2</v>
      </c>
    </row>
    <row r="1363" spans="1:38" ht="18.399999999999999" customHeight="1" x14ac:dyDescent="0.15">
      <c r="A1363" s="43"/>
      <c r="B1363" s="3"/>
      <c r="C1363" s="46"/>
    </row>
    <row r="1364" spans="1:38" ht="18.399999999999999" customHeight="1" x14ac:dyDescent="0.15">
      <c r="A1364" s="42" t="s">
        <v>174</v>
      </c>
      <c r="B1364" s="3"/>
      <c r="C1364" s="46"/>
      <c r="G1364" s="3" t="s">
        <v>822</v>
      </c>
    </row>
    <row r="1365" spans="1:38" ht="18.399999999999999" customHeight="1" x14ac:dyDescent="0.15">
      <c r="A1365" s="44" t="str">
        <f>CONCATENATE("    보통인부 : 1 인  * 0.2 * 0.1  = ","qty 인/m3")</f>
        <v xml:space="preserve">    보통인부 : 1 인  * 0.2 * 0.1  = qty 인/m3</v>
      </c>
      <c r="B1365" s="3">
        <f>$AB1365</f>
        <v>0.02</v>
      </c>
      <c r="C1365" s="46"/>
      <c r="K1365" s="3" t="s">
        <v>1361</v>
      </c>
      <c r="AA1365" s="39" t="s">
        <v>1268</v>
      </c>
      <c r="AB1365" s="10">
        <f>ROUND(1*0.2*0.1,4)</f>
        <v>0.02</v>
      </c>
      <c r="AC1365" s="39" t="s">
        <v>2080</v>
      </c>
      <c r="AD1365" s="9">
        <f>$AB1365</f>
        <v>0.02</v>
      </c>
    </row>
    <row r="1366" spans="1:38" ht="18.399999999999999" customHeight="1" x14ac:dyDescent="0.15">
      <c r="A1366" s="42"/>
      <c r="B1366" s="3"/>
      <c r="C1366" s="46"/>
    </row>
    <row r="1367" spans="1:38" ht="18.399999999999999" customHeight="1" thickBot="1" x14ac:dyDescent="0.2">
      <c r="A1367" s="45"/>
      <c r="B1367" s="5"/>
      <c r="C1367" s="49"/>
    </row>
    <row r="1368" spans="1:38" ht="18.399999999999999" customHeight="1" x14ac:dyDescent="0.15">
      <c r="A1368" s="42"/>
      <c r="B1368" s="3"/>
      <c r="C1368" s="46"/>
    </row>
    <row r="1369" spans="1:38" ht="18.399999999999999" customHeight="1" x14ac:dyDescent="0.15">
      <c r="A1369" s="42" t="s">
        <v>1400</v>
      </c>
      <c r="B1369" s="36">
        <v>1</v>
      </c>
      <c r="C1369" s="46" t="s">
        <v>2859</v>
      </c>
    </row>
    <row r="1370" spans="1:38" ht="18.399999999999999" customHeight="1" x14ac:dyDescent="0.15">
      <c r="A1370" s="43"/>
      <c r="B1370" s="3"/>
      <c r="C1370" s="46"/>
    </row>
    <row r="1371" spans="1:38" ht="18.399999999999999" customHeight="1" x14ac:dyDescent="0.15">
      <c r="A1371" s="42" t="s">
        <v>894</v>
      </c>
      <c r="B1371" s="3"/>
      <c r="C1371" s="46"/>
      <c r="G1371" s="3" t="s">
        <v>2859</v>
      </c>
    </row>
    <row r="1372" spans="1:38" ht="18.399999999999999" customHeight="1" x14ac:dyDescent="0.15">
      <c r="A1372" s="42" t="s">
        <v>1133</v>
      </c>
      <c r="B1372" s="3"/>
      <c r="C1372" s="46"/>
      <c r="K1372" s="3" t="s">
        <v>1117</v>
      </c>
    </row>
    <row r="1373" spans="1:38" ht="18.399999999999999" customHeight="1" x14ac:dyDescent="0.15">
      <c r="A1373" s="42" t="s">
        <v>2859</v>
      </c>
      <c r="B1373" s="3"/>
      <c r="C1373" s="46"/>
      <c r="K1373" s="3" t="s">
        <v>2859</v>
      </c>
    </row>
    <row r="1374" spans="1:38" ht="18.399999999999999" customHeight="1" x14ac:dyDescent="0.15">
      <c r="A1374" s="42" t="s">
        <v>2501</v>
      </c>
      <c r="B1374" s="3"/>
      <c r="C1374" s="46"/>
      <c r="K1374" s="3" t="s">
        <v>2501</v>
      </c>
    </row>
    <row r="1375" spans="1:38" ht="18.399999999999999" customHeight="1" x14ac:dyDescent="0.15">
      <c r="A1375" s="42" t="s">
        <v>2859</v>
      </c>
      <c r="B1375" s="3"/>
      <c r="C1375" s="46"/>
      <c r="K1375" s="3" t="s">
        <v>2859</v>
      </c>
    </row>
    <row r="1376" spans="1:38" ht="18.399999999999999" customHeight="1" x14ac:dyDescent="0.15">
      <c r="A1376" s="44" t="str">
        <f>CONCATENATE("  q=",TEXT($AB1376,"#,##0.0"),", K=",TEXT($AF1376,"#,##0.0"),", L=",TEXT($AJ1376,"#,##0.00"))</f>
        <v xml:space="preserve">  q=0.6, K=0.9, L=1.25</v>
      </c>
      <c r="B1376" s="3"/>
      <c r="C1376" s="46"/>
      <c r="K1376" s="12" t="str">
        <f>SUBSTITUTE(SUBSTITUTE(SUBSTITUTE(SUBSTITUTE("  q = 0.6, K = 0.9, L = 1.25","0.6",TEXT($AB1376,"#,##0.0"),1),"0.9",TEXT($AF1376,"#,##0.0"),1),"1.25",TEXT($AJ1376,"#,##0.00"),1),"_x001D_","'")</f>
        <v xml:space="preserve">  q = 0.6, K = 0.9, L = 1.25</v>
      </c>
      <c r="AA1376" s="39" t="s">
        <v>1972</v>
      </c>
      <c r="AB1376" s="8">
        <v>0.6</v>
      </c>
      <c r="AC1376" s="39" t="s">
        <v>1972</v>
      </c>
      <c r="AD1376" s="9">
        <f>$AB1376</f>
        <v>0.6</v>
      </c>
      <c r="AE1376" s="39" t="s">
        <v>806</v>
      </c>
      <c r="AF1376" s="8">
        <v>0.9</v>
      </c>
      <c r="AG1376" s="39" t="s">
        <v>806</v>
      </c>
      <c r="AH1376" s="9">
        <f>$AF1376</f>
        <v>0.9</v>
      </c>
      <c r="AI1376" s="39" t="s">
        <v>2704</v>
      </c>
      <c r="AJ1376" s="8">
        <v>1.25</v>
      </c>
      <c r="AK1376" s="39" t="s">
        <v>2704</v>
      </c>
      <c r="AL1376" s="9">
        <f>$AJ1376</f>
        <v>1.25</v>
      </c>
    </row>
    <row r="1377" spans="1:46" ht="18.399999999999999" customHeight="1" x14ac:dyDescent="0.15">
      <c r="A1377" s="42" t="s">
        <v>2859</v>
      </c>
      <c r="B1377" s="3"/>
      <c r="C1377" s="46"/>
      <c r="K1377" s="3" t="s">
        <v>2859</v>
      </c>
    </row>
    <row r="1378" spans="1:46" ht="18.399999999999999" customHeight="1" x14ac:dyDescent="0.15">
      <c r="A1378" s="44" t="str">
        <f>CONCATENATE("  f = 1/",TEXT($AB1378,"#,##0.00")," = ",TEXT($AJ1378,"#,##0.00")," , E1=",TEXT($AN1378,"#,##0.0"),", Cm=",TEXT($AR1378,"#,##0.00")," sec(135°) ")</f>
        <v xml:space="preserve">  f = 1/1.25 = 0.80 , E1=0.7, Cm=18.00 sec(135°) </v>
      </c>
      <c r="B1378" s="3"/>
      <c r="C1378" s="46"/>
      <c r="K1378" s="12" t="str">
        <f>SUBSTITUTE(SUBSTITUTE(SUBSTITUTE("  f = 1/{L} = ? , E1 = 0.7, Cm = 18_x001D_sec(135°)_x001D_","0.7",TEXT($AN1378,"#,##0.0"),1),"18",TEXT($AR1378,"#,##0"),1),"_x001D_","'")</f>
        <v xml:space="preserve">  f = 1/{L} = ? , E1 = 0.7, Cm = 18'sec(135°)'</v>
      </c>
      <c r="AA1378" s="39" t="s">
        <v>1059</v>
      </c>
      <c r="AB1378" s="10">
        <f>$AL1376</f>
        <v>1.25</v>
      </c>
      <c r="AC1378" s="39" t="s">
        <v>613</v>
      </c>
      <c r="AD1378" s="9">
        <f>$AB1378</f>
        <v>1.25</v>
      </c>
      <c r="AE1378" s="39" t="s">
        <v>1802</v>
      </c>
      <c r="AF1378" s="10">
        <f>ROUND(1/$AD1378,2)</f>
        <v>0.8</v>
      </c>
      <c r="AG1378" s="39" t="s">
        <v>1652</v>
      </c>
      <c r="AH1378" s="9">
        <f>$AF1378</f>
        <v>0.8</v>
      </c>
      <c r="AI1378" s="39" t="s">
        <v>1584</v>
      </c>
      <c r="AJ1378" s="10">
        <f>ROUND(ROUND(1/$AD1378,2),2)</f>
        <v>0.8</v>
      </c>
      <c r="AK1378" s="39" t="s">
        <v>2404</v>
      </c>
      <c r="AL1378" s="9">
        <f>$AJ1378</f>
        <v>0.8</v>
      </c>
      <c r="AM1378" s="39" t="s">
        <v>1533</v>
      </c>
      <c r="AN1378" s="8">
        <v>0.7</v>
      </c>
      <c r="AO1378" s="39" t="s">
        <v>1533</v>
      </c>
      <c r="AP1378" s="9">
        <f>$AN1378</f>
        <v>0.7</v>
      </c>
      <c r="AQ1378" s="39" t="s">
        <v>139</v>
      </c>
      <c r="AR1378" s="8">
        <v>18</v>
      </c>
      <c r="AS1378" s="39" t="s">
        <v>139</v>
      </c>
      <c r="AT1378" s="9">
        <f>$AR1378</f>
        <v>18</v>
      </c>
    </row>
    <row r="1379" spans="1:46" ht="18.399999999999999" customHeight="1" x14ac:dyDescent="0.15">
      <c r="A1379" s="42" t="s">
        <v>2859</v>
      </c>
      <c r="B1379" s="3"/>
      <c r="C1379" s="46"/>
      <c r="K1379" s="3" t="s">
        <v>2859</v>
      </c>
    </row>
    <row r="1380" spans="1:46" ht="18.399999999999999" customHeight="1" x14ac:dyDescent="0.15">
      <c r="A1380" s="44" t="str">
        <f>CONCATENATE("  Q = 3600 * q * K * f * E1 / Cm = ",TEXT($AF1380,"#,##0.00")," M3/HR")</f>
        <v xml:space="preserve">  Q = 3600 * q * K * f * E1 / Cm = 60.48 M3/HR</v>
      </c>
      <c r="B1380" s="3"/>
      <c r="C1380" s="46"/>
      <c r="K1380" s="3" t="s">
        <v>1262</v>
      </c>
      <c r="AA1380" s="39" t="s">
        <v>504</v>
      </c>
      <c r="AB1380" s="10">
        <f>ROUND(3600*$AD1376*$AH1376*$AH1378*$AP1378/$AT1378,2)</f>
        <v>60.48</v>
      </c>
      <c r="AC1380" s="39" t="s">
        <v>1972</v>
      </c>
      <c r="AD1380" s="9">
        <f>$AB1380</f>
        <v>60.48</v>
      </c>
      <c r="AE1380" s="39" t="s">
        <v>2216</v>
      </c>
      <c r="AF1380" s="10">
        <f>ROUND(ROUND(3600*$AD1376*$AH1376*$AH1378*$AP1378/$AT1378,2),2)</f>
        <v>60.48</v>
      </c>
      <c r="AG1380" s="39" t="s">
        <v>1075</v>
      </c>
      <c r="AH1380" s="9">
        <f>$AF1380</f>
        <v>60.48</v>
      </c>
    </row>
    <row r="1381" spans="1:46" ht="18.399999999999999" customHeight="1" x14ac:dyDescent="0.15">
      <c r="A1381" s="42" t="s">
        <v>2859</v>
      </c>
      <c r="B1381" s="3"/>
      <c r="C1381" s="46"/>
      <c r="K1381" s="3" t="s">
        <v>2859</v>
      </c>
    </row>
    <row r="1382" spans="1:46" ht="18.399999999999999" customHeight="1" x14ac:dyDescent="0.15">
      <c r="A1382" s="44" t="str">
        <f>CONCATENATE("  1/Q = ","qty hr/m3")</f>
        <v xml:space="preserve">  1/Q = qty hr/m3</v>
      </c>
      <c r="B1382" s="3">
        <f>$AB1382</f>
        <v>1.6500000000000001E-2</v>
      </c>
      <c r="C1382" s="46"/>
      <c r="K1382" s="3" t="s">
        <v>915</v>
      </c>
      <c r="AA1382" s="39" t="s">
        <v>1268</v>
      </c>
      <c r="AB1382" s="10">
        <f>TRUNC(1/$AD1380,4)</f>
        <v>1.6500000000000001E-2</v>
      </c>
      <c r="AC1382" s="39" t="s">
        <v>2080</v>
      </c>
      <c r="AD1382" s="9">
        <f>$AB1382</f>
        <v>1.6500000000000001E-2</v>
      </c>
    </row>
    <row r="1383" spans="1:46" ht="18.399999999999999" customHeight="1" x14ac:dyDescent="0.15">
      <c r="A1383" s="42" t="s">
        <v>2859</v>
      </c>
      <c r="B1383" s="3"/>
      <c r="C1383" s="46"/>
      <c r="K1383" s="3" t="s">
        <v>2859</v>
      </c>
    </row>
    <row r="1384" spans="1:46" ht="18.399999999999999" customHeight="1" x14ac:dyDescent="0.15">
      <c r="A1384" s="42"/>
      <c r="B1384" s="3"/>
      <c r="C1384" s="46"/>
    </row>
    <row r="1385" spans="1:46" ht="18.399999999999999" customHeight="1" thickBot="1" x14ac:dyDescent="0.2">
      <c r="A1385" s="45"/>
      <c r="B1385" s="5"/>
      <c r="C1385" s="49"/>
    </row>
    <row r="1386" spans="1:46" ht="18.399999999999999" customHeight="1" x14ac:dyDescent="0.15">
      <c r="A1386" s="42"/>
      <c r="B1386" s="3"/>
      <c r="C1386" s="46"/>
    </row>
    <row r="1387" spans="1:46" ht="18.399999999999999" customHeight="1" x14ac:dyDescent="0.15">
      <c r="A1387" s="42" t="s">
        <v>1947</v>
      </c>
      <c r="B1387" s="36">
        <v>1</v>
      </c>
      <c r="C1387" s="46" t="s">
        <v>2859</v>
      </c>
    </row>
    <row r="1388" spans="1:46" ht="18.399999999999999" customHeight="1" x14ac:dyDescent="0.15">
      <c r="A1388" s="43"/>
      <c r="B1388" s="3"/>
      <c r="C1388" s="46"/>
    </row>
    <row r="1389" spans="1:46" ht="18.399999999999999" customHeight="1" x14ac:dyDescent="0.15">
      <c r="A1389" s="42" t="s">
        <v>1331</v>
      </c>
      <c r="B1389" s="3"/>
      <c r="C1389" s="46"/>
      <c r="G1389" s="3" t="s">
        <v>2859</v>
      </c>
    </row>
    <row r="1390" spans="1:46" ht="18.399999999999999" customHeight="1" x14ac:dyDescent="0.15">
      <c r="A1390" s="42" t="s">
        <v>1445</v>
      </c>
      <c r="B1390" s="3"/>
      <c r="C1390" s="46"/>
      <c r="K1390" s="3" t="s">
        <v>1099</v>
      </c>
    </row>
    <row r="1391" spans="1:46" ht="18.399999999999999" customHeight="1" x14ac:dyDescent="0.15">
      <c r="A1391" s="42" t="s">
        <v>2859</v>
      </c>
      <c r="B1391" s="3"/>
      <c r="C1391" s="46"/>
      <c r="K1391" s="3" t="s">
        <v>2859</v>
      </c>
    </row>
    <row r="1392" spans="1:46" ht="18.399999999999999" customHeight="1" x14ac:dyDescent="0.15">
      <c r="A1392" s="44" t="str">
        <f>CONCATENATE("    V=",TEXT($AB1392,"#,##0.00")," Km/hr , W=",TEXT($AF1392,"#,##0.00")," m , E=",TEXT($AJ1392,"#,##0.0"),", N=",TEXT($AN1392,"#,##0.00"))</f>
        <v xml:space="preserve">    V=1.00 Km/hr , W=0.45 m , E=0.6, N=3.00</v>
      </c>
      <c r="B1392" s="3"/>
      <c r="C1392" s="46"/>
      <c r="K1392" s="12" t="str">
        <f>SUBSTITUTE(SUBSTITUTE(SUBSTITUTE(SUBSTITUTE(SUBSTITUTE("    V=1_x001D_Km/hr_x001D_, W=0.45_x001D_m_x001D_, E=0.6, N=3","1",TEXT($AB1392,"#,##0"),1),"0.45",TEXT($AF1392,"#,##0.00"),1),"0.6",TEXT($AJ1392,"#,##0.0"),1),"3",TEXT($AN1392,"#,##0"),1),"_x001D_","'")</f>
        <v xml:space="preserve">    V=1'Km/hr', W=0.45'm', E=0.6, N=3</v>
      </c>
      <c r="AA1392" s="39" t="s">
        <v>120</v>
      </c>
      <c r="AB1392" s="8">
        <v>1</v>
      </c>
      <c r="AC1392" s="39" t="s">
        <v>120</v>
      </c>
      <c r="AD1392" s="9">
        <f>$AB1392</f>
        <v>1</v>
      </c>
      <c r="AE1392" s="39" t="s">
        <v>1242</v>
      </c>
      <c r="AF1392" s="8">
        <v>0.45</v>
      </c>
      <c r="AG1392" s="39" t="s">
        <v>1242</v>
      </c>
      <c r="AH1392" s="9">
        <f>$AF1392</f>
        <v>0.45</v>
      </c>
      <c r="AI1392" s="39" t="s">
        <v>1383</v>
      </c>
      <c r="AJ1392" s="8">
        <v>0.6</v>
      </c>
      <c r="AK1392" s="39" t="s">
        <v>1383</v>
      </c>
      <c r="AL1392" s="9">
        <f>$AJ1392</f>
        <v>0.6</v>
      </c>
      <c r="AM1392" s="39" t="s">
        <v>1395</v>
      </c>
      <c r="AN1392" s="8">
        <v>3</v>
      </c>
      <c r="AO1392" s="39" t="s">
        <v>1395</v>
      </c>
      <c r="AP1392" s="9">
        <f>$AN1392</f>
        <v>3</v>
      </c>
    </row>
    <row r="1393" spans="1:34" ht="18.399999999999999" customHeight="1" x14ac:dyDescent="0.15">
      <c r="A1393" s="44" t="str">
        <f>CONCATENATE("    Q = (1000*V*W*E)/N =",TEXT($AF1393,"#,##0.00"),"  ㎡/HR ")</f>
        <v xml:space="preserve">    Q = (1000*V*W*E)/N =90.00  ㎡/HR </v>
      </c>
      <c r="B1393" s="3"/>
      <c r="C1393" s="46"/>
      <c r="K1393" s="3" t="s">
        <v>778</v>
      </c>
      <c r="AA1393" s="39" t="s">
        <v>504</v>
      </c>
      <c r="AB1393" s="10">
        <f>ROUND((1000*$AD1392*$AH1392*$AL1392)/$AP1392,2)</f>
        <v>90</v>
      </c>
      <c r="AC1393" s="39" t="s">
        <v>1972</v>
      </c>
      <c r="AD1393" s="9">
        <f>$AB1393</f>
        <v>90</v>
      </c>
      <c r="AE1393" s="39" t="s">
        <v>527</v>
      </c>
      <c r="AF1393" s="10">
        <f>ROUND(ROUND((1000*$AD1392*$AH1392*$AL1392)/$AP1392,2),2)</f>
        <v>90</v>
      </c>
      <c r="AG1393" s="39" t="s">
        <v>2829</v>
      </c>
      <c r="AH1393" s="9">
        <f>$AF1393</f>
        <v>90</v>
      </c>
    </row>
    <row r="1394" spans="1:34" ht="18.399999999999999" customHeight="1" x14ac:dyDescent="0.15">
      <c r="A1394" s="44" t="str">
        <f>CONCATENATE("    1/Q = ","qty hr/m3")</f>
        <v xml:space="preserve">    1/Q = qty hr/m3</v>
      </c>
      <c r="B1394" s="3">
        <f>$AB1394</f>
        <v>1.11E-2</v>
      </c>
      <c r="C1394" s="46"/>
      <c r="K1394" s="3" t="s">
        <v>2807</v>
      </c>
      <c r="AA1394" s="39" t="s">
        <v>1268</v>
      </c>
      <c r="AB1394" s="10">
        <f>TRUNC(1/$AD1393,4)</f>
        <v>1.11E-2</v>
      </c>
      <c r="AC1394" s="39" t="s">
        <v>2080</v>
      </c>
      <c r="AD1394" s="9">
        <f>$AB1394</f>
        <v>1.11E-2</v>
      </c>
    </row>
    <row r="1395" spans="1:34" ht="18.399999999999999" customHeight="1" x14ac:dyDescent="0.15">
      <c r="A1395" s="42" t="s">
        <v>2859</v>
      </c>
      <c r="B1395" s="3"/>
      <c r="C1395" s="46"/>
      <c r="K1395" s="3" t="s">
        <v>2859</v>
      </c>
    </row>
    <row r="1396" spans="1:34" ht="18.399999999999999" customHeight="1" x14ac:dyDescent="0.15">
      <c r="A1396" s="42" t="s">
        <v>2859</v>
      </c>
      <c r="B1396" s="3"/>
      <c r="C1396" s="46"/>
      <c r="K1396" s="3" t="s">
        <v>2859</v>
      </c>
    </row>
    <row r="1397" spans="1:34" ht="18.399999999999999" customHeight="1" x14ac:dyDescent="0.15">
      <c r="A1397" s="42" t="s">
        <v>2859</v>
      </c>
      <c r="B1397" s="4"/>
      <c r="C1397" s="51"/>
      <c r="K1397" s="3" t="s">
        <v>2430</v>
      </c>
    </row>
    <row r="1398" spans="1:34" ht="18.399999999999999" customHeight="1" x14ac:dyDescent="0.15">
      <c r="A1398" s="42"/>
      <c r="B1398" s="3"/>
      <c r="C1398" s="46"/>
    </row>
    <row r="1399" spans="1:34" ht="18.399999999999999" customHeight="1" thickBot="1" x14ac:dyDescent="0.2">
      <c r="A1399" s="45"/>
      <c r="B1399" s="5"/>
      <c r="C1399" s="49"/>
    </row>
  </sheetData>
  <mergeCells count="2">
    <mergeCell ref="AA3:AG3"/>
    <mergeCell ref="AA4:AG4"/>
  </mergeCells>
  <phoneticPr fontId="5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274"/>
  <sheetViews>
    <sheetView view="pageBreakPreview" topLeftCell="A100" zoomScale="115" zoomScaleNormal="100" zoomScaleSheetLayoutView="115" workbookViewId="0">
      <selection activeCell="F8" sqref="F8"/>
    </sheetView>
  </sheetViews>
  <sheetFormatPr defaultRowHeight="18.399999999999999" customHeight="1" x14ac:dyDescent="0.15"/>
  <cols>
    <col min="1" max="1" width="65" customWidth="1"/>
    <col min="2" max="2" width="11" customWidth="1"/>
    <col min="3" max="6" width="10" customWidth="1"/>
    <col min="7" max="23" width="0" hidden="1" customWidth="1"/>
    <col min="25" max="25" width="9.5" bestFit="1" customWidth="1"/>
    <col min="26" max="26" width="10" bestFit="1" customWidth="1"/>
    <col min="28" max="28" width="9.5" bestFit="1" customWidth="1"/>
    <col min="30" max="30" width="9.5" bestFit="1" customWidth="1"/>
    <col min="32" max="32" width="9.5" bestFit="1" customWidth="1"/>
    <col min="34" max="34" width="9.5" bestFit="1" customWidth="1"/>
  </cols>
  <sheetData>
    <row r="1" spans="1:33" ht="18.399999999999999" customHeight="1" thickBot="1" x14ac:dyDescent="0.2">
      <c r="A1" t="s">
        <v>1168</v>
      </c>
    </row>
    <row r="2" spans="1:33" ht="18.399999999999999" customHeight="1" thickBot="1" x14ac:dyDescent="0.2">
      <c r="A2" s="18" t="s">
        <v>820</v>
      </c>
      <c r="B2" s="19" t="s">
        <v>2786</v>
      </c>
      <c r="C2" s="19" t="s">
        <v>1942</v>
      </c>
      <c r="D2" s="19" t="s">
        <v>1175</v>
      </c>
      <c r="E2" s="19" t="s">
        <v>171</v>
      </c>
      <c r="F2" s="21" t="s">
        <v>716</v>
      </c>
    </row>
    <row r="3" spans="1:33" ht="18.399999999999999" customHeight="1" x14ac:dyDescent="0.15">
      <c r="A3" s="42"/>
      <c r="B3" s="3"/>
      <c r="C3" s="3"/>
      <c r="D3" s="3"/>
      <c r="E3" s="3"/>
      <c r="F3" s="46"/>
      <c r="AA3" s="433" t="s">
        <v>664</v>
      </c>
      <c r="AB3" s="433"/>
      <c r="AC3" s="433"/>
      <c r="AD3" s="433"/>
      <c r="AE3" s="433"/>
      <c r="AF3" s="433"/>
      <c r="AG3" s="433"/>
    </row>
    <row r="4" spans="1:33" ht="18.399999999999999" customHeight="1" thickBot="1" x14ac:dyDescent="0.2">
      <c r="A4" s="42" t="s">
        <v>508</v>
      </c>
      <c r="B4" s="36">
        <f>$B40</f>
        <v>1250635</v>
      </c>
      <c r="C4" s="36">
        <v>0</v>
      </c>
      <c r="D4" s="36">
        <v>0</v>
      </c>
      <c r="E4" s="36">
        <f>$E40</f>
        <v>1250635</v>
      </c>
      <c r="F4" s="46" t="s">
        <v>2859</v>
      </c>
      <c r="G4" t="s">
        <v>2859</v>
      </c>
      <c r="H4" t="s">
        <v>1223</v>
      </c>
      <c r="K4">
        <v>1</v>
      </c>
      <c r="Y4" s="9" t="b">
        <f>EXACT($Z4,$B40)</f>
        <v>1</v>
      </c>
      <c r="Z4" s="38">
        <v>1250635</v>
      </c>
      <c r="AA4" s="433" t="s">
        <v>1504</v>
      </c>
      <c r="AB4" s="433"/>
      <c r="AC4" s="433"/>
      <c r="AD4" s="433"/>
      <c r="AE4" s="433"/>
      <c r="AF4" s="433"/>
      <c r="AG4" s="433"/>
    </row>
    <row r="5" spans="1:33" ht="18.399999999999999" customHeight="1" x14ac:dyDescent="0.15">
      <c r="A5" s="43"/>
      <c r="B5" s="3"/>
      <c r="C5" s="3"/>
      <c r="D5" s="3"/>
      <c r="E5" s="3"/>
      <c r="F5" s="46"/>
    </row>
    <row r="6" spans="1:33" ht="18.399999999999999" customHeight="1" x14ac:dyDescent="0.15">
      <c r="A6" s="42" t="s">
        <v>2859</v>
      </c>
      <c r="B6" s="3"/>
      <c r="C6" s="3"/>
      <c r="D6" s="3"/>
      <c r="E6" s="3"/>
      <c r="F6" s="46"/>
      <c r="G6" t="s">
        <v>2859</v>
      </c>
      <c r="I6" t="s">
        <v>322</v>
      </c>
      <c r="J6" t="s">
        <v>2859</v>
      </c>
      <c r="K6" t="s">
        <v>2417</v>
      </c>
    </row>
    <row r="7" spans="1:33" ht="18.399999999999999" customHeight="1" x14ac:dyDescent="0.15">
      <c r="A7" s="42" t="s">
        <v>395</v>
      </c>
      <c r="B7" s="36"/>
      <c r="C7" s="36"/>
      <c r="D7" s="36"/>
      <c r="E7" s="36"/>
      <c r="F7" s="47"/>
      <c r="K7" s="3" t="s">
        <v>395</v>
      </c>
    </row>
    <row r="8" spans="1:33" ht="18.399999999999999" customHeight="1" x14ac:dyDescent="0.15">
      <c r="A8" s="42" t="s">
        <v>2728</v>
      </c>
      <c r="B8" s="36"/>
      <c r="C8" s="36"/>
      <c r="D8" s="36"/>
      <c r="E8" s="36"/>
      <c r="F8" s="47"/>
      <c r="K8" s="3" t="s">
        <v>2728</v>
      </c>
    </row>
    <row r="9" spans="1:33" ht="18.399999999999999" customHeight="1" x14ac:dyDescent="0.15">
      <c r="A9" s="42" t="s">
        <v>1355</v>
      </c>
      <c r="B9" s="36"/>
      <c r="C9" s="36"/>
      <c r="D9" s="36"/>
      <c r="E9" s="36"/>
      <c r="F9" s="47"/>
      <c r="K9" s="3" t="s">
        <v>1355</v>
      </c>
    </row>
    <row r="10" spans="1:33" ht="18.399999999999999" customHeight="1" x14ac:dyDescent="0.15">
      <c r="A10" s="42" t="s">
        <v>1291</v>
      </c>
      <c r="B10" s="36"/>
      <c r="C10" s="36"/>
      <c r="D10" s="36"/>
      <c r="E10" s="36"/>
      <c r="F10" s="47"/>
      <c r="K10" s="3" t="s">
        <v>1291</v>
      </c>
    </row>
    <row r="11" spans="1:33" ht="18.399999999999999" customHeight="1" x14ac:dyDescent="0.15">
      <c r="A11" s="42" t="s">
        <v>160</v>
      </c>
      <c r="B11" s="36"/>
      <c r="C11" s="36"/>
      <c r="D11" s="36"/>
      <c r="E11" s="36"/>
      <c r="F11" s="47"/>
      <c r="K11" s="3" t="s">
        <v>160</v>
      </c>
    </row>
    <row r="12" spans="1:33" ht="18.399999999999999" customHeight="1" x14ac:dyDescent="0.15">
      <c r="A12" s="42" t="s">
        <v>2196</v>
      </c>
      <c r="B12" s="36"/>
      <c r="C12" s="36"/>
      <c r="D12" s="36"/>
      <c r="E12" s="36"/>
      <c r="F12" s="47"/>
      <c r="K12" s="3" t="s">
        <v>2196</v>
      </c>
    </row>
    <row r="13" spans="1:33" ht="18.399999999999999" customHeight="1" x14ac:dyDescent="0.15">
      <c r="A13" s="42" t="s">
        <v>2859</v>
      </c>
      <c r="B13" s="36"/>
      <c r="C13" s="36"/>
      <c r="D13" s="36"/>
      <c r="E13" s="36"/>
      <c r="F13" s="47"/>
      <c r="K13" s="3" t="s">
        <v>2859</v>
      </c>
    </row>
    <row r="14" spans="1:33" ht="18.399999999999999" customHeight="1" x14ac:dyDescent="0.15">
      <c r="A14" s="42" t="s">
        <v>825</v>
      </c>
      <c r="B14" s="36"/>
      <c r="C14" s="36"/>
      <c r="D14" s="36"/>
      <c r="E14" s="36"/>
      <c r="F14" s="47"/>
      <c r="K14" s="3" t="s">
        <v>825</v>
      </c>
    </row>
    <row r="15" spans="1:33" ht="18.399999999999999" customHeight="1" x14ac:dyDescent="0.15">
      <c r="A15" s="42" t="s">
        <v>2859</v>
      </c>
      <c r="B15" s="36"/>
      <c r="C15" s="36"/>
      <c r="D15" s="36"/>
      <c r="E15" s="36"/>
      <c r="F15" s="47"/>
      <c r="K15" s="3" t="s">
        <v>2859</v>
      </c>
    </row>
    <row r="16" spans="1:33" ht="18.399999999999999" customHeight="1" x14ac:dyDescent="0.15">
      <c r="A16" s="44" t="str">
        <f>CONCATENATE("   6 월사용 : 손율  S=",TEXT($AB16,"#,##0.0"),"  %")</f>
        <v xml:space="preserve">   6 월사용 : 손율  S=16.0  %</v>
      </c>
      <c r="B16" s="36"/>
      <c r="C16" s="36"/>
      <c r="D16" s="36"/>
      <c r="E16" s="36"/>
      <c r="F16" s="47"/>
      <c r="K16" s="12" t="str">
        <f>SUBSTITUTE(SUBSTITUTE("  _x001D_6 월사용 : 손율_x001D_ S= 16.0 _x001D_%_x001D_","16.0",TEXT($AB16,"#,##0.0"),1),"_x001D_","'")</f>
        <v xml:space="preserve">  '6 월사용 : 손율' S= 16.0 '%'</v>
      </c>
      <c r="AA16" s="39" t="s">
        <v>607</v>
      </c>
      <c r="AB16" s="8">
        <v>16</v>
      </c>
      <c r="AC16" s="39" t="s">
        <v>607</v>
      </c>
      <c r="AD16" s="9">
        <f>$AB16</f>
        <v>16</v>
      </c>
    </row>
    <row r="17" spans="1:34" ht="18.399999999999999" customHeight="1" x14ac:dyDescent="0.15">
      <c r="A17" s="42" t="s">
        <v>2859</v>
      </c>
      <c r="B17" s="36"/>
      <c r="C17" s="36"/>
      <c r="D17" s="36"/>
      <c r="E17" s="36"/>
      <c r="F17" s="47"/>
      <c r="K17" s="3" t="s">
        <v>2859</v>
      </c>
    </row>
    <row r="18" spans="1:34" ht="18.399999999999999" customHeight="1" x14ac:dyDescent="0.15">
      <c r="A18" s="44" t="str">
        <f>CONCATENATE("  _x001D_4,740,150_x001D_ * ",TEXT($AB18,"#,##0.00")," / 100 = ",TEXT($AF18,"#,##0.00"))</f>
        <v xml:space="preserve">  _x001D_4,740,150_x001D_ * 16.00 / 100 = 758,424.00</v>
      </c>
      <c r="B18" s="36">
        <f>SUM($C18,$D18,$E18)</f>
        <v>758424</v>
      </c>
      <c r="C18" s="36"/>
      <c r="D18" s="36"/>
      <c r="E18" s="36">
        <f>$AF18</f>
        <v>758424</v>
      </c>
      <c r="F18" s="47" t="s">
        <v>2859</v>
      </c>
      <c r="K18" s="3" t="s">
        <v>2641</v>
      </c>
      <c r="AA18" s="39" t="s">
        <v>1317</v>
      </c>
      <c r="AB18" s="10">
        <f>$AD16</f>
        <v>16</v>
      </c>
      <c r="AC18" s="39" t="s">
        <v>226</v>
      </c>
      <c r="AD18" s="9">
        <f>$AB18</f>
        <v>16</v>
      </c>
      <c r="AE18" s="40" t="s">
        <v>907</v>
      </c>
      <c r="AF18" s="10">
        <f>TRUNC(자재조서!E52*$AD18/100,0)</f>
        <v>758424</v>
      </c>
      <c r="AG18" s="40" t="s">
        <v>1545</v>
      </c>
      <c r="AH18" s="9">
        <f>$AF18</f>
        <v>758424</v>
      </c>
    </row>
    <row r="19" spans="1:34" ht="18.399999999999999" customHeight="1" x14ac:dyDescent="0.15">
      <c r="A19" s="42" t="s">
        <v>2859</v>
      </c>
      <c r="B19" s="36"/>
      <c r="C19" s="36"/>
      <c r="D19" s="36"/>
      <c r="E19" s="36"/>
      <c r="F19" s="47"/>
      <c r="K19" s="3" t="s">
        <v>2859</v>
      </c>
    </row>
    <row r="20" spans="1:34" ht="18.399999999999999" customHeight="1" x14ac:dyDescent="0.15">
      <c r="A20" s="42" t="s">
        <v>2561</v>
      </c>
      <c r="B20" s="37">
        <f>SUM($C20,$D20,$E20)</f>
        <v>758424</v>
      </c>
      <c r="C20" s="37">
        <f>$AB20</f>
        <v>0</v>
      </c>
      <c r="D20" s="37">
        <f>$AD20</f>
        <v>0</v>
      </c>
      <c r="E20" s="37">
        <f>$AF20</f>
        <v>758424</v>
      </c>
      <c r="F20" s="48"/>
      <c r="K20" s="3" t="s">
        <v>1705</v>
      </c>
      <c r="AE20" s="39" t="s">
        <v>2609</v>
      </c>
      <c r="AF20" s="9">
        <f>$AH18</f>
        <v>758424</v>
      </c>
    </row>
    <row r="21" spans="1:34" ht="18.399999999999999" customHeight="1" x14ac:dyDescent="0.15">
      <c r="A21" s="42" t="s">
        <v>2859</v>
      </c>
      <c r="B21" s="36"/>
      <c r="C21" s="36"/>
      <c r="D21" s="36"/>
      <c r="E21" s="36"/>
      <c r="F21" s="47"/>
      <c r="K21" s="3" t="s">
        <v>2859</v>
      </c>
    </row>
    <row r="22" spans="1:34" ht="18.399999999999999" customHeight="1" x14ac:dyDescent="0.15">
      <c r="A22" s="42" t="s">
        <v>1869</v>
      </c>
      <c r="B22" s="36"/>
      <c r="C22" s="36"/>
      <c r="D22" s="36"/>
      <c r="E22" s="36"/>
      <c r="F22" s="47"/>
      <c r="K22" s="3" t="s">
        <v>1869</v>
      </c>
    </row>
    <row r="23" spans="1:34" ht="18.399999999999999" customHeight="1" x14ac:dyDescent="0.15">
      <c r="A23" s="42" t="s">
        <v>2859</v>
      </c>
      <c r="B23" s="36"/>
      <c r="C23" s="36"/>
      <c r="D23" s="36"/>
      <c r="E23" s="36"/>
      <c r="F23" s="47"/>
      <c r="K23" s="3" t="s">
        <v>2859</v>
      </c>
    </row>
    <row r="24" spans="1:34" ht="18.399999999999999" customHeight="1" x14ac:dyDescent="0.15">
      <c r="A24" s="42" t="s">
        <v>2127</v>
      </c>
      <c r="B24" s="36"/>
      <c r="C24" s="36"/>
      <c r="D24" s="36"/>
      <c r="E24" s="36"/>
      <c r="F24" s="47"/>
      <c r="K24" s="3" t="s">
        <v>2127</v>
      </c>
    </row>
    <row r="25" spans="1:34" ht="18.399999999999999" customHeight="1" x14ac:dyDescent="0.15">
      <c r="A25" s="42" t="s">
        <v>2859</v>
      </c>
      <c r="B25" s="36"/>
      <c r="C25" s="36"/>
      <c r="D25" s="36"/>
      <c r="E25" s="36"/>
      <c r="F25" s="47"/>
      <c r="K25" s="3" t="s">
        <v>2859</v>
      </c>
    </row>
    <row r="26" spans="1:34" ht="18.399999999999999" customHeight="1" x14ac:dyDescent="0.15">
      <c r="A26" s="42" t="s">
        <v>968</v>
      </c>
      <c r="B26" s="36"/>
      <c r="C26" s="36"/>
      <c r="D26" s="36"/>
      <c r="E26" s="36"/>
      <c r="F26" s="47"/>
      <c r="K26" s="3" t="s">
        <v>968</v>
      </c>
    </row>
    <row r="27" spans="1:34" ht="18.399999999999999" customHeight="1" x14ac:dyDescent="0.15">
      <c r="A27" s="42" t="s">
        <v>2859</v>
      </c>
      <c r="B27" s="36"/>
      <c r="C27" s="36"/>
      <c r="D27" s="36"/>
      <c r="E27" s="36"/>
      <c r="F27" s="47"/>
      <c r="K27" s="3" t="s">
        <v>2859</v>
      </c>
    </row>
    <row r="28" spans="1:34" ht="18.399999999999999" customHeight="1" x14ac:dyDescent="0.15">
      <c r="A28" s="44" t="str">
        <f>CONCATENATE("  1.0  hr  * _x001D_56,874_x001D_ * 2 = ",TEXT($AB28,"#,##0.00"))</f>
        <v xml:space="preserve">  1.0  hr  * _x001D_56,874_x001D_ * 2 = 113,748.00</v>
      </c>
      <c r="B28" s="36">
        <f>SUM($C28,$D28,$E28)</f>
        <v>113748</v>
      </c>
      <c r="C28" s="36"/>
      <c r="D28" s="36"/>
      <c r="E28" s="36">
        <f>$AB28</f>
        <v>113748</v>
      </c>
      <c r="F28" s="47" t="s">
        <v>2859</v>
      </c>
      <c r="K28" s="3" t="s">
        <v>1477</v>
      </c>
      <c r="AA28" s="40" t="s">
        <v>907</v>
      </c>
      <c r="AB28" s="10">
        <f>TRUNC(1*중기사용료목록!F25*2,0)</f>
        <v>113748</v>
      </c>
      <c r="AC28" s="40" t="s">
        <v>1545</v>
      </c>
      <c r="AD28" s="9">
        <f>$AH18+$AB28</f>
        <v>872172</v>
      </c>
    </row>
    <row r="29" spans="1:34" ht="18.399999999999999" customHeight="1" x14ac:dyDescent="0.15">
      <c r="A29" s="42" t="s">
        <v>2859</v>
      </c>
      <c r="B29" s="36"/>
      <c r="C29" s="36"/>
      <c r="D29" s="36"/>
      <c r="E29" s="36"/>
      <c r="F29" s="47"/>
      <c r="K29" s="3" t="s">
        <v>2859</v>
      </c>
    </row>
    <row r="30" spans="1:34" ht="18.399999999999999" customHeight="1" x14ac:dyDescent="0.15">
      <c r="A30" s="44" t="str">
        <f>CONCATENATE("  1.0  hr  * _x001D_7,341_x001D_ * 2 = ",TEXT($AB30,"#,##0.00"))</f>
        <v xml:space="preserve">  1.0  hr  * _x001D_7,341_x001D_ * 2 = 14,682.00</v>
      </c>
      <c r="B30" s="36">
        <f>SUM($C30,$D30,$E30)</f>
        <v>14682</v>
      </c>
      <c r="C30" s="36"/>
      <c r="D30" s="36"/>
      <c r="E30" s="36">
        <f>$AB30</f>
        <v>14682</v>
      </c>
      <c r="F30" s="47" t="s">
        <v>2859</v>
      </c>
      <c r="K30" s="3" t="s">
        <v>67</v>
      </c>
      <c r="AA30" s="40" t="s">
        <v>907</v>
      </c>
      <c r="AB30" s="10">
        <f>TRUNC(1*중기사용료목록!E25*2,0)</f>
        <v>14682</v>
      </c>
      <c r="AC30" s="40" t="s">
        <v>1545</v>
      </c>
      <c r="AD30" s="9">
        <f>$AD28+$AB30</f>
        <v>886854</v>
      </c>
    </row>
    <row r="31" spans="1:34" ht="18.399999999999999" customHeight="1" x14ac:dyDescent="0.15">
      <c r="A31" s="42" t="s">
        <v>2859</v>
      </c>
      <c r="B31" s="36"/>
      <c r="C31" s="36"/>
      <c r="D31" s="36"/>
      <c r="E31" s="36"/>
      <c r="F31" s="47"/>
      <c r="K31" s="3" t="s">
        <v>2859</v>
      </c>
    </row>
    <row r="32" spans="1:34" ht="18.399999999999999" customHeight="1" x14ac:dyDescent="0.15">
      <c r="A32" s="44" t="str">
        <f>CONCATENATE("  1.0  hr  * _x001D_30,103_x001D_ * 2 = ",TEXT($AB32,"#,##0.00"))</f>
        <v xml:space="preserve">  1.0  hr  * _x001D_30,103_x001D_ * 2 = 60,206.00</v>
      </c>
      <c r="B32" s="36">
        <f>SUM($C32,$D32,$E32)</f>
        <v>60206</v>
      </c>
      <c r="C32" s="36"/>
      <c r="D32" s="36"/>
      <c r="E32" s="36">
        <f>$AB32</f>
        <v>60206</v>
      </c>
      <c r="F32" s="47" t="s">
        <v>2859</v>
      </c>
      <c r="K32" s="3" t="s">
        <v>1222</v>
      </c>
      <c r="AA32" s="40" t="s">
        <v>907</v>
      </c>
      <c r="AB32" s="10">
        <f>TRUNC(1*중기사용료목록!G25*2,0)</f>
        <v>60206</v>
      </c>
      <c r="AC32" s="40" t="s">
        <v>1545</v>
      </c>
      <c r="AD32" s="9">
        <f>$AD30+$AB32</f>
        <v>947060</v>
      </c>
    </row>
    <row r="33" spans="1:32" ht="18.399999999999999" customHeight="1" x14ac:dyDescent="0.15">
      <c r="A33" s="42" t="s">
        <v>2859</v>
      </c>
      <c r="B33" s="36"/>
      <c r="C33" s="36"/>
      <c r="D33" s="36"/>
      <c r="E33" s="36"/>
      <c r="F33" s="47"/>
      <c r="K33" s="3" t="s">
        <v>2859</v>
      </c>
    </row>
    <row r="34" spans="1:32" ht="18.399999999999999" customHeight="1" x14ac:dyDescent="0.15">
      <c r="A34" s="44" t="str">
        <f>CONCATENATE("  비 계 공:  0.39 인  * _x001D_282,352_x001D_ * 2 = ",TEXT($AB34,"#,##0.00"))</f>
        <v xml:space="preserve">  비 계 공:  0.39 인  * _x001D_282,352_x001D_ * 2 = 220,234.00</v>
      </c>
      <c r="B34" s="36">
        <f>SUM($C34,$D34,$E34)</f>
        <v>220234</v>
      </c>
      <c r="C34" s="36"/>
      <c r="D34" s="36"/>
      <c r="E34" s="36">
        <f>$AB34</f>
        <v>220234</v>
      </c>
      <c r="F34" s="47" t="s">
        <v>2859</v>
      </c>
      <c r="K34" s="3" t="s">
        <v>1289</v>
      </c>
      <c r="AA34" s="40" t="s">
        <v>907</v>
      </c>
      <c r="AB34" s="10">
        <f>TRUNC(0.39*(노임!D6*전역변수!C34)*2,0)</f>
        <v>220234</v>
      </c>
      <c r="AC34" s="40" t="s">
        <v>1545</v>
      </c>
      <c r="AD34" s="9">
        <f>$AD32+$AB34</f>
        <v>1167294</v>
      </c>
    </row>
    <row r="35" spans="1:32" ht="18.399999999999999" customHeight="1" x14ac:dyDescent="0.15">
      <c r="A35" s="42" t="s">
        <v>2859</v>
      </c>
      <c r="B35" s="36"/>
      <c r="C35" s="36"/>
      <c r="D35" s="36"/>
      <c r="E35" s="36"/>
      <c r="F35" s="47"/>
      <c r="K35" s="3" t="s">
        <v>2859</v>
      </c>
    </row>
    <row r="36" spans="1:32" ht="18.399999999999999" customHeight="1" x14ac:dyDescent="0.15">
      <c r="A36" s="44" t="str">
        <f>CONCATENATE("  특별인부:  0.19 인  * _x001D_219,321_x001D_ * 2 = ",TEXT($AB36,"#,##0.00"))</f>
        <v xml:space="preserve">  특별인부:  0.19 인  * _x001D_219,321_x001D_ * 2 = 83,341.00</v>
      </c>
      <c r="B36" s="36">
        <f>SUM($C36,$D36,$E36)</f>
        <v>83341</v>
      </c>
      <c r="C36" s="36"/>
      <c r="D36" s="36"/>
      <c r="E36" s="36">
        <f>$AB36</f>
        <v>83341</v>
      </c>
      <c r="F36" s="47" t="s">
        <v>2859</v>
      </c>
      <c r="K36" s="3" t="s">
        <v>2696</v>
      </c>
      <c r="AA36" s="40" t="s">
        <v>907</v>
      </c>
      <c r="AB36" s="10">
        <f>TRUNC(0.19*(노임!D12*전역변수!C34)*2,0)</f>
        <v>83341</v>
      </c>
      <c r="AC36" s="40" t="s">
        <v>1545</v>
      </c>
      <c r="AD36" s="9">
        <f>$AD34+$AB36</f>
        <v>1250635</v>
      </c>
    </row>
    <row r="37" spans="1:32" ht="18.399999999999999" customHeight="1" x14ac:dyDescent="0.15">
      <c r="A37" s="42" t="s">
        <v>2859</v>
      </c>
      <c r="B37" s="36"/>
      <c r="C37" s="36"/>
      <c r="D37" s="36"/>
      <c r="E37" s="36"/>
      <c r="F37" s="47"/>
      <c r="K37" s="3" t="s">
        <v>2859</v>
      </c>
    </row>
    <row r="38" spans="1:32" ht="18.399999999999999" customHeight="1" x14ac:dyDescent="0.15">
      <c r="A38" s="42" t="s">
        <v>2561</v>
      </c>
      <c r="B38" s="37">
        <f>SUM($C38,$D38,$E38)</f>
        <v>492211</v>
      </c>
      <c r="C38" s="37">
        <f>$AB38</f>
        <v>0</v>
      </c>
      <c r="D38" s="37">
        <f>$AD38</f>
        <v>0</v>
      </c>
      <c r="E38" s="37">
        <f>$AF38</f>
        <v>492211</v>
      </c>
      <c r="F38" s="48"/>
      <c r="K38" s="3" t="s">
        <v>1705</v>
      </c>
      <c r="AE38" s="39" t="s">
        <v>2609</v>
      </c>
      <c r="AF38" s="9">
        <f>$AD36-$AH18</f>
        <v>492211</v>
      </c>
    </row>
    <row r="39" spans="1:32" ht="18.399999999999999" customHeight="1" x14ac:dyDescent="0.15">
      <c r="A39" s="42"/>
      <c r="B39" s="3"/>
      <c r="C39" s="3"/>
      <c r="D39" s="3"/>
      <c r="E39" s="3"/>
      <c r="F39" s="46"/>
    </row>
    <row r="40" spans="1:32" ht="18.399999999999999" customHeight="1" thickBot="1" x14ac:dyDescent="0.2">
      <c r="A40" s="45" t="s">
        <v>1643</v>
      </c>
      <c r="B40" s="38">
        <f>SUM($C40,$D40,$E40)</f>
        <v>1250635</v>
      </c>
      <c r="C40" s="38">
        <v>0</v>
      </c>
      <c r="D40" s="38">
        <v>0</v>
      </c>
      <c r="E40" s="38">
        <f>TRUNC(SUM($AD36),0)</f>
        <v>1250635</v>
      </c>
      <c r="F40" s="49"/>
    </row>
    <row r="41" spans="1:32" ht="18.399999999999999" customHeight="1" x14ac:dyDescent="0.15">
      <c r="A41" s="42"/>
      <c r="B41" s="3"/>
      <c r="C41" s="3"/>
      <c r="D41" s="3"/>
      <c r="E41" s="3"/>
      <c r="F41" s="46"/>
    </row>
    <row r="42" spans="1:32" ht="18.399999999999999" customHeight="1" thickBot="1" x14ac:dyDescent="0.2">
      <c r="A42" s="42" t="s">
        <v>179</v>
      </c>
      <c r="B42" s="36">
        <f>$B78</f>
        <v>1155708</v>
      </c>
      <c r="C42" s="36">
        <v>0</v>
      </c>
      <c r="D42" s="36">
        <v>0</v>
      </c>
      <c r="E42" s="36">
        <f>$E78</f>
        <v>1155708</v>
      </c>
      <c r="F42" s="46" t="s">
        <v>2859</v>
      </c>
      <c r="G42" t="s">
        <v>2859</v>
      </c>
      <c r="H42" t="s">
        <v>2673</v>
      </c>
      <c r="K42">
        <v>1</v>
      </c>
      <c r="Y42" s="9" t="b">
        <f>EXACT($Z42,$B78)</f>
        <v>1</v>
      </c>
      <c r="Z42" s="38">
        <v>1155708</v>
      </c>
    </row>
    <row r="43" spans="1:32" ht="18.399999999999999" customHeight="1" x14ac:dyDescent="0.15">
      <c r="A43" s="43"/>
      <c r="B43" s="3"/>
      <c r="C43" s="3"/>
      <c r="D43" s="3"/>
      <c r="E43" s="3"/>
      <c r="F43" s="46"/>
    </row>
    <row r="44" spans="1:32" ht="18.399999999999999" customHeight="1" x14ac:dyDescent="0.15">
      <c r="A44" s="42" t="s">
        <v>2859</v>
      </c>
      <c r="B44" s="3"/>
      <c r="C44" s="3"/>
      <c r="D44" s="3"/>
      <c r="E44" s="3"/>
      <c r="F44" s="46"/>
      <c r="G44" t="s">
        <v>2859</v>
      </c>
      <c r="I44" t="s">
        <v>322</v>
      </c>
      <c r="J44" t="s">
        <v>2859</v>
      </c>
      <c r="K44" t="s">
        <v>2417</v>
      </c>
    </row>
    <row r="45" spans="1:32" ht="18.399999999999999" customHeight="1" x14ac:dyDescent="0.15">
      <c r="A45" s="42" t="s">
        <v>77</v>
      </c>
      <c r="B45" s="36"/>
      <c r="C45" s="36"/>
      <c r="D45" s="36"/>
      <c r="E45" s="36"/>
      <c r="F45" s="47"/>
      <c r="K45" s="3" t="s">
        <v>77</v>
      </c>
    </row>
    <row r="46" spans="1:32" ht="18.399999999999999" customHeight="1" x14ac:dyDescent="0.15">
      <c r="A46" s="42" t="s">
        <v>2728</v>
      </c>
      <c r="B46" s="36"/>
      <c r="C46" s="36"/>
      <c r="D46" s="36"/>
      <c r="E46" s="36"/>
      <c r="F46" s="47"/>
      <c r="K46" s="3" t="s">
        <v>2728</v>
      </c>
    </row>
    <row r="47" spans="1:32" ht="18.399999999999999" customHeight="1" x14ac:dyDescent="0.15">
      <c r="A47" s="42" t="s">
        <v>1355</v>
      </c>
      <c r="B47" s="36"/>
      <c r="C47" s="36"/>
      <c r="D47" s="36"/>
      <c r="E47" s="36"/>
      <c r="F47" s="47"/>
      <c r="K47" s="3" t="s">
        <v>1355</v>
      </c>
    </row>
    <row r="48" spans="1:32" ht="18.399999999999999" customHeight="1" x14ac:dyDescent="0.15">
      <c r="A48" s="42" t="s">
        <v>1291</v>
      </c>
      <c r="B48" s="36"/>
      <c r="C48" s="36"/>
      <c r="D48" s="36"/>
      <c r="E48" s="36"/>
      <c r="F48" s="47"/>
      <c r="K48" s="3" t="s">
        <v>1291</v>
      </c>
    </row>
    <row r="49" spans="1:34" ht="18.399999999999999" customHeight="1" x14ac:dyDescent="0.15">
      <c r="A49" s="42" t="s">
        <v>1462</v>
      </c>
      <c r="B49" s="36"/>
      <c r="C49" s="36"/>
      <c r="D49" s="36"/>
      <c r="E49" s="36"/>
      <c r="F49" s="47"/>
      <c r="K49" s="3" t="s">
        <v>1462</v>
      </c>
    </row>
    <row r="50" spans="1:34" ht="18.399999999999999" customHeight="1" x14ac:dyDescent="0.15">
      <c r="A50" s="42" t="s">
        <v>2196</v>
      </c>
      <c r="B50" s="36"/>
      <c r="C50" s="36"/>
      <c r="D50" s="36"/>
      <c r="E50" s="36"/>
      <c r="F50" s="47"/>
      <c r="K50" s="3" t="s">
        <v>2196</v>
      </c>
    </row>
    <row r="51" spans="1:34" ht="18.399999999999999" customHeight="1" x14ac:dyDescent="0.15">
      <c r="A51" s="42" t="s">
        <v>2859</v>
      </c>
      <c r="B51" s="36"/>
      <c r="C51" s="36"/>
      <c r="D51" s="36"/>
      <c r="E51" s="36"/>
      <c r="F51" s="47"/>
      <c r="K51" s="3" t="s">
        <v>2859</v>
      </c>
    </row>
    <row r="52" spans="1:34" ht="18.399999999999999" customHeight="1" x14ac:dyDescent="0.15">
      <c r="A52" s="44" t="str">
        <f>CONCATENATE("   6 월사용 : 손율  S=",TEXT($AB52,"#,##0.0"),"  %")</f>
        <v xml:space="preserve">   6 월사용 : 손율  S=16.0  %</v>
      </c>
      <c r="B52" s="36"/>
      <c r="C52" s="36"/>
      <c r="D52" s="36"/>
      <c r="E52" s="36"/>
      <c r="F52" s="47"/>
      <c r="K52" s="12" t="str">
        <f>SUBSTITUTE(SUBSTITUTE("  _x001D_6 월사용 : 손율_x001D_ S= 16.0 _x001D_%_x001D_","16.0",TEXT($AB52,"#,##0.0"),1),"_x001D_","'")</f>
        <v xml:space="preserve">  '6 월사용 : 손율' S= 16.0 '%'</v>
      </c>
      <c r="AA52" s="39" t="s">
        <v>607</v>
      </c>
      <c r="AB52" s="8">
        <v>16</v>
      </c>
      <c r="AC52" s="39" t="s">
        <v>607</v>
      </c>
      <c r="AD52" s="9">
        <f>$AB52</f>
        <v>16</v>
      </c>
    </row>
    <row r="53" spans="1:34" ht="18.399999999999999" customHeight="1" x14ac:dyDescent="0.15">
      <c r="A53" s="42" t="s">
        <v>2859</v>
      </c>
      <c r="B53" s="36"/>
      <c r="C53" s="36"/>
      <c r="D53" s="36"/>
      <c r="E53" s="36"/>
      <c r="F53" s="47"/>
      <c r="K53" s="3" t="s">
        <v>2859</v>
      </c>
    </row>
    <row r="54" spans="1:34" ht="18.399999999999999" customHeight="1" x14ac:dyDescent="0.15">
      <c r="A54" s="44" t="str">
        <f>CONCATENATE("   _x001D_4,146,858_x001D_ * ",TEXT($AB54,"#,##0.00")," / 100 =",TEXT($AF54,"#,##0.00"))</f>
        <v xml:space="preserve">   _x001D_4,146,858_x001D_ * 16.00 / 100 =663,497.00</v>
      </c>
      <c r="B54" s="36">
        <f>SUM($C54,$D54,$E54)</f>
        <v>663497</v>
      </c>
      <c r="C54" s="36"/>
      <c r="D54" s="36"/>
      <c r="E54" s="36">
        <f>$AF54</f>
        <v>663497</v>
      </c>
      <c r="F54" s="47" t="s">
        <v>2859</v>
      </c>
      <c r="K54" s="3" t="s">
        <v>2552</v>
      </c>
      <c r="AA54" s="39" t="s">
        <v>273</v>
      </c>
      <c r="AB54" s="10">
        <f>$AD52</f>
        <v>16</v>
      </c>
      <c r="AC54" s="39" t="s">
        <v>955</v>
      </c>
      <c r="AD54" s="9">
        <f>$AB54</f>
        <v>16</v>
      </c>
      <c r="AE54" s="40" t="s">
        <v>907</v>
      </c>
      <c r="AF54" s="10">
        <f>TRUNC(자재조서!E51*$AD54/100,0)</f>
        <v>663497</v>
      </c>
      <c r="AG54" s="40" t="s">
        <v>1545</v>
      </c>
      <c r="AH54" s="9">
        <f>$AF54</f>
        <v>663497</v>
      </c>
    </row>
    <row r="55" spans="1:34" ht="18.399999999999999" customHeight="1" x14ac:dyDescent="0.15">
      <c r="A55" s="42" t="s">
        <v>2859</v>
      </c>
      <c r="B55" s="36"/>
      <c r="C55" s="36"/>
      <c r="D55" s="36"/>
      <c r="E55" s="36"/>
      <c r="F55" s="47"/>
      <c r="K55" s="3" t="s">
        <v>2859</v>
      </c>
    </row>
    <row r="56" spans="1:34" ht="18.399999999999999" customHeight="1" x14ac:dyDescent="0.15">
      <c r="A56" s="42" t="s">
        <v>2485</v>
      </c>
      <c r="B56" s="37">
        <f>SUM($C56,$D56,$E56)</f>
        <v>663497</v>
      </c>
      <c r="C56" s="37">
        <f>$AB56</f>
        <v>0</v>
      </c>
      <c r="D56" s="37">
        <f>$AD56</f>
        <v>0</v>
      </c>
      <c r="E56" s="37">
        <f>$AF56</f>
        <v>663497</v>
      </c>
      <c r="F56" s="48"/>
      <c r="K56" s="3" t="s">
        <v>1182</v>
      </c>
      <c r="AE56" s="39" t="s">
        <v>2609</v>
      </c>
      <c r="AF56" s="9">
        <f>$AH54</f>
        <v>663497</v>
      </c>
    </row>
    <row r="57" spans="1:34" ht="18.399999999999999" customHeight="1" x14ac:dyDescent="0.15">
      <c r="A57" s="42" t="s">
        <v>2859</v>
      </c>
      <c r="B57" s="36"/>
      <c r="C57" s="36"/>
      <c r="D57" s="36"/>
      <c r="E57" s="36"/>
      <c r="F57" s="47"/>
      <c r="K57" s="3" t="s">
        <v>2859</v>
      </c>
    </row>
    <row r="58" spans="1:34" ht="18.399999999999999" customHeight="1" x14ac:dyDescent="0.15">
      <c r="A58" s="42" t="s">
        <v>1869</v>
      </c>
      <c r="B58" s="36"/>
      <c r="C58" s="36"/>
      <c r="D58" s="36"/>
      <c r="E58" s="36"/>
      <c r="F58" s="47"/>
      <c r="K58" s="3" t="s">
        <v>1869</v>
      </c>
    </row>
    <row r="59" spans="1:34" ht="18.399999999999999" customHeight="1" x14ac:dyDescent="0.15">
      <c r="A59" s="42" t="s">
        <v>2859</v>
      </c>
      <c r="B59" s="36"/>
      <c r="C59" s="36"/>
      <c r="D59" s="36"/>
      <c r="E59" s="36"/>
      <c r="F59" s="47"/>
      <c r="K59" s="3" t="s">
        <v>2859</v>
      </c>
    </row>
    <row r="60" spans="1:34" ht="18.399999999999999" customHeight="1" x14ac:dyDescent="0.15">
      <c r="A60" s="42" t="s">
        <v>2240</v>
      </c>
      <c r="B60" s="36"/>
      <c r="C60" s="36"/>
      <c r="D60" s="36"/>
      <c r="E60" s="36"/>
      <c r="F60" s="47"/>
      <c r="K60" s="3" t="s">
        <v>2240</v>
      </c>
    </row>
    <row r="61" spans="1:34" ht="18.399999999999999" customHeight="1" x14ac:dyDescent="0.15">
      <c r="A61" s="42" t="s">
        <v>2859</v>
      </c>
      <c r="B61" s="36"/>
      <c r="C61" s="36"/>
      <c r="D61" s="36"/>
      <c r="E61" s="36"/>
      <c r="F61" s="47"/>
      <c r="K61" s="3" t="s">
        <v>2859</v>
      </c>
    </row>
    <row r="62" spans="1:34" ht="18.399999999999999" customHeight="1" x14ac:dyDescent="0.15">
      <c r="A62" s="42" t="s">
        <v>1944</v>
      </c>
      <c r="B62" s="36"/>
      <c r="C62" s="36"/>
      <c r="D62" s="36"/>
      <c r="E62" s="36"/>
      <c r="F62" s="47"/>
      <c r="K62" s="3" t="s">
        <v>1944</v>
      </c>
    </row>
    <row r="63" spans="1:34" ht="18.399999999999999" customHeight="1" x14ac:dyDescent="0.15">
      <c r="A63" s="42" t="s">
        <v>2859</v>
      </c>
      <c r="B63" s="36"/>
      <c r="C63" s="36"/>
      <c r="D63" s="36"/>
      <c r="E63" s="36"/>
      <c r="F63" s="47"/>
      <c r="K63" s="3" t="s">
        <v>2859</v>
      </c>
    </row>
    <row r="64" spans="1:34" ht="18.399999999999999" customHeight="1" x14ac:dyDescent="0.15">
      <c r="A64" s="44" t="str">
        <f>CONCATENATE("   경  비 :  1.0 HR *_x001D_30,103_x001D_*2=",TEXT($AB64,"#,##0.00"))</f>
        <v xml:space="preserve">   경  비 :  1.0 HR *_x001D_30,103_x001D_*2=60,206.00</v>
      </c>
      <c r="B64" s="36">
        <f>SUM($C64,$D64,$E64)</f>
        <v>60206</v>
      </c>
      <c r="C64" s="36"/>
      <c r="D64" s="36"/>
      <c r="E64" s="36">
        <f>$AB64</f>
        <v>60206</v>
      </c>
      <c r="F64" s="47" t="s">
        <v>2859</v>
      </c>
      <c r="K64" s="3" t="s">
        <v>109</v>
      </c>
      <c r="AA64" s="40" t="s">
        <v>907</v>
      </c>
      <c r="AB64" s="10">
        <f>TRUNC(1*중기사용료목록!G25*2,0)</f>
        <v>60206</v>
      </c>
      <c r="AC64" s="40" t="s">
        <v>1545</v>
      </c>
      <c r="AD64" s="9">
        <f>$AH54+$AB64</f>
        <v>723703</v>
      </c>
    </row>
    <row r="65" spans="1:32" ht="18.399999999999999" customHeight="1" x14ac:dyDescent="0.15">
      <c r="A65" s="42" t="s">
        <v>2859</v>
      </c>
      <c r="B65" s="36"/>
      <c r="C65" s="36"/>
      <c r="D65" s="36"/>
      <c r="E65" s="36"/>
      <c r="F65" s="47"/>
      <c r="K65" s="3" t="s">
        <v>2859</v>
      </c>
    </row>
    <row r="66" spans="1:32" ht="18.399999999999999" customHeight="1" x14ac:dyDescent="0.15">
      <c r="A66" s="44" t="str">
        <f>CONCATENATE("   노무비 :  1.0 HR *_x001D_56,874_x001D_*2=",TEXT($AB66,"#,##0.00"))</f>
        <v xml:space="preserve">   노무비 :  1.0 HR *_x001D_56,874_x001D_*2=113,748.00</v>
      </c>
      <c r="B66" s="36">
        <f>SUM($C66,$D66,$E66)</f>
        <v>113748</v>
      </c>
      <c r="C66" s="36"/>
      <c r="D66" s="36"/>
      <c r="E66" s="36">
        <f>$AB66</f>
        <v>113748</v>
      </c>
      <c r="F66" s="47" t="s">
        <v>2859</v>
      </c>
      <c r="K66" s="3" t="s">
        <v>161</v>
      </c>
      <c r="AA66" s="40" t="s">
        <v>907</v>
      </c>
      <c r="AB66" s="10">
        <f>TRUNC(1*중기사용료목록!F25*2,0)</f>
        <v>113748</v>
      </c>
      <c r="AC66" s="40" t="s">
        <v>1545</v>
      </c>
      <c r="AD66" s="9">
        <f>$AD64+$AB66</f>
        <v>837451</v>
      </c>
    </row>
    <row r="67" spans="1:32" ht="18.399999999999999" customHeight="1" x14ac:dyDescent="0.15">
      <c r="A67" s="42" t="s">
        <v>2859</v>
      </c>
      <c r="B67" s="36"/>
      <c r="C67" s="36"/>
      <c r="D67" s="36"/>
      <c r="E67" s="36"/>
      <c r="F67" s="47"/>
      <c r="K67" s="3" t="s">
        <v>2859</v>
      </c>
    </row>
    <row r="68" spans="1:32" ht="18.399999999999999" customHeight="1" x14ac:dyDescent="0.15">
      <c r="A68" s="44" t="str">
        <f>CONCATENATE("   재료비 :  1.0 HR *_x001D_7,341_x001D_*2=",TEXT($AB68,"#,##0.00"))</f>
        <v xml:space="preserve">   재료비 :  1.0 HR *_x001D_7,341_x001D_*2=14,682.00</v>
      </c>
      <c r="B68" s="36">
        <f>SUM($C68,$D68,$E68)</f>
        <v>14682</v>
      </c>
      <c r="C68" s="36"/>
      <c r="D68" s="36"/>
      <c r="E68" s="36">
        <f>$AB68</f>
        <v>14682</v>
      </c>
      <c r="F68" s="47" t="s">
        <v>2859</v>
      </c>
      <c r="K68" s="3" t="s">
        <v>2054</v>
      </c>
      <c r="AA68" s="40" t="s">
        <v>907</v>
      </c>
      <c r="AB68" s="10">
        <f>TRUNC(1*중기사용료목록!E25*2,0)</f>
        <v>14682</v>
      </c>
      <c r="AC68" s="40" t="s">
        <v>1545</v>
      </c>
      <c r="AD68" s="9">
        <f>$AD66+$AB68</f>
        <v>852133</v>
      </c>
    </row>
    <row r="69" spans="1:32" ht="18.399999999999999" customHeight="1" x14ac:dyDescent="0.15">
      <c r="A69" s="42" t="s">
        <v>2859</v>
      </c>
      <c r="B69" s="36"/>
      <c r="C69" s="36"/>
      <c r="D69" s="36"/>
      <c r="E69" s="36"/>
      <c r="F69" s="47"/>
      <c r="K69" s="3" t="s">
        <v>2859</v>
      </c>
    </row>
    <row r="70" spans="1:32" ht="18.399999999999999" customHeight="1" x14ac:dyDescent="0.15">
      <c r="A70" s="42" t="s">
        <v>2201</v>
      </c>
      <c r="B70" s="36"/>
      <c r="C70" s="36"/>
      <c r="D70" s="36"/>
      <c r="E70" s="36"/>
      <c r="F70" s="47"/>
      <c r="K70" s="3" t="s">
        <v>2201</v>
      </c>
    </row>
    <row r="71" spans="1:32" ht="18.399999999999999" customHeight="1" x14ac:dyDescent="0.15">
      <c r="A71" s="42" t="s">
        <v>2859</v>
      </c>
      <c r="B71" s="36"/>
      <c r="C71" s="36"/>
      <c r="D71" s="36"/>
      <c r="E71" s="36"/>
      <c r="F71" s="47"/>
      <c r="K71" s="3" t="s">
        <v>2859</v>
      </c>
    </row>
    <row r="72" spans="1:32" ht="18.399999999999999" customHeight="1" x14ac:dyDescent="0.15">
      <c r="A72" s="44" t="str">
        <f>CONCATENATE("   비 계 공 : 0.39  인 *_x001D_282,352_x001D_ * 2 =",TEXT($AB72,"#,##0.00"))</f>
        <v xml:space="preserve">   비 계 공 : 0.39  인 *_x001D_282,352_x001D_ * 2 =220,234.00</v>
      </c>
      <c r="B72" s="36">
        <f>SUM($C72,$D72,$E72)</f>
        <v>220234</v>
      </c>
      <c r="C72" s="36"/>
      <c r="D72" s="36"/>
      <c r="E72" s="36">
        <f>$AB72</f>
        <v>220234</v>
      </c>
      <c r="F72" s="47" t="s">
        <v>2859</v>
      </c>
      <c r="K72" s="3" t="s">
        <v>1925</v>
      </c>
      <c r="AA72" s="40" t="s">
        <v>907</v>
      </c>
      <c r="AB72" s="10">
        <f>TRUNC(0.39*(노임!D6*전역변수!C34)*2,0)</f>
        <v>220234</v>
      </c>
      <c r="AC72" s="40" t="s">
        <v>1545</v>
      </c>
      <c r="AD72" s="9">
        <f>$AD68+$AB72</f>
        <v>1072367</v>
      </c>
    </row>
    <row r="73" spans="1:32" ht="18.399999999999999" customHeight="1" x14ac:dyDescent="0.15">
      <c r="A73" s="42" t="s">
        <v>2859</v>
      </c>
      <c r="B73" s="36"/>
      <c r="C73" s="36"/>
      <c r="D73" s="36"/>
      <c r="E73" s="36"/>
      <c r="F73" s="47"/>
      <c r="K73" s="3" t="s">
        <v>2859</v>
      </c>
    </row>
    <row r="74" spans="1:32" ht="18.399999999999999" customHeight="1" x14ac:dyDescent="0.15">
      <c r="A74" s="44" t="str">
        <f>CONCATENATE("   특별인부 : 0.19 인 *_x001D_219,321_x001D_ * 2 =",TEXT($AB74,"#,##0.00"))</f>
        <v xml:space="preserve">   특별인부 : 0.19 인 *_x001D_219,321_x001D_ * 2 =83,341.00</v>
      </c>
      <c r="B74" s="36">
        <f>SUM($C74,$D74,$E74)</f>
        <v>83341</v>
      </c>
      <c r="C74" s="36"/>
      <c r="D74" s="36"/>
      <c r="E74" s="36">
        <f>$AB74</f>
        <v>83341</v>
      </c>
      <c r="F74" s="47" t="s">
        <v>2859</v>
      </c>
      <c r="K74" s="3" t="s">
        <v>2498</v>
      </c>
      <c r="AA74" s="40" t="s">
        <v>907</v>
      </c>
      <c r="AB74" s="10">
        <f>TRUNC(0.19*(노임!D12*전역변수!C34)*2,0)</f>
        <v>83341</v>
      </c>
      <c r="AC74" s="40" t="s">
        <v>1545</v>
      </c>
      <c r="AD74" s="9">
        <f>$AD72+$AB74</f>
        <v>1155708</v>
      </c>
    </row>
    <row r="75" spans="1:32" ht="18.399999999999999" customHeight="1" x14ac:dyDescent="0.15">
      <c r="A75" s="42" t="s">
        <v>2859</v>
      </c>
      <c r="B75" s="36"/>
      <c r="C75" s="36"/>
      <c r="D75" s="36"/>
      <c r="E75" s="36"/>
      <c r="F75" s="47"/>
      <c r="K75" s="3" t="s">
        <v>2859</v>
      </c>
    </row>
    <row r="76" spans="1:32" ht="18.399999999999999" customHeight="1" x14ac:dyDescent="0.15">
      <c r="A76" s="42" t="s">
        <v>2485</v>
      </c>
      <c r="B76" s="37">
        <f>SUM($C76,$D76,$E76)</f>
        <v>492211</v>
      </c>
      <c r="C76" s="37">
        <f>$AB76</f>
        <v>0</v>
      </c>
      <c r="D76" s="37">
        <f>$AD76</f>
        <v>0</v>
      </c>
      <c r="E76" s="37">
        <f>$AF76</f>
        <v>492211</v>
      </c>
      <c r="F76" s="48"/>
      <c r="K76" s="3" t="s">
        <v>1182</v>
      </c>
      <c r="AE76" s="39" t="s">
        <v>2609</v>
      </c>
      <c r="AF76" s="9">
        <f>$AD74-$AH54</f>
        <v>492211</v>
      </c>
    </row>
    <row r="77" spans="1:32" ht="18.399999999999999" customHeight="1" x14ac:dyDescent="0.15">
      <c r="A77" s="42"/>
      <c r="B77" s="3"/>
      <c r="C77" s="3"/>
      <c r="D77" s="3"/>
      <c r="E77" s="3"/>
      <c r="F77" s="46"/>
    </row>
    <row r="78" spans="1:32" ht="18.399999999999999" customHeight="1" thickBot="1" x14ac:dyDescent="0.2">
      <c r="A78" s="45" t="s">
        <v>1643</v>
      </c>
      <c r="B78" s="38">
        <f>SUM($C78,$D78,$E78)</f>
        <v>1155708</v>
      </c>
      <c r="C78" s="38">
        <v>0</v>
      </c>
      <c r="D78" s="38">
        <v>0</v>
      </c>
      <c r="E78" s="38">
        <f>TRUNC(SUM($AD74),0)</f>
        <v>1155708</v>
      </c>
      <c r="F78" s="49"/>
    </row>
    <row r="79" spans="1:32" ht="18.399999999999999" customHeight="1" x14ac:dyDescent="0.15">
      <c r="A79" s="42"/>
      <c r="B79" s="3"/>
      <c r="C79" s="3"/>
      <c r="D79" s="3"/>
      <c r="E79" s="3"/>
      <c r="F79" s="46"/>
    </row>
    <row r="80" spans="1:32" ht="18.399999999999999" customHeight="1" thickBot="1" x14ac:dyDescent="0.2">
      <c r="A80" s="42" t="s">
        <v>967</v>
      </c>
      <c r="B80" s="36">
        <f>$B163</f>
        <v>72375</v>
      </c>
      <c r="C80" s="36">
        <v>0</v>
      </c>
      <c r="D80" s="36">
        <v>0</v>
      </c>
      <c r="E80" s="36">
        <f>$E163</f>
        <v>72375</v>
      </c>
      <c r="F80" s="46" t="s">
        <v>2859</v>
      </c>
      <c r="G80" t="s">
        <v>2859</v>
      </c>
      <c r="H80" t="s">
        <v>764</v>
      </c>
      <c r="K80">
        <v>1</v>
      </c>
      <c r="Y80" s="9" t="b">
        <f>EXACT($Z80,$B163)</f>
        <v>1</v>
      </c>
      <c r="Z80" s="38">
        <v>72375</v>
      </c>
    </row>
    <row r="81" spans="1:30" ht="18.399999999999999" customHeight="1" x14ac:dyDescent="0.15">
      <c r="A81" s="43"/>
      <c r="B81" s="3"/>
      <c r="C81" s="3"/>
      <c r="D81" s="3"/>
      <c r="E81" s="3"/>
      <c r="F81" s="46"/>
    </row>
    <row r="82" spans="1:30" ht="18.399999999999999" customHeight="1" x14ac:dyDescent="0.15">
      <c r="A82" s="42" t="s">
        <v>2859</v>
      </c>
      <c r="B82" s="3"/>
      <c r="C82" s="3"/>
      <c r="D82" s="3"/>
      <c r="E82" s="3"/>
      <c r="F82" s="46"/>
      <c r="G82" t="s">
        <v>2859</v>
      </c>
      <c r="H82" t="s">
        <v>782</v>
      </c>
      <c r="I82" t="s">
        <v>322</v>
      </c>
      <c r="J82" t="s">
        <v>1832</v>
      </c>
      <c r="K82" t="s">
        <v>2417</v>
      </c>
    </row>
    <row r="83" spans="1:30" ht="18.399999999999999" customHeight="1" x14ac:dyDescent="0.15">
      <c r="A83" s="42" t="s">
        <v>2859</v>
      </c>
      <c r="B83" s="36"/>
      <c r="C83" s="36"/>
      <c r="D83" s="36"/>
      <c r="E83" s="36"/>
      <c r="F83" s="47"/>
      <c r="K83" s="3" t="s">
        <v>2859</v>
      </c>
    </row>
    <row r="84" spans="1:30" ht="18.399999999999999" customHeight="1" x14ac:dyDescent="0.15">
      <c r="A84" s="42" t="s">
        <v>1346</v>
      </c>
      <c r="B84" s="36"/>
      <c r="C84" s="36"/>
      <c r="D84" s="36"/>
      <c r="E84" s="36"/>
      <c r="F84" s="47"/>
      <c r="K84" s="3" t="s">
        <v>1346</v>
      </c>
    </row>
    <row r="85" spans="1:30" ht="18.399999999999999" customHeight="1" x14ac:dyDescent="0.15">
      <c r="A85" s="42" t="s">
        <v>2859</v>
      </c>
      <c r="B85" s="36"/>
      <c r="C85" s="36"/>
      <c r="D85" s="36"/>
      <c r="E85" s="36"/>
      <c r="F85" s="47"/>
      <c r="K85" s="3" t="s">
        <v>2859</v>
      </c>
    </row>
    <row r="86" spans="1:30" ht="18.399999999999999" customHeight="1" x14ac:dyDescent="0.15">
      <c r="A86" s="44" t="str">
        <f>CONCATENATE("   -EGI철판(550X2400) :  _x001D_31,200_x001D_ * 2 매 * 0.25 =",TEXT($AB86,"#,##0.00"))</f>
        <v xml:space="preserve">   -EGI철판(550X2400) :  _x001D_31,200_x001D_ * 2 매 * 0.25 =15,600.00</v>
      </c>
      <c r="B86" s="36">
        <f>SUM($C86,$D86,$E86)</f>
        <v>15600</v>
      </c>
      <c r="C86" s="36"/>
      <c r="D86" s="36"/>
      <c r="E86" s="36">
        <f>$AB86</f>
        <v>15600</v>
      </c>
      <c r="F86" s="47" t="s">
        <v>2859</v>
      </c>
      <c r="K86" s="3" t="s">
        <v>574</v>
      </c>
      <c r="AA86" s="40" t="s">
        <v>907</v>
      </c>
      <c r="AB86" s="10">
        <f>TRUNC(자재조서!E69*2*0.25,0)</f>
        <v>15600</v>
      </c>
      <c r="AC86" s="40" t="s">
        <v>1545</v>
      </c>
      <c r="AD86" s="9">
        <f>$AB86</f>
        <v>15600</v>
      </c>
    </row>
    <row r="87" spans="1:30" ht="18.399999999999999" customHeight="1" x14ac:dyDescent="0.15">
      <c r="A87" s="42" t="s">
        <v>2859</v>
      </c>
      <c r="B87" s="36"/>
      <c r="C87" s="36"/>
      <c r="D87" s="36"/>
      <c r="E87" s="36"/>
      <c r="F87" s="47"/>
      <c r="K87" s="3" t="s">
        <v>2859</v>
      </c>
    </row>
    <row r="88" spans="1:30" ht="18.399999999999999" customHeight="1" x14ac:dyDescent="0.15">
      <c r="A88" s="44" t="str">
        <f>CONCATENATE("   -강관파이프(Φ48.6):  _x001D_3,333_x001D_ * 14.2 M * 0.1 =",TEXT($AB88,"#,##0.00"))</f>
        <v xml:space="preserve">   -강관파이프(Φ48.6):  _x001D_3,333_x001D_ * 14.2 M * 0.1 =4,732.00</v>
      </c>
      <c r="B88" s="36">
        <f>SUM($C88,$D88,$E88)</f>
        <v>4732</v>
      </c>
      <c r="C88" s="36"/>
      <c r="D88" s="36"/>
      <c r="E88" s="36">
        <f>$AB88</f>
        <v>4732</v>
      </c>
      <c r="F88" s="47" t="s">
        <v>2859</v>
      </c>
      <c r="K88" s="3" t="s">
        <v>1029</v>
      </c>
      <c r="AA88" s="40" t="s">
        <v>907</v>
      </c>
      <c r="AB88" s="10">
        <f>TRUNC(자재조서!E10*14.2*0.1,0)</f>
        <v>4732</v>
      </c>
      <c r="AC88" s="40" t="s">
        <v>1545</v>
      </c>
      <c r="AD88" s="9">
        <f>$AD86+$AB88</f>
        <v>20332</v>
      </c>
    </row>
    <row r="89" spans="1:30" ht="18.399999999999999" customHeight="1" x14ac:dyDescent="0.15">
      <c r="A89" s="42" t="s">
        <v>2859</v>
      </c>
      <c r="B89" s="36"/>
      <c r="C89" s="36"/>
      <c r="D89" s="36"/>
      <c r="E89" s="36"/>
      <c r="F89" s="47"/>
      <c r="K89" s="3" t="s">
        <v>2859</v>
      </c>
    </row>
    <row r="90" spans="1:30" ht="18.399999999999999" customHeight="1" x14ac:dyDescent="0.15">
      <c r="A90" s="44" t="str">
        <f>CONCATENATE("   -클램프(자동)      :  _x001D_1,713_x001D_ * 0.56 EA * 0.1=",TEXT($AB90,"#,##0.00"))</f>
        <v xml:space="preserve">   -클램프(자동)      :  _x001D_1,713_x001D_ * 0.56 EA * 0.1=95.00</v>
      </c>
      <c r="B90" s="36">
        <f>SUM($C90,$D90,$E90)</f>
        <v>95</v>
      </c>
      <c r="C90" s="36"/>
      <c r="D90" s="36"/>
      <c r="E90" s="36">
        <f>$AB90</f>
        <v>95</v>
      </c>
      <c r="F90" s="47" t="s">
        <v>2859</v>
      </c>
      <c r="K90" s="3" t="s">
        <v>1506</v>
      </c>
      <c r="AA90" s="40" t="s">
        <v>907</v>
      </c>
      <c r="AB90" s="10">
        <f>TRUNC(자재조서!E70*0.56*0.1,0)</f>
        <v>95</v>
      </c>
      <c r="AC90" s="40" t="s">
        <v>1545</v>
      </c>
      <c r="AD90" s="9">
        <f>$AD88+$AB90</f>
        <v>20427</v>
      </c>
    </row>
    <row r="91" spans="1:30" ht="18.399999999999999" customHeight="1" x14ac:dyDescent="0.15">
      <c r="A91" s="42" t="s">
        <v>2859</v>
      </c>
      <c r="B91" s="36"/>
      <c r="C91" s="36"/>
      <c r="D91" s="36"/>
      <c r="E91" s="36"/>
      <c r="F91" s="47"/>
      <c r="K91" s="3" t="s">
        <v>2859</v>
      </c>
    </row>
    <row r="92" spans="1:30" ht="18.399999999999999" customHeight="1" x14ac:dyDescent="0.15">
      <c r="A92" s="44" t="str">
        <f>CONCATENATE("   -클램프(고정)      :  _x001D_1,713_x001D_ * 4.52 EA  * 0.1=",TEXT($AB92,"#,##0.00"))</f>
        <v xml:space="preserve">   -클램프(고정)      :  _x001D_1,713_x001D_ * 4.52 EA  * 0.1=774.00</v>
      </c>
      <c r="B92" s="36">
        <f>SUM($C92,$D92,$E92)</f>
        <v>774</v>
      </c>
      <c r="C92" s="36"/>
      <c r="D92" s="36"/>
      <c r="E92" s="36">
        <f>$AB92</f>
        <v>774</v>
      </c>
      <c r="F92" s="47" t="s">
        <v>2859</v>
      </c>
      <c r="K92" s="3" t="s">
        <v>393</v>
      </c>
      <c r="AA92" s="40" t="s">
        <v>907</v>
      </c>
      <c r="AB92" s="10">
        <f>TRUNC(자재조서!E71*4.52*0.1,0)</f>
        <v>774</v>
      </c>
      <c r="AC92" s="40" t="s">
        <v>1545</v>
      </c>
      <c r="AD92" s="9">
        <f>$AD90+$AB92</f>
        <v>21201</v>
      </c>
    </row>
    <row r="93" spans="1:30" ht="18.399999999999999" customHeight="1" x14ac:dyDescent="0.15">
      <c r="A93" s="42" t="s">
        <v>2859</v>
      </c>
      <c r="B93" s="36"/>
      <c r="C93" s="36"/>
      <c r="D93" s="36"/>
      <c r="E93" s="36"/>
      <c r="F93" s="47"/>
      <c r="K93" s="3" t="s">
        <v>2859</v>
      </c>
    </row>
    <row r="94" spans="1:30" ht="18.399999999999999" customHeight="1" x14ac:dyDescent="0.15">
      <c r="A94" s="44" t="str">
        <f>CONCATENATE("   -연결핀            :  _x001D_1,100_x001D_ * 1.12 EA * 0.1=",TEXT($AB94,"#,##0.00"))</f>
        <v xml:space="preserve">   -연결핀            :  _x001D_1,100_x001D_ * 1.12 EA * 0.1=123.00</v>
      </c>
      <c r="B94" s="36">
        <f>SUM($C94,$D94,$E94)</f>
        <v>123</v>
      </c>
      <c r="C94" s="36"/>
      <c r="D94" s="36"/>
      <c r="E94" s="36">
        <f>$AB94</f>
        <v>123</v>
      </c>
      <c r="F94" s="47" t="s">
        <v>2859</v>
      </c>
      <c r="K94" s="3" t="s">
        <v>2342</v>
      </c>
      <c r="AA94" s="40" t="s">
        <v>907</v>
      </c>
      <c r="AB94" s="10">
        <f>TRUNC(자재조서!E19*1.12*0.1,0)</f>
        <v>123</v>
      </c>
      <c r="AC94" s="40" t="s">
        <v>1545</v>
      </c>
      <c r="AD94" s="9">
        <f>$AD92+$AB94</f>
        <v>21324</v>
      </c>
    </row>
    <row r="95" spans="1:30" ht="18.399999999999999" customHeight="1" x14ac:dyDescent="0.15">
      <c r="A95" s="42" t="s">
        <v>2859</v>
      </c>
      <c r="B95" s="36"/>
      <c r="C95" s="36"/>
      <c r="D95" s="36"/>
      <c r="E95" s="36"/>
      <c r="F95" s="47"/>
      <c r="K95" s="3" t="s">
        <v>2859</v>
      </c>
    </row>
    <row r="96" spans="1:30" ht="18.399999999999999" customHeight="1" x14ac:dyDescent="0.15">
      <c r="A96" s="44" t="str">
        <f>CONCATENATE("   -볼트/너트         :  _x001D_214_x001D_ * 26.66 EA =",TEXT($AB96,"#,##0.00"))</f>
        <v xml:space="preserve">   -볼트/너트         :  _x001D_214_x001D_ * 26.66 EA =5,705.00</v>
      </c>
      <c r="B96" s="36">
        <f>SUM($C96,$D96,$E96)</f>
        <v>5705</v>
      </c>
      <c r="C96" s="36"/>
      <c r="D96" s="36"/>
      <c r="E96" s="36">
        <f>$AB96</f>
        <v>5705</v>
      </c>
      <c r="F96" s="47" t="s">
        <v>2859</v>
      </c>
      <c r="K96" s="3" t="s">
        <v>7</v>
      </c>
      <c r="AA96" s="40" t="s">
        <v>907</v>
      </c>
      <c r="AB96" s="10">
        <f>TRUNC(자재조서!E72*26.66,0)</f>
        <v>5705</v>
      </c>
      <c r="AC96" s="40" t="s">
        <v>1545</v>
      </c>
      <c r="AD96" s="9">
        <f>$AD94+$AB96</f>
        <v>27029</v>
      </c>
    </row>
    <row r="97" spans="1:34" ht="18.399999999999999" customHeight="1" x14ac:dyDescent="0.15">
      <c r="A97" s="42" t="s">
        <v>2859</v>
      </c>
      <c r="B97" s="36"/>
      <c r="C97" s="36"/>
      <c r="D97" s="36"/>
      <c r="E97" s="36"/>
      <c r="F97" s="47"/>
      <c r="K97" s="3" t="s">
        <v>2859</v>
      </c>
    </row>
    <row r="98" spans="1:34" ht="18.399999999999999" customHeight="1" x14ac:dyDescent="0.15">
      <c r="A98" s="44" t="str">
        <f>CONCATENATE("   -분진망            :  _x001D_2,000_x001D_ * 1 m2 =",TEXT($AB98,"#,##0.00"))</f>
        <v xml:space="preserve">   -분진망            :  _x001D_2,000_x001D_ * 1 m2 =2,000.00</v>
      </c>
      <c r="B98" s="36">
        <f>SUM($C98,$D98,$E98)</f>
        <v>2000</v>
      </c>
      <c r="C98" s="36"/>
      <c r="D98" s="36"/>
      <c r="E98" s="36">
        <f>$AB98</f>
        <v>2000</v>
      </c>
      <c r="F98" s="47" t="s">
        <v>2859</v>
      </c>
      <c r="K98" s="3" t="s">
        <v>971</v>
      </c>
      <c r="AA98" s="40" t="s">
        <v>907</v>
      </c>
      <c r="AB98" s="10">
        <f>TRUNC(자재조서!E73*1,0)</f>
        <v>2000</v>
      </c>
      <c r="AC98" s="40" t="s">
        <v>1545</v>
      </c>
      <c r="AD98" s="9">
        <f>$AD96+$AB98</f>
        <v>29029</v>
      </c>
    </row>
    <row r="99" spans="1:34" ht="18.399999999999999" customHeight="1" x14ac:dyDescent="0.15">
      <c r="A99" s="42" t="s">
        <v>2859</v>
      </c>
      <c r="B99" s="36"/>
      <c r="C99" s="36"/>
      <c r="D99" s="36"/>
      <c r="E99" s="36"/>
      <c r="F99" s="47"/>
      <c r="K99" s="3" t="s">
        <v>2859</v>
      </c>
    </row>
    <row r="100" spans="1:34" ht="18.399999999999999" customHeight="1" x14ac:dyDescent="0.15">
      <c r="A100" s="42" t="s">
        <v>2141</v>
      </c>
      <c r="B100" s="36"/>
      <c r="C100" s="36"/>
      <c r="D100" s="36"/>
      <c r="E100" s="36"/>
      <c r="F100" s="47"/>
      <c r="K100" s="3" t="s">
        <v>2141</v>
      </c>
    </row>
    <row r="101" spans="1:34" ht="18.399999999999999" customHeight="1" x14ac:dyDescent="0.15">
      <c r="A101" s="42" t="s">
        <v>2859</v>
      </c>
      <c r="B101" s="36"/>
      <c r="C101" s="36"/>
      <c r="D101" s="36"/>
      <c r="E101" s="36"/>
      <c r="F101" s="47"/>
      <c r="K101" s="3" t="s">
        <v>2859</v>
      </c>
    </row>
    <row r="102" spans="1:34" ht="18.399999999999999" customHeight="1" x14ac:dyDescent="0.15">
      <c r="A102" s="42" t="s">
        <v>394</v>
      </c>
      <c r="B102" s="36"/>
      <c r="C102" s="36"/>
      <c r="D102" s="36"/>
      <c r="E102" s="36"/>
      <c r="F102" s="47"/>
      <c r="K102" s="3" t="s">
        <v>394</v>
      </c>
    </row>
    <row r="103" spans="1:34" ht="18.399999999999999" customHeight="1" x14ac:dyDescent="0.15">
      <c r="A103" s="42" t="s">
        <v>2859</v>
      </c>
      <c r="B103" s="36"/>
      <c r="C103" s="36"/>
      <c r="D103" s="36"/>
      <c r="E103" s="36"/>
      <c r="F103" s="47"/>
      <c r="K103" s="3" t="s">
        <v>2859</v>
      </c>
    </row>
    <row r="104" spans="1:34" ht="18.399999999999999" customHeight="1" x14ac:dyDescent="0.15">
      <c r="A104" s="42" t="s">
        <v>732</v>
      </c>
      <c r="B104" s="36"/>
      <c r="C104" s="36"/>
      <c r="D104" s="36"/>
      <c r="E104" s="36"/>
      <c r="F104" s="47"/>
      <c r="K104" s="3" t="s">
        <v>732</v>
      </c>
    </row>
    <row r="105" spans="1:34" ht="18.399999999999999" customHeight="1" x14ac:dyDescent="0.15">
      <c r="A105" s="42" t="s">
        <v>2859</v>
      </c>
      <c r="B105" s="36"/>
      <c r="C105" s="36"/>
      <c r="D105" s="36"/>
      <c r="E105" s="36"/>
      <c r="F105" s="47"/>
      <c r="K105" s="3" t="s">
        <v>2859</v>
      </c>
    </row>
    <row r="106" spans="1:34" ht="18.399999999999999" customHeight="1" x14ac:dyDescent="0.15">
      <c r="A106" s="44" t="str">
        <f>CONCATENATE("    비   계  공:  0.046 인  * _x001D_282,352_x001D_ = ",TEXT($AB106,"#,##0.00"))</f>
        <v xml:space="preserve">    비   계  공:  0.046 인  * _x001D_282,352_x001D_ = 12,988.00</v>
      </c>
      <c r="B106" s="36">
        <f>SUM($C106,$D106,$E106)</f>
        <v>12988</v>
      </c>
      <c r="C106" s="36"/>
      <c r="D106" s="36">
        <f>$AB106</f>
        <v>12988</v>
      </c>
      <c r="E106" s="36"/>
      <c r="F106" s="47" t="s">
        <v>2859</v>
      </c>
      <c r="K106" s="3" t="s">
        <v>2442</v>
      </c>
      <c r="AA106" s="40" t="s">
        <v>287</v>
      </c>
      <c r="AB106" s="10">
        <f>TRUNC(0.046*(노임!D6*전역변수!C34),0)</f>
        <v>12988</v>
      </c>
      <c r="AC106" s="40" t="s">
        <v>1141</v>
      </c>
      <c r="AD106" s="9">
        <f>$AB106</f>
        <v>12988</v>
      </c>
      <c r="AE106" s="40" t="s">
        <v>1938</v>
      </c>
      <c r="AF106" s="10">
        <f>$AB106</f>
        <v>12988</v>
      </c>
      <c r="AG106" s="40" t="s">
        <v>2672</v>
      </c>
      <c r="AH106" s="9">
        <f>$AF106</f>
        <v>12988</v>
      </c>
    </row>
    <row r="107" spans="1:34" ht="18.399999999999999" customHeight="1" x14ac:dyDescent="0.15">
      <c r="A107" s="44" t="str">
        <f>CONCATENATE("    보 통 인 부:  0.016 인  * _x001D_167,081_x001D_ = ",TEXT($AB107,"#,##0.00"))</f>
        <v xml:space="preserve">    보 통 인 부:  0.016 인  * _x001D_167,081_x001D_ = 2,673.00</v>
      </c>
      <c r="B107" s="36">
        <f>SUM($C107,$D107,$E107)</f>
        <v>2673</v>
      </c>
      <c r="C107" s="36"/>
      <c r="D107" s="36">
        <f>$AB107</f>
        <v>2673</v>
      </c>
      <c r="E107" s="36"/>
      <c r="F107" s="47" t="s">
        <v>2859</v>
      </c>
      <c r="K107" s="3" t="s">
        <v>1518</v>
      </c>
      <c r="AA107" s="40" t="s">
        <v>287</v>
      </c>
      <c r="AB107" s="10">
        <f>TRUNC(0.016*(노임!D13*전역변수!C34),0)</f>
        <v>2673</v>
      </c>
      <c r="AC107" s="40" t="s">
        <v>1141</v>
      </c>
      <c r="AD107" s="9">
        <f>$AD106+$AB107</f>
        <v>15661</v>
      </c>
      <c r="AE107" s="40" t="s">
        <v>1430</v>
      </c>
      <c r="AF107" s="10">
        <f>$AB107</f>
        <v>2673</v>
      </c>
      <c r="AG107" s="40" t="s">
        <v>6</v>
      </c>
      <c r="AH107" s="9">
        <f>$AF107</f>
        <v>2673</v>
      </c>
    </row>
    <row r="108" spans="1:34" ht="18.399999999999999" customHeight="1" x14ac:dyDescent="0.15">
      <c r="A108" s="42" t="s">
        <v>2859</v>
      </c>
      <c r="B108" s="36"/>
      <c r="C108" s="36"/>
      <c r="D108" s="36"/>
      <c r="E108" s="36"/>
      <c r="F108" s="47"/>
      <c r="K108" s="3" t="s">
        <v>2859</v>
      </c>
    </row>
    <row r="109" spans="1:34" ht="18.399999999999999" customHeight="1" x14ac:dyDescent="0.15">
      <c r="A109" s="42" t="s">
        <v>2544</v>
      </c>
      <c r="B109" s="36"/>
      <c r="C109" s="36"/>
      <c r="D109" s="36"/>
      <c r="E109" s="36"/>
      <c r="F109" s="47"/>
      <c r="K109" s="3" t="s">
        <v>2544</v>
      </c>
    </row>
    <row r="110" spans="1:34" ht="18.399999999999999" customHeight="1" x14ac:dyDescent="0.15">
      <c r="A110" s="42" t="s">
        <v>2859</v>
      </c>
      <c r="B110" s="36"/>
      <c r="C110" s="36"/>
      <c r="D110" s="36"/>
      <c r="E110" s="36"/>
      <c r="F110" s="47"/>
      <c r="K110" s="3" t="s">
        <v>2859</v>
      </c>
    </row>
    <row r="111" spans="1:34" ht="18.399999999999999" customHeight="1" x14ac:dyDescent="0.15">
      <c r="A111" s="44" t="str">
        <f>CONCATENATE("    재  료  비 :   _x001D_8,409_x001D_ * 0.035 = ",TEXT($AB111,"#,##0.00"))</f>
        <v xml:space="preserve">    재  료  비 :   _x001D_8,409_x001D_ * 0.035 = 294.00</v>
      </c>
      <c r="B111" s="36">
        <f>SUM($C111,$D111,$E111)</f>
        <v>294</v>
      </c>
      <c r="C111" s="36">
        <f>$AB111</f>
        <v>294</v>
      </c>
      <c r="D111" s="36"/>
      <c r="E111" s="36"/>
      <c r="F111" s="47" t="s">
        <v>2859</v>
      </c>
      <c r="K111" s="3" t="s">
        <v>2173</v>
      </c>
      <c r="AA111" s="40" t="s">
        <v>2113</v>
      </c>
      <c r="AB111" s="10">
        <f>TRUNC(중기사용료목록!E5*0.035,0)</f>
        <v>294</v>
      </c>
      <c r="AC111" s="40" t="s">
        <v>2372</v>
      </c>
      <c r="AD111" s="9">
        <f>$AB111</f>
        <v>294</v>
      </c>
    </row>
    <row r="112" spans="1:34" ht="18.399999999999999" customHeight="1" x14ac:dyDescent="0.15">
      <c r="A112" s="44" t="str">
        <f>CONCATENATE("    노  무  비 :   _x001D_56,874_x001D_ * 0.035 = ",TEXT($AB112,"#,##0.00"))</f>
        <v xml:space="preserve">    노  무  비 :   _x001D_56,874_x001D_ * 0.035 = 1,990.00</v>
      </c>
      <c r="B112" s="36">
        <f>SUM($C112,$D112,$E112)</f>
        <v>1990</v>
      </c>
      <c r="C112" s="36"/>
      <c r="D112" s="36">
        <f>$AB112</f>
        <v>1990</v>
      </c>
      <c r="E112" s="36"/>
      <c r="F112" s="47" t="s">
        <v>2859</v>
      </c>
      <c r="K112" s="3" t="s">
        <v>2456</v>
      </c>
      <c r="AA112" s="40" t="s">
        <v>287</v>
      </c>
      <c r="AB112" s="10">
        <f>TRUNC(중기사용료목록!F5*0.035,0)</f>
        <v>1990</v>
      </c>
      <c r="AC112" s="40" t="s">
        <v>1141</v>
      </c>
      <c r="AD112" s="9">
        <f>$AD107+$AB112</f>
        <v>17651</v>
      </c>
    </row>
    <row r="113" spans="1:34" ht="18.399999999999999" customHeight="1" x14ac:dyDescent="0.15">
      <c r="A113" s="44" t="str">
        <f>CONCATENATE("    경      비 :   _x001D_56,874_x001D_ * 0.035 = ",TEXT($AB113,"#,##0.00"))</f>
        <v xml:space="preserve">    경      비 :   _x001D_56,874_x001D_ * 0.035 = 1,990.00</v>
      </c>
      <c r="B113" s="36">
        <f>SUM($C113,$D113,$E113)</f>
        <v>1990</v>
      </c>
      <c r="C113" s="36"/>
      <c r="D113" s="36">
        <f>$AB113</f>
        <v>1990</v>
      </c>
      <c r="E113" s="36"/>
      <c r="F113" s="47" t="s">
        <v>2859</v>
      </c>
      <c r="K113" s="3" t="s">
        <v>2433</v>
      </c>
      <c r="AA113" s="40" t="s">
        <v>287</v>
      </c>
      <c r="AB113" s="10">
        <f>TRUNC(중기사용료목록!F5*0.035,0)</f>
        <v>1990</v>
      </c>
      <c r="AC113" s="40" t="s">
        <v>1141</v>
      </c>
      <c r="AD113" s="9">
        <f>$AD112+$AB113</f>
        <v>19641</v>
      </c>
    </row>
    <row r="114" spans="1:34" ht="18.399999999999999" customHeight="1" x14ac:dyDescent="0.15">
      <c r="A114" s="42" t="s">
        <v>2859</v>
      </c>
      <c r="B114" s="36"/>
      <c r="C114" s="36"/>
      <c r="D114" s="36"/>
      <c r="E114" s="36"/>
      <c r="F114" s="47"/>
      <c r="K114" s="3" t="s">
        <v>2859</v>
      </c>
    </row>
    <row r="115" spans="1:34" ht="18.399999999999999" customHeight="1" x14ac:dyDescent="0.15">
      <c r="A115" s="42" t="s">
        <v>1273</v>
      </c>
      <c r="B115" s="37">
        <f>SUM($C115,$D115,$E115)</f>
        <v>48964</v>
      </c>
      <c r="C115" s="37">
        <f>$AB115</f>
        <v>294</v>
      </c>
      <c r="D115" s="37">
        <f>$AD115</f>
        <v>19641</v>
      </c>
      <c r="E115" s="37">
        <f>$AF115</f>
        <v>29029</v>
      </c>
      <c r="F115" s="48"/>
      <c r="K115" s="3" t="s">
        <v>1603</v>
      </c>
      <c r="AA115" s="39" t="s">
        <v>2032</v>
      </c>
      <c r="AB115" s="9">
        <f>$AD111</f>
        <v>294</v>
      </c>
      <c r="AC115" s="39" t="s">
        <v>72</v>
      </c>
      <c r="AD115" s="9">
        <f>$AD113</f>
        <v>19641</v>
      </c>
      <c r="AE115" s="39" t="s">
        <v>2609</v>
      </c>
      <c r="AF115" s="9">
        <f>$AD98</f>
        <v>29029</v>
      </c>
    </row>
    <row r="116" spans="1:34" ht="18.399999999999999" customHeight="1" x14ac:dyDescent="0.15">
      <c r="A116" s="42" t="s">
        <v>2859</v>
      </c>
      <c r="B116" s="36"/>
      <c r="C116" s="36"/>
      <c r="D116" s="36"/>
      <c r="E116" s="36"/>
      <c r="F116" s="47"/>
      <c r="K116" s="3" t="s">
        <v>2859</v>
      </c>
    </row>
    <row r="117" spans="1:34" ht="18.399999999999999" customHeight="1" x14ac:dyDescent="0.15">
      <c r="A117" s="42" t="s">
        <v>1716</v>
      </c>
      <c r="B117" s="36"/>
      <c r="C117" s="36"/>
      <c r="D117" s="36"/>
      <c r="E117" s="36"/>
      <c r="F117" s="47"/>
      <c r="K117" s="3" t="s">
        <v>1716</v>
      </c>
    </row>
    <row r="118" spans="1:34" ht="18.399999999999999" customHeight="1" x14ac:dyDescent="0.15">
      <c r="A118" s="42" t="s">
        <v>2859</v>
      </c>
      <c r="B118" s="36"/>
      <c r="C118" s="36"/>
      <c r="D118" s="36"/>
      <c r="E118" s="36"/>
      <c r="F118" s="47"/>
      <c r="K118" s="3" t="s">
        <v>2859</v>
      </c>
    </row>
    <row r="119" spans="1:34" ht="18.399999999999999" customHeight="1" x14ac:dyDescent="0.15">
      <c r="A119" s="42" t="s">
        <v>732</v>
      </c>
      <c r="B119" s="36"/>
      <c r="C119" s="36"/>
      <c r="D119" s="36"/>
      <c r="E119" s="36"/>
      <c r="F119" s="47"/>
      <c r="K119" s="3" t="s">
        <v>732</v>
      </c>
    </row>
    <row r="120" spans="1:34" ht="18.399999999999999" customHeight="1" x14ac:dyDescent="0.15">
      <c r="A120" s="42" t="s">
        <v>2859</v>
      </c>
      <c r="B120" s="36"/>
      <c r="C120" s="36"/>
      <c r="D120" s="36"/>
      <c r="E120" s="36"/>
      <c r="F120" s="47"/>
      <c r="K120" s="3" t="s">
        <v>2859</v>
      </c>
    </row>
    <row r="121" spans="1:34" ht="18.399999999999999" customHeight="1" x14ac:dyDescent="0.15">
      <c r="A121" s="44" t="str">
        <f>CONCATENATE("    비   계  공:  0.030 인  * _x001D_282,352_x001D_ = ",TEXT($AB121,"#,##0.00"))</f>
        <v xml:space="preserve">    비   계  공:  0.030 인  * _x001D_282,352_x001D_ = 8,470.00</v>
      </c>
      <c r="B121" s="36">
        <f>SUM($C121,$D121,$E121)</f>
        <v>8470</v>
      </c>
      <c r="C121" s="36"/>
      <c r="D121" s="36">
        <f>$AB121</f>
        <v>8470</v>
      </c>
      <c r="E121" s="36"/>
      <c r="F121" s="47" t="s">
        <v>2859</v>
      </c>
      <c r="K121" s="3" t="s">
        <v>1757</v>
      </c>
      <c r="AA121" s="40" t="s">
        <v>287</v>
      </c>
      <c r="AB121" s="10">
        <f>TRUNC(0.03*(노임!D6*전역변수!C34),0)</f>
        <v>8470</v>
      </c>
      <c r="AC121" s="40" t="s">
        <v>1141</v>
      </c>
      <c r="AD121" s="9">
        <f>$AD113+$AB121</f>
        <v>28111</v>
      </c>
      <c r="AE121" s="40" t="s">
        <v>2295</v>
      </c>
      <c r="AF121" s="10">
        <f>$AB121</f>
        <v>8470</v>
      </c>
      <c r="AG121" s="40" t="s">
        <v>1152</v>
      </c>
      <c r="AH121" s="9">
        <f>$AF121</f>
        <v>8470</v>
      </c>
    </row>
    <row r="122" spans="1:34" ht="18.399999999999999" customHeight="1" x14ac:dyDescent="0.15">
      <c r="A122" s="44" t="str">
        <f>CONCATENATE("    보 통 인 부:  0.011 인  * _x001D_167,081_x001D_ = ",TEXT($AB122,"#,##0.00"))</f>
        <v xml:space="preserve">    보 통 인 부:  0.011 인  * _x001D_167,081_x001D_ = 1,837.00</v>
      </c>
      <c r="B122" s="36">
        <f>SUM($C122,$D122,$E122)</f>
        <v>1837</v>
      </c>
      <c r="C122" s="36"/>
      <c r="D122" s="36">
        <f>$AB122</f>
        <v>1837</v>
      </c>
      <c r="E122" s="36"/>
      <c r="F122" s="47" t="s">
        <v>2859</v>
      </c>
      <c r="K122" s="3" t="s">
        <v>37</v>
      </c>
      <c r="AA122" s="40" t="s">
        <v>287</v>
      </c>
      <c r="AB122" s="10">
        <f>TRUNC(0.011*(노임!D13*전역변수!C34),0)</f>
        <v>1837</v>
      </c>
      <c r="AC122" s="40" t="s">
        <v>1141</v>
      </c>
      <c r="AD122" s="9">
        <f>$AD121+$AB122</f>
        <v>29948</v>
      </c>
      <c r="AE122" s="40" t="s">
        <v>2517</v>
      </c>
      <c r="AF122" s="10">
        <f>$AB122</f>
        <v>1837</v>
      </c>
      <c r="AG122" s="40" t="s">
        <v>2473</v>
      </c>
      <c r="AH122" s="9">
        <f>$AF122</f>
        <v>1837</v>
      </c>
    </row>
    <row r="123" spans="1:34" ht="18.399999999999999" customHeight="1" x14ac:dyDescent="0.15">
      <c r="A123" s="42" t="s">
        <v>2859</v>
      </c>
      <c r="B123" s="36"/>
      <c r="C123" s="36"/>
      <c r="D123" s="36"/>
      <c r="E123" s="36"/>
      <c r="F123" s="47"/>
      <c r="K123" s="3" t="s">
        <v>2859</v>
      </c>
    </row>
    <row r="124" spans="1:34" ht="18.399999999999999" customHeight="1" x14ac:dyDescent="0.15">
      <c r="A124" s="42" t="s">
        <v>1631</v>
      </c>
      <c r="B124" s="37">
        <f>SUM($C124,$D124,$E124)</f>
        <v>10307</v>
      </c>
      <c r="C124" s="37">
        <f>$AB124</f>
        <v>0</v>
      </c>
      <c r="D124" s="37">
        <f>$AD124</f>
        <v>10307</v>
      </c>
      <c r="E124" s="37">
        <f>$AF124</f>
        <v>0</v>
      </c>
      <c r="F124" s="48"/>
      <c r="K124" s="3" t="s">
        <v>2849</v>
      </c>
      <c r="AA124" s="39" t="s">
        <v>2032</v>
      </c>
      <c r="AB124" s="9">
        <f>$AD111-$AD111</f>
        <v>0</v>
      </c>
      <c r="AC124" s="39" t="s">
        <v>72</v>
      </c>
      <c r="AD124" s="9">
        <f>$AD122-$AD113</f>
        <v>10307</v>
      </c>
      <c r="AE124" s="39" t="s">
        <v>2609</v>
      </c>
      <c r="AF124" s="9">
        <f>$AD98-$AD98</f>
        <v>0</v>
      </c>
    </row>
    <row r="125" spans="1:34" ht="18.399999999999999" customHeight="1" x14ac:dyDescent="0.15">
      <c r="A125" s="42" t="s">
        <v>2859</v>
      </c>
      <c r="B125" s="36"/>
      <c r="C125" s="36"/>
      <c r="D125" s="36"/>
      <c r="E125" s="36"/>
      <c r="F125" s="47"/>
      <c r="K125" s="3" t="s">
        <v>2859</v>
      </c>
    </row>
    <row r="126" spans="1:34" ht="18.399999999999999" customHeight="1" x14ac:dyDescent="0.15">
      <c r="A126" s="42" t="s">
        <v>2375</v>
      </c>
      <c r="B126" s="36"/>
      <c r="C126" s="36"/>
      <c r="D126" s="36"/>
      <c r="E126" s="36"/>
      <c r="F126" s="47"/>
      <c r="K126" s="3" t="s">
        <v>2375</v>
      </c>
    </row>
    <row r="127" spans="1:34" ht="18.399999999999999" customHeight="1" x14ac:dyDescent="0.15">
      <c r="A127" s="42" t="s">
        <v>2859</v>
      </c>
      <c r="B127" s="36"/>
      <c r="C127" s="36"/>
      <c r="D127" s="36"/>
      <c r="E127" s="36"/>
      <c r="F127" s="47"/>
      <c r="K127" s="3" t="s">
        <v>2859</v>
      </c>
    </row>
    <row r="128" spans="1:34" ht="18.399999999999999" customHeight="1" x14ac:dyDescent="0.15">
      <c r="A128" s="42" t="s">
        <v>451</v>
      </c>
      <c r="B128" s="36"/>
      <c r="C128" s="36"/>
      <c r="D128" s="36"/>
      <c r="E128" s="36"/>
      <c r="F128" s="47"/>
      <c r="K128" s="3" t="s">
        <v>451</v>
      </c>
    </row>
    <row r="129" spans="1:34" ht="18.399999999999999" customHeight="1" x14ac:dyDescent="0.15">
      <c r="A129" s="42" t="s">
        <v>2859</v>
      </c>
      <c r="B129" s="36"/>
      <c r="C129" s="36"/>
      <c r="D129" s="36"/>
      <c r="E129" s="36"/>
      <c r="F129" s="47"/>
      <c r="K129" s="3" t="s">
        <v>2859</v>
      </c>
    </row>
    <row r="130" spans="1:34" ht="18.399999999999999" customHeight="1" x14ac:dyDescent="0.15">
      <c r="A130" s="42" t="s">
        <v>732</v>
      </c>
      <c r="B130" s="36"/>
      <c r="C130" s="36"/>
      <c r="D130" s="36"/>
      <c r="E130" s="36"/>
      <c r="F130" s="47"/>
      <c r="K130" s="3" t="s">
        <v>732</v>
      </c>
    </row>
    <row r="131" spans="1:34" ht="18.399999999999999" customHeight="1" x14ac:dyDescent="0.15">
      <c r="A131" s="42" t="s">
        <v>2859</v>
      </c>
      <c r="B131" s="36"/>
      <c r="C131" s="36"/>
      <c r="D131" s="36"/>
      <c r="E131" s="36"/>
      <c r="F131" s="47"/>
      <c r="K131" s="3" t="s">
        <v>2859</v>
      </c>
    </row>
    <row r="132" spans="1:34" ht="18.399999999999999" customHeight="1" x14ac:dyDescent="0.15">
      <c r="A132" s="44" t="str">
        <f>CONCATENATE("    비   계  공:  0.018 인  * _x001D_282,352_x001D_ = ",TEXT($AB132,"#,##0.00"))</f>
        <v xml:space="preserve">    비   계  공:  0.018 인  * _x001D_282,352_x001D_ = 5,082.00</v>
      </c>
      <c r="B132" s="36">
        <f>SUM($C132,$D132,$E132)</f>
        <v>5082</v>
      </c>
      <c r="C132" s="36"/>
      <c r="D132" s="36">
        <f>$AB132</f>
        <v>5082</v>
      </c>
      <c r="E132" s="36"/>
      <c r="F132" s="47" t="s">
        <v>2859</v>
      </c>
      <c r="K132" s="3" t="s">
        <v>157</v>
      </c>
      <c r="AA132" s="40" t="s">
        <v>287</v>
      </c>
      <c r="AB132" s="10">
        <f>TRUNC(0.018*(노임!D6*전역변수!C34),0)</f>
        <v>5082</v>
      </c>
      <c r="AC132" s="40" t="s">
        <v>1141</v>
      </c>
      <c r="AD132" s="9">
        <f>$AD122+$AB132</f>
        <v>35030</v>
      </c>
      <c r="AE132" s="40" t="s">
        <v>1252</v>
      </c>
      <c r="AF132" s="10">
        <f>$AB132</f>
        <v>5082</v>
      </c>
      <c r="AG132" s="40" t="s">
        <v>2059</v>
      </c>
      <c r="AH132" s="9">
        <f>$AF132</f>
        <v>5082</v>
      </c>
    </row>
    <row r="133" spans="1:34" ht="18.399999999999999" customHeight="1" x14ac:dyDescent="0.15">
      <c r="A133" s="44" t="str">
        <f>CONCATENATE("    보 통 인 부:  0.006 인  * _x001D_167,081_x001D_ = ",TEXT($AB133,"#,##0.00"))</f>
        <v xml:space="preserve">    보 통 인 부:  0.006 인  * _x001D_167,081_x001D_ = 1,002.00</v>
      </c>
      <c r="B133" s="36">
        <f>SUM($C133,$D133,$E133)</f>
        <v>1002</v>
      </c>
      <c r="C133" s="36"/>
      <c r="D133" s="36">
        <f>$AB133</f>
        <v>1002</v>
      </c>
      <c r="E133" s="36"/>
      <c r="F133" s="47" t="s">
        <v>2859</v>
      </c>
      <c r="K133" s="3" t="s">
        <v>949</v>
      </c>
      <c r="AA133" s="40" t="s">
        <v>287</v>
      </c>
      <c r="AB133" s="10">
        <f>TRUNC(0.006*(노임!D13*전역변수!C34),0)</f>
        <v>1002</v>
      </c>
      <c r="AC133" s="40" t="s">
        <v>1141</v>
      </c>
      <c r="AD133" s="9">
        <f>$AD132+$AB133</f>
        <v>36032</v>
      </c>
      <c r="AE133" s="40" t="s">
        <v>2126</v>
      </c>
      <c r="AF133" s="10">
        <f>$AB133</f>
        <v>1002</v>
      </c>
      <c r="AG133" s="40" t="s">
        <v>973</v>
      </c>
      <c r="AH133" s="9">
        <f>$AF133</f>
        <v>1002</v>
      </c>
    </row>
    <row r="134" spans="1:34" ht="18.399999999999999" customHeight="1" x14ac:dyDescent="0.15">
      <c r="A134" s="42" t="s">
        <v>2859</v>
      </c>
      <c r="B134" s="36"/>
      <c r="C134" s="36"/>
      <c r="D134" s="36"/>
      <c r="E134" s="36"/>
      <c r="F134" s="47"/>
      <c r="K134" s="3" t="s">
        <v>2859</v>
      </c>
    </row>
    <row r="135" spans="1:34" ht="18.399999999999999" customHeight="1" x14ac:dyDescent="0.15">
      <c r="A135" s="42" t="s">
        <v>2544</v>
      </c>
      <c r="B135" s="36"/>
      <c r="C135" s="36"/>
      <c r="D135" s="36"/>
      <c r="E135" s="36"/>
      <c r="F135" s="47"/>
      <c r="K135" s="3" t="s">
        <v>2544</v>
      </c>
    </row>
    <row r="136" spans="1:34" ht="18.399999999999999" customHeight="1" x14ac:dyDescent="0.15">
      <c r="A136" s="42" t="s">
        <v>2859</v>
      </c>
      <c r="B136" s="36"/>
      <c r="C136" s="36"/>
      <c r="D136" s="36"/>
      <c r="E136" s="36"/>
      <c r="F136" s="47"/>
      <c r="K136" s="3" t="s">
        <v>2859</v>
      </c>
    </row>
    <row r="137" spans="1:34" ht="18.399999999999999" customHeight="1" x14ac:dyDescent="0.15">
      <c r="A137" s="44" t="str">
        <f>CONCATENATE("    재  료  비 :   _x001D_8,409_x001D_ * 0.014 = ",TEXT($AB137,"#,##0.00"))</f>
        <v xml:space="preserve">    재  료  비 :   _x001D_8,409_x001D_ * 0.014 = 117.00</v>
      </c>
      <c r="B137" s="36">
        <f>SUM($C137,$D137,$E137)</f>
        <v>117</v>
      </c>
      <c r="C137" s="36">
        <f>$AB137</f>
        <v>117</v>
      </c>
      <c r="D137" s="36"/>
      <c r="E137" s="36"/>
      <c r="F137" s="47" t="s">
        <v>2859</v>
      </c>
      <c r="K137" s="3" t="s">
        <v>2405</v>
      </c>
      <c r="AA137" s="40" t="s">
        <v>2113</v>
      </c>
      <c r="AB137" s="10">
        <f>TRUNC(중기사용료목록!E5*0.014,0)</f>
        <v>117</v>
      </c>
      <c r="AC137" s="40" t="s">
        <v>2372</v>
      </c>
      <c r="AD137" s="9">
        <f>$AD111+$AB137</f>
        <v>411</v>
      </c>
    </row>
    <row r="138" spans="1:34" ht="18.399999999999999" customHeight="1" x14ac:dyDescent="0.15">
      <c r="A138" s="44" t="str">
        <f>CONCATENATE("    노  무  비 :   _x001D_56,874_x001D_ * 0.014 = ",TEXT($AB138,"#,##0.00"))</f>
        <v xml:space="preserve">    노  무  비 :   _x001D_56,874_x001D_ * 0.014 = 796.00</v>
      </c>
      <c r="B138" s="36">
        <f>SUM($C138,$D138,$E138)</f>
        <v>796</v>
      </c>
      <c r="C138" s="36"/>
      <c r="D138" s="36">
        <f>$AB138</f>
        <v>796</v>
      </c>
      <c r="E138" s="36"/>
      <c r="F138" s="47" t="s">
        <v>2859</v>
      </c>
      <c r="K138" s="3" t="s">
        <v>2219</v>
      </c>
      <c r="AA138" s="40" t="s">
        <v>287</v>
      </c>
      <c r="AB138" s="10">
        <f>TRUNC(중기사용료목록!F5*0.014,0)</f>
        <v>796</v>
      </c>
      <c r="AC138" s="40" t="s">
        <v>1141</v>
      </c>
      <c r="AD138" s="9">
        <f>$AD133+$AB138</f>
        <v>36828</v>
      </c>
    </row>
    <row r="139" spans="1:34" ht="18.399999999999999" customHeight="1" x14ac:dyDescent="0.15">
      <c r="A139" s="44" t="str">
        <f>CONCATENATE("    경      비 :   _x001D_56,874_x001D_ * 0.014 = ",TEXT($AB139,"#,##0.00"))</f>
        <v xml:space="preserve">    경      비 :   _x001D_56,874_x001D_ * 0.014 = 796.00</v>
      </c>
      <c r="B139" s="36">
        <f>SUM($C139,$D139,$E139)</f>
        <v>796</v>
      </c>
      <c r="C139" s="36"/>
      <c r="D139" s="36">
        <f>$AB139</f>
        <v>796</v>
      </c>
      <c r="E139" s="36"/>
      <c r="F139" s="47" t="s">
        <v>2859</v>
      </c>
      <c r="K139" s="3" t="s">
        <v>2255</v>
      </c>
      <c r="AA139" s="40" t="s">
        <v>287</v>
      </c>
      <c r="AB139" s="10">
        <f>TRUNC(중기사용료목록!F5*0.014,0)</f>
        <v>796</v>
      </c>
      <c r="AC139" s="40" t="s">
        <v>1141</v>
      </c>
      <c r="AD139" s="9">
        <f>$AD138+$AB139</f>
        <v>37624</v>
      </c>
    </row>
    <row r="140" spans="1:34" ht="18.399999999999999" customHeight="1" x14ac:dyDescent="0.15">
      <c r="A140" s="42" t="s">
        <v>2859</v>
      </c>
      <c r="B140" s="36"/>
      <c r="C140" s="36"/>
      <c r="D140" s="36"/>
      <c r="E140" s="36"/>
      <c r="F140" s="47"/>
      <c r="K140" s="3" t="s">
        <v>2859</v>
      </c>
    </row>
    <row r="141" spans="1:34" ht="18.399999999999999" customHeight="1" x14ac:dyDescent="0.15">
      <c r="A141" s="42" t="s">
        <v>1273</v>
      </c>
      <c r="B141" s="37">
        <f>SUM($C141,$D141,$E141)</f>
        <v>7793</v>
      </c>
      <c r="C141" s="37">
        <f>$AB141</f>
        <v>117</v>
      </c>
      <c r="D141" s="37">
        <f>$AD141</f>
        <v>7676</v>
      </c>
      <c r="E141" s="37">
        <f>$AF141</f>
        <v>0</v>
      </c>
      <c r="F141" s="48"/>
      <c r="K141" s="3" t="s">
        <v>1603</v>
      </c>
      <c r="AA141" s="39" t="s">
        <v>2032</v>
      </c>
      <c r="AB141" s="9">
        <f>$AD137-$AD111</f>
        <v>117</v>
      </c>
      <c r="AC141" s="39" t="s">
        <v>72</v>
      </c>
      <c r="AD141" s="9">
        <f>$AD139-$AD122</f>
        <v>7676</v>
      </c>
      <c r="AE141" s="39" t="s">
        <v>2609</v>
      </c>
      <c r="AF141" s="9">
        <f>$AD98-$AD98</f>
        <v>0</v>
      </c>
    </row>
    <row r="142" spans="1:34" ht="18.399999999999999" customHeight="1" x14ac:dyDescent="0.15">
      <c r="A142" s="42" t="s">
        <v>2859</v>
      </c>
      <c r="B142" s="36"/>
      <c r="C142" s="36"/>
      <c r="D142" s="36"/>
      <c r="E142" s="36"/>
      <c r="F142" s="47"/>
      <c r="K142" s="3" t="s">
        <v>2859</v>
      </c>
    </row>
    <row r="143" spans="1:34" ht="18.399999999999999" customHeight="1" x14ac:dyDescent="0.15">
      <c r="A143" s="42" t="s">
        <v>2802</v>
      </c>
      <c r="B143" s="36"/>
      <c r="C143" s="36"/>
      <c r="D143" s="36"/>
      <c r="E143" s="36"/>
      <c r="F143" s="47"/>
      <c r="K143" s="3" t="s">
        <v>2802</v>
      </c>
    </row>
    <row r="144" spans="1:34" ht="18.399999999999999" customHeight="1" x14ac:dyDescent="0.15">
      <c r="A144" s="42" t="s">
        <v>2859</v>
      </c>
      <c r="B144" s="36"/>
      <c r="C144" s="36"/>
      <c r="D144" s="36"/>
      <c r="E144" s="36"/>
      <c r="F144" s="47"/>
      <c r="K144" s="3" t="s">
        <v>2859</v>
      </c>
    </row>
    <row r="145" spans="1:34" ht="18.399999999999999" customHeight="1" x14ac:dyDescent="0.15">
      <c r="A145" s="42" t="s">
        <v>732</v>
      </c>
      <c r="B145" s="36"/>
      <c r="C145" s="36"/>
      <c r="D145" s="36"/>
      <c r="E145" s="36"/>
      <c r="F145" s="47"/>
      <c r="K145" s="3" t="s">
        <v>732</v>
      </c>
    </row>
    <row r="146" spans="1:34" ht="18.399999999999999" customHeight="1" x14ac:dyDescent="0.15">
      <c r="A146" s="42" t="s">
        <v>2859</v>
      </c>
      <c r="B146" s="36"/>
      <c r="C146" s="36"/>
      <c r="D146" s="36"/>
      <c r="E146" s="36"/>
      <c r="F146" s="47"/>
      <c r="K146" s="3" t="s">
        <v>2859</v>
      </c>
    </row>
    <row r="147" spans="1:34" ht="18.399999999999999" customHeight="1" x14ac:dyDescent="0.15">
      <c r="A147" s="44" t="str">
        <f>CONCATENATE("    비   계  공:  0.012 인  * _x001D_282,352_x001D_ = ",TEXT($AB147,"#,##0.00"))</f>
        <v xml:space="preserve">    비   계  공:  0.012 인  * _x001D_282,352_x001D_ = 3,388.00</v>
      </c>
      <c r="B147" s="36">
        <f>SUM($C147,$D147,$E147)</f>
        <v>3388</v>
      </c>
      <c r="C147" s="36"/>
      <c r="D147" s="36">
        <f>$AB147</f>
        <v>3388</v>
      </c>
      <c r="E147" s="36"/>
      <c r="F147" s="47" t="s">
        <v>2859</v>
      </c>
      <c r="K147" s="3" t="s">
        <v>342</v>
      </c>
      <c r="AA147" s="40" t="s">
        <v>287</v>
      </c>
      <c r="AB147" s="10">
        <f>TRUNC(0.012*(노임!D6*전역변수!C34),0)</f>
        <v>3388</v>
      </c>
      <c r="AC147" s="40" t="s">
        <v>1141</v>
      </c>
      <c r="AD147" s="9">
        <f>$AD139+$AB147</f>
        <v>41012</v>
      </c>
      <c r="AE147" s="40" t="s">
        <v>156</v>
      </c>
      <c r="AF147" s="10">
        <f>$AB147</f>
        <v>3388</v>
      </c>
      <c r="AG147" s="40" t="s">
        <v>533</v>
      </c>
      <c r="AH147" s="9">
        <f>$AF147</f>
        <v>3388</v>
      </c>
    </row>
    <row r="148" spans="1:34" ht="18.399999999999999" customHeight="1" x14ac:dyDescent="0.15">
      <c r="A148" s="44" t="str">
        <f>CONCATENATE("    보 통 인 부:  0.005 인  * _x001D_167,081_x001D_ = ",TEXT($AB148,"#,##0.00"))</f>
        <v xml:space="preserve">    보 통 인 부:  0.005 인  * _x001D_167,081_x001D_ = 835.00</v>
      </c>
      <c r="B148" s="36">
        <f>SUM($C148,$D148,$E148)</f>
        <v>835</v>
      </c>
      <c r="C148" s="36"/>
      <c r="D148" s="36">
        <f>$AB148</f>
        <v>835</v>
      </c>
      <c r="E148" s="36"/>
      <c r="F148" s="47" t="s">
        <v>2859</v>
      </c>
      <c r="K148" s="3" t="s">
        <v>10</v>
      </c>
      <c r="AA148" s="40" t="s">
        <v>287</v>
      </c>
      <c r="AB148" s="10">
        <f>TRUNC(0.005*(노임!D13*전역변수!C34),0)</f>
        <v>835</v>
      </c>
      <c r="AC148" s="40" t="s">
        <v>1141</v>
      </c>
      <c r="AD148" s="9">
        <f>$AD147+$AB148</f>
        <v>41847</v>
      </c>
      <c r="AE148" s="40" t="s">
        <v>2496</v>
      </c>
      <c r="AF148" s="10">
        <f>$AB148</f>
        <v>835</v>
      </c>
      <c r="AG148" s="40" t="s">
        <v>1140</v>
      </c>
      <c r="AH148" s="9">
        <f>$AF148</f>
        <v>835</v>
      </c>
    </row>
    <row r="149" spans="1:34" ht="18.399999999999999" customHeight="1" x14ac:dyDescent="0.15">
      <c r="A149" s="42" t="s">
        <v>2859</v>
      </c>
      <c r="B149" s="36"/>
      <c r="C149" s="36"/>
      <c r="D149" s="36"/>
      <c r="E149" s="36"/>
      <c r="F149" s="47"/>
      <c r="K149" s="3" t="s">
        <v>2859</v>
      </c>
    </row>
    <row r="150" spans="1:34" ht="18.399999999999999" customHeight="1" x14ac:dyDescent="0.15">
      <c r="A150" s="42" t="s">
        <v>1631</v>
      </c>
      <c r="B150" s="37">
        <f>SUM($C150,$D150,$E150)</f>
        <v>4223</v>
      </c>
      <c r="C150" s="37">
        <f>$AB150</f>
        <v>0</v>
      </c>
      <c r="D150" s="37">
        <f>$AD150</f>
        <v>4223</v>
      </c>
      <c r="E150" s="37">
        <f>$AF150</f>
        <v>0</v>
      </c>
      <c r="F150" s="48"/>
      <c r="K150" s="3" t="s">
        <v>2849</v>
      </c>
      <c r="AA150" s="39" t="s">
        <v>2032</v>
      </c>
      <c r="AB150" s="9">
        <f>$AD137-$AD137</f>
        <v>0</v>
      </c>
      <c r="AC150" s="39" t="s">
        <v>72</v>
      </c>
      <c r="AD150" s="9">
        <f>$AD148-$AD139</f>
        <v>4223</v>
      </c>
      <c r="AE150" s="39" t="s">
        <v>2609</v>
      </c>
      <c r="AF150" s="9">
        <f>$AD98-$AD98</f>
        <v>0</v>
      </c>
    </row>
    <row r="151" spans="1:34" ht="18.399999999999999" customHeight="1" x14ac:dyDescent="0.15">
      <c r="A151" s="42" t="s">
        <v>2859</v>
      </c>
      <c r="B151" s="36"/>
      <c r="C151" s="36"/>
      <c r="D151" s="36"/>
      <c r="E151" s="36"/>
      <c r="F151" s="47"/>
      <c r="K151" s="3" t="s">
        <v>2859</v>
      </c>
    </row>
    <row r="152" spans="1:34" ht="18.399999999999999" customHeight="1" x14ac:dyDescent="0.15">
      <c r="A152" s="42" t="s">
        <v>2</v>
      </c>
      <c r="B152" s="36"/>
      <c r="C152" s="36"/>
      <c r="D152" s="36"/>
      <c r="E152" s="36"/>
      <c r="F152" s="47"/>
      <c r="K152" s="3" t="s">
        <v>2</v>
      </c>
    </row>
    <row r="153" spans="1:34" ht="18.399999999999999" customHeight="1" x14ac:dyDescent="0.15">
      <c r="A153" s="42" t="s">
        <v>2859</v>
      </c>
      <c r="B153" s="36"/>
      <c r="C153" s="36"/>
      <c r="D153" s="36"/>
      <c r="E153" s="36"/>
      <c r="F153" s="47"/>
      <c r="K153" s="3" t="s">
        <v>2859</v>
      </c>
    </row>
    <row r="154" spans="1:34" ht="18.399999999999999" customHeight="1" x14ac:dyDescent="0.15">
      <c r="A154" s="44" t="str">
        <f>CONCATENATE(TEXT($AB154,"#,##0.00")," * 0.03 =",TEXT($AF154,"#,##0.00"))</f>
        <v>36,275.00 * 0.03 =1,088.00</v>
      </c>
      <c r="B154" s="36">
        <f>SUM($C154,$D154,$E154)</f>
        <v>1088</v>
      </c>
      <c r="C154" s="36"/>
      <c r="D154" s="36"/>
      <c r="E154" s="36">
        <f>$AF154</f>
        <v>1088</v>
      </c>
      <c r="F154" s="47"/>
      <c r="K154" s="3" t="s">
        <v>2590</v>
      </c>
      <c r="AA154" s="39" t="s">
        <v>1056</v>
      </c>
      <c r="AB154" s="10">
        <f>$AH106+$AH107+$AH121+$AH122+$AH132+$AH133+$AH147+$AH148</f>
        <v>36275</v>
      </c>
      <c r="AC154" s="39" t="s">
        <v>1564</v>
      </c>
      <c r="AD154" s="9">
        <f>$AB154</f>
        <v>36275</v>
      </c>
      <c r="AE154" s="40" t="s">
        <v>907</v>
      </c>
      <c r="AF154" s="10">
        <f>TRUNC($AD154*0.03,0)</f>
        <v>1088</v>
      </c>
      <c r="AG154" s="40" t="s">
        <v>1545</v>
      </c>
      <c r="AH154" s="9">
        <f>$AD98+$AF154</f>
        <v>30117</v>
      </c>
    </row>
    <row r="155" spans="1:34" ht="18.399999999999999" customHeight="1" x14ac:dyDescent="0.15">
      <c r="A155" s="42" t="s">
        <v>2859</v>
      </c>
      <c r="B155" s="36"/>
      <c r="C155" s="36"/>
      <c r="D155" s="36"/>
      <c r="E155" s="36"/>
      <c r="F155" s="47"/>
      <c r="K155" s="3" t="s">
        <v>2859</v>
      </c>
    </row>
    <row r="156" spans="1:34" ht="18.399999999999999" customHeight="1" x14ac:dyDescent="0.15">
      <c r="A156" s="42" t="s">
        <v>1273</v>
      </c>
      <c r="B156" s="37">
        <f>SUM($C156,$D156,$E156)</f>
        <v>1088</v>
      </c>
      <c r="C156" s="37">
        <f>$AB156</f>
        <v>0</v>
      </c>
      <c r="D156" s="37">
        <f>$AD156</f>
        <v>0</v>
      </c>
      <c r="E156" s="37">
        <f>$AF156</f>
        <v>1088</v>
      </c>
      <c r="F156" s="48"/>
      <c r="K156" s="3" t="s">
        <v>1603</v>
      </c>
      <c r="AA156" s="39" t="s">
        <v>2032</v>
      </c>
      <c r="AB156" s="9">
        <f>$AD137-$AD137</f>
        <v>0</v>
      </c>
      <c r="AC156" s="39" t="s">
        <v>72</v>
      </c>
      <c r="AD156" s="9">
        <f>$AD148-$AD148</f>
        <v>0</v>
      </c>
      <c r="AE156" s="39" t="s">
        <v>2609</v>
      </c>
      <c r="AF156" s="9">
        <f>$AH154-$AD98</f>
        <v>1088</v>
      </c>
    </row>
    <row r="157" spans="1:34" ht="18.399999999999999" customHeight="1" x14ac:dyDescent="0.15">
      <c r="A157" s="42" t="s">
        <v>2859</v>
      </c>
      <c r="B157" s="36"/>
      <c r="C157" s="36"/>
      <c r="D157" s="36"/>
      <c r="E157" s="36"/>
      <c r="F157" s="47"/>
      <c r="K157" s="3" t="s">
        <v>2859</v>
      </c>
    </row>
    <row r="158" spans="1:34" ht="18.399999999999999" customHeight="1" x14ac:dyDescent="0.15">
      <c r="A158" s="42" t="s">
        <v>1261</v>
      </c>
      <c r="B158" s="41">
        <f>SUM($C158,$D158,$E158)</f>
        <v>72375</v>
      </c>
      <c r="C158" s="41">
        <f>$AB158</f>
        <v>411</v>
      </c>
      <c r="D158" s="41">
        <f>$AD158</f>
        <v>41847</v>
      </c>
      <c r="E158" s="41">
        <f>$AF158</f>
        <v>30117</v>
      </c>
      <c r="F158" s="50"/>
      <c r="K158" s="3" t="s">
        <v>2692</v>
      </c>
      <c r="AA158" s="39" t="s">
        <v>1148</v>
      </c>
      <c r="AB158" s="9">
        <f>$AD137</f>
        <v>411</v>
      </c>
      <c r="AC158" s="39" t="s">
        <v>2379</v>
      </c>
      <c r="AD158" s="9">
        <f>$AD148</f>
        <v>41847</v>
      </c>
      <c r="AE158" s="39" t="s">
        <v>628</v>
      </c>
      <c r="AF158" s="9">
        <f>$AH154</f>
        <v>30117</v>
      </c>
    </row>
    <row r="159" spans="1:34" ht="18.399999999999999" customHeight="1" x14ac:dyDescent="0.15">
      <c r="A159" s="43"/>
      <c r="B159" s="3"/>
      <c r="C159" s="3"/>
      <c r="D159" s="3"/>
      <c r="E159" s="3"/>
      <c r="F159" s="46"/>
    </row>
    <row r="160" spans="1:34" ht="18.399999999999999" customHeight="1" x14ac:dyDescent="0.15">
      <c r="A160" s="42" t="s">
        <v>2859</v>
      </c>
      <c r="B160" s="3"/>
      <c r="C160" s="3"/>
      <c r="D160" s="3"/>
      <c r="E160" s="3"/>
      <c r="F160" s="46"/>
      <c r="G160" t="s">
        <v>2859</v>
      </c>
      <c r="I160" t="s">
        <v>2491</v>
      </c>
      <c r="J160" t="s">
        <v>2859</v>
      </c>
      <c r="K160" t="s">
        <v>2417</v>
      </c>
    </row>
    <row r="161" spans="1:30" ht="18.399999999999999" customHeight="1" x14ac:dyDescent="0.15">
      <c r="A161" s="44" t="str">
        <f>CONCATENATE("_x001D_72,375_x001D_ = ",TEXT($AB161,"#,##0.00"))</f>
        <v>_x001D_72,375_x001D_ = 72,375.00</v>
      </c>
      <c r="B161" s="36">
        <f>SUM($C161,$D161,$E161)</f>
        <v>72375</v>
      </c>
      <c r="C161" s="36"/>
      <c r="D161" s="36"/>
      <c r="E161" s="36">
        <f>$AB161</f>
        <v>72375</v>
      </c>
      <c r="F161" s="47" t="s">
        <v>2859</v>
      </c>
      <c r="K161" s="3" t="s">
        <v>2334</v>
      </c>
      <c r="AA161" s="40" t="s">
        <v>907</v>
      </c>
      <c r="AB161" s="10">
        <f>TRUNC((일위대가_산근!$AD137+일위대가_산근!$AD148+일위대가_산근!$AH154),0)</f>
        <v>72375</v>
      </c>
      <c r="AC161" s="40" t="s">
        <v>1545</v>
      </c>
      <c r="AD161" s="9">
        <f>$AB161</f>
        <v>72375</v>
      </c>
    </row>
    <row r="162" spans="1:30" ht="18.399999999999999" customHeight="1" x14ac:dyDescent="0.15">
      <c r="A162" s="42"/>
      <c r="B162" s="3"/>
      <c r="C162" s="3"/>
      <c r="D162" s="3"/>
      <c r="E162" s="3"/>
      <c r="F162" s="46"/>
    </row>
    <row r="163" spans="1:30" ht="18.399999999999999" customHeight="1" thickBot="1" x14ac:dyDescent="0.2">
      <c r="A163" s="45" t="s">
        <v>1643</v>
      </c>
      <c r="B163" s="38">
        <f>SUM($C163,$D163,$E163)</f>
        <v>72375</v>
      </c>
      <c r="C163" s="38">
        <v>0</v>
      </c>
      <c r="D163" s="38">
        <v>0</v>
      </c>
      <c r="E163" s="38">
        <f>TRUNC(SUM($AD161),0)</f>
        <v>72375</v>
      </c>
      <c r="F163" s="49"/>
    </row>
    <row r="164" spans="1:30" ht="18.399999999999999" customHeight="1" x14ac:dyDescent="0.15">
      <c r="A164" s="42"/>
      <c r="B164" s="3"/>
      <c r="C164" s="3"/>
      <c r="D164" s="3"/>
      <c r="E164" s="3"/>
      <c r="F164" s="46"/>
    </row>
    <row r="165" spans="1:30" ht="18.399999999999999" customHeight="1" thickBot="1" x14ac:dyDescent="0.2">
      <c r="A165" s="42" t="s">
        <v>2642</v>
      </c>
      <c r="B165" s="36">
        <f>$B274</f>
        <v>5727281</v>
      </c>
      <c r="C165" s="36">
        <v>0</v>
      </c>
      <c r="D165" s="36">
        <v>0</v>
      </c>
      <c r="E165" s="36">
        <f>$E274</f>
        <v>5727281</v>
      </c>
      <c r="F165" s="46" t="s">
        <v>2859</v>
      </c>
      <c r="G165" t="s">
        <v>2859</v>
      </c>
      <c r="H165" t="s">
        <v>62</v>
      </c>
      <c r="K165">
        <v>1</v>
      </c>
      <c r="Y165" s="9" t="b">
        <f>EXACT($Z165,$B274)</f>
        <v>1</v>
      </c>
      <c r="Z165" s="38">
        <v>5727281</v>
      </c>
    </row>
    <row r="166" spans="1:30" ht="18.399999999999999" customHeight="1" x14ac:dyDescent="0.15">
      <c r="A166" s="43"/>
      <c r="B166" s="3"/>
      <c r="C166" s="3"/>
      <c r="D166" s="3"/>
      <c r="E166" s="3"/>
      <c r="F166" s="46"/>
    </row>
    <row r="167" spans="1:30" ht="18.399999999999999" customHeight="1" x14ac:dyDescent="0.15">
      <c r="A167" s="42" t="s">
        <v>2859</v>
      </c>
      <c r="B167" s="3"/>
      <c r="C167" s="3"/>
      <c r="D167" s="3"/>
      <c r="E167" s="3"/>
      <c r="F167" s="46"/>
      <c r="G167" t="s">
        <v>2859</v>
      </c>
      <c r="I167" t="s">
        <v>322</v>
      </c>
      <c r="J167" t="s">
        <v>2859</v>
      </c>
      <c r="K167" t="s">
        <v>2417</v>
      </c>
      <c r="L167" t="s">
        <v>1237</v>
      </c>
    </row>
    <row r="168" spans="1:30" ht="18.399999999999999" customHeight="1" x14ac:dyDescent="0.15">
      <c r="A168" s="42" t="s">
        <v>2859</v>
      </c>
      <c r="B168" s="36"/>
      <c r="C168" s="36"/>
      <c r="D168" s="36"/>
      <c r="E168" s="36"/>
      <c r="F168" s="47"/>
      <c r="K168" s="3" t="s">
        <v>2859</v>
      </c>
    </row>
    <row r="169" spans="1:30" ht="18.399999999999999" customHeight="1" x14ac:dyDescent="0.15">
      <c r="A169" s="42" t="s">
        <v>2421</v>
      </c>
      <c r="B169" s="36"/>
      <c r="C169" s="36"/>
      <c r="D169" s="36"/>
      <c r="E169" s="36"/>
      <c r="F169" s="47"/>
      <c r="K169" s="3" t="s">
        <v>2421</v>
      </c>
    </row>
    <row r="170" spans="1:30" ht="18.399999999999999" customHeight="1" x14ac:dyDescent="0.15">
      <c r="A170" s="42" t="s">
        <v>2859</v>
      </c>
      <c r="B170" s="36"/>
      <c r="C170" s="36"/>
      <c r="D170" s="36"/>
      <c r="E170" s="36"/>
      <c r="F170" s="47"/>
      <c r="K170" s="3" t="s">
        <v>2859</v>
      </c>
    </row>
    <row r="171" spans="1:30" ht="18.399999999999999" customHeight="1" x14ac:dyDescent="0.15">
      <c r="A171" s="42" t="s">
        <v>2193</v>
      </c>
      <c r="B171" s="36"/>
      <c r="C171" s="36"/>
      <c r="D171" s="36"/>
      <c r="E171" s="36"/>
      <c r="F171" s="47"/>
      <c r="K171" s="3" t="s">
        <v>2193</v>
      </c>
    </row>
    <row r="172" spans="1:30" ht="18.399999999999999" customHeight="1" x14ac:dyDescent="0.15">
      <c r="A172" s="42" t="s">
        <v>2859</v>
      </c>
      <c r="B172" s="36"/>
      <c r="C172" s="36"/>
      <c r="D172" s="36"/>
      <c r="E172" s="36"/>
      <c r="F172" s="47"/>
      <c r="K172" s="3" t="s">
        <v>2859</v>
      </c>
    </row>
    <row r="173" spans="1:30" ht="18.399999999999999" customHeight="1" x14ac:dyDescent="0.15">
      <c r="A173" s="42" t="s">
        <v>1743</v>
      </c>
      <c r="B173" s="36"/>
      <c r="C173" s="36"/>
      <c r="D173" s="36"/>
      <c r="E173" s="36"/>
      <c r="F173" s="47"/>
      <c r="K173" s="3" t="s">
        <v>1743</v>
      </c>
    </row>
    <row r="174" spans="1:30" ht="18.399999999999999" customHeight="1" x14ac:dyDescent="0.15">
      <c r="A174" s="42" t="s">
        <v>2859</v>
      </c>
      <c r="B174" s="36"/>
      <c r="C174" s="36"/>
      <c r="D174" s="36"/>
      <c r="E174" s="36"/>
      <c r="F174" s="47"/>
      <c r="K174" s="3" t="s">
        <v>2859</v>
      </c>
    </row>
    <row r="175" spans="1:30" ht="18.399999999999999" customHeight="1" x14ac:dyDescent="0.15">
      <c r="A175" s="44" t="str">
        <f>CONCATENATE("    특별인부 :  1.59 인  * _x001D_219,321_x001D_ =",TEXT($AB175,"#,##0.00"))</f>
        <v xml:space="preserve">    특별인부 :  1.59 인  * _x001D_219,321_x001D_ =348,720.00</v>
      </c>
      <c r="B175" s="36">
        <f>SUM($C175,$D175,$E175)</f>
        <v>348720</v>
      </c>
      <c r="C175" s="36"/>
      <c r="D175" s="36">
        <f>$AB175</f>
        <v>348720</v>
      </c>
      <c r="E175" s="36"/>
      <c r="F175" s="47" t="s">
        <v>2859</v>
      </c>
      <c r="K175" s="3" t="s">
        <v>1764</v>
      </c>
      <c r="AA175" s="40" t="s">
        <v>287</v>
      </c>
      <c r="AB175" s="10">
        <f>TRUNC(1.59*(노임!D12*전역변수!C34),0)</f>
        <v>348720</v>
      </c>
      <c r="AC175" s="40" t="s">
        <v>1141</v>
      </c>
      <c r="AD175" s="9">
        <f>$AB175</f>
        <v>348720</v>
      </c>
    </row>
    <row r="176" spans="1:30" ht="18.399999999999999" customHeight="1" x14ac:dyDescent="0.15">
      <c r="A176" s="42" t="s">
        <v>2859</v>
      </c>
      <c r="B176" s="36"/>
      <c r="C176" s="36"/>
      <c r="D176" s="36"/>
      <c r="E176" s="36"/>
      <c r="F176" s="47"/>
      <c r="K176" s="3" t="s">
        <v>2859</v>
      </c>
    </row>
    <row r="177" spans="1:34" ht="18.399999999999999" customHeight="1" x14ac:dyDescent="0.15">
      <c r="A177" s="42" t="s">
        <v>1555</v>
      </c>
      <c r="B177" s="37">
        <f>SUM($C177,$D177,$E177)</f>
        <v>348720</v>
      </c>
      <c r="C177" s="37">
        <f>$AB177</f>
        <v>0</v>
      </c>
      <c r="D177" s="37">
        <f>$AD177</f>
        <v>348720</v>
      </c>
      <c r="E177" s="37">
        <f>$AF177</f>
        <v>0</v>
      </c>
      <c r="F177" s="48"/>
      <c r="K177" s="3" t="s">
        <v>173</v>
      </c>
      <c r="AC177" s="39" t="s">
        <v>72</v>
      </c>
      <c r="AD177" s="9">
        <f>$AD175</f>
        <v>348720</v>
      </c>
    </row>
    <row r="178" spans="1:34" ht="18.399999999999999" customHeight="1" x14ac:dyDescent="0.15">
      <c r="A178" s="42" t="s">
        <v>2859</v>
      </c>
      <c r="B178" s="36"/>
      <c r="C178" s="36"/>
      <c r="D178" s="36"/>
      <c r="E178" s="36"/>
      <c r="F178" s="47"/>
      <c r="K178" s="3" t="s">
        <v>2859</v>
      </c>
    </row>
    <row r="179" spans="1:34" ht="18.399999999999999" customHeight="1" x14ac:dyDescent="0.15">
      <c r="A179" s="42" t="s">
        <v>1735</v>
      </c>
      <c r="B179" s="36"/>
      <c r="C179" s="36"/>
      <c r="D179" s="36"/>
      <c r="E179" s="36"/>
      <c r="F179" s="47"/>
      <c r="K179" s="3" t="s">
        <v>1735</v>
      </c>
    </row>
    <row r="180" spans="1:34" ht="18.399999999999999" customHeight="1" x14ac:dyDescent="0.15">
      <c r="A180" s="42" t="s">
        <v>2859</v>
      </c>
      <c r="B180" s="36"/>
      <c r="C180" s="36"/>
      <c r="D180" s="36"/>
      <c r="E180" s="36"/>
      <c r="F180" s="47"/>
      <c r="K180" s="3" t="s">
        <v>2859</v>
      </c>
    </row>
    <row r="181" spans="1:34" ht="18.399999999999999" customHeight="1" x14ac:dyDescent="0.15">
      <c r="A181" s="42" t="s">
        <v>2859</v>
      </c>
      <c r="B181" s="36"/>
      <c r="C181" s="36"/>
      <c r="D181" s="36"/>
      <c r="E181" s="36"/>
      <c r="F181" s="47"/>
      <c r="K181" s="3" t="s">
        <v>1267</v>
      </c>
      <c r="AA181" s="39" t="s">
        <v>2079</v>
      </c>
      <c r="AB181" s="8">
        <v>2.6</v>
      </c>
      <c r="AC181" s="39" t="s">
        <v>2079</v>
      </c>
      <c r="AD181" s="9">
        <f>$AB181</f>
        <v>2.6</v>
      </c>
    </row>
    <row r="182" spans="1:34" ht="18.399999999999999" customHeight="1" x14ac:dyDescent="0.15">
      <c r="A182" s="42" t="s">
        <v>2859</v>
      </c>
      <c r="B182" s="36"/>
      <c r="C182" s="36"/>
      <c r="D182" s="36"/>
      <c r="E182" s="36"/>
      <c r="F182" s="47"/>
      <c r="K182" s="3" t="s">
        <v>2859</v>
      </c>
    </row>
    <row r="183" spans="1:34" ht="18.399999999999999" customHeight="1" x14ac:dyDescent="0.15">
      <c r="A183" s="44" t="str">
        <f>CONCATENATE("    재료비   _x001D_17,180_x001D_ * ",TEXT($AB183,"#,##0.00")," hr  = ",TEXT($AF183,"#,##0.00"))</f>
        <v xml:space="preserve">    재료비   _x001D_17,180_x001D_ * 2.60 hr  = 44,668.00</v>
      </c>
      <c r="B183" s="36">
        <f>SUM($C183,$D183,$E183)</f>
        <v>44668</v>
      </c>
      <c r="C183" s="36">
        <f>$AF183</f>
        <v>44668</v>
      </c>
      <c r="D183" s="36"/>
      <c r="E183" s="36"/>
      <c r="F183" s="47" t="s">
        <v>2859</v>
      </c>
      <c r="K183" s="3" t="s">
        <v>2162</v>
      </c>
      <c r="AA183" s="39" t="s">
        <v>409</v>
      </c>
      <c r="AB183" s="10">
        <f>$AD181</f>
        <v>2.6</v>
      </c>
      <c r="AC183" s="39" t="s">
        <v>2176</v>
      </c>
      <c r="AD183" s="9">
        <f>$AB183</f>
        <v>2.6</v>
      </c>
      <c r="AE183" s="40" t="s">
        <v>2113</v>
      </c>
      <c r="AF183" s="10">
        <f>TRUNC(중기사용료목록!E29*$AD183,0)</f>
        <v>44668</v>
      </c>
      <c r="AG183" s="40" t="s">
        <v>2372</v>
      </c>
      <c r="AH183" s="9">
        <f>$AF183</f>
        <v>44668</v>
      </c>
    </row>
    <row r="184" spans="1:34" ht="18.399999999999999" customHeight="1" x14ac:dyDescent="0.15">
      <c r="A184" s="44" t="str">
        <f>CONCATENATE("    노무비   _x001D_48,741_x001D_ * ",TEXT($AB184,"#,##0.00")," hr  = ",TEXT($AF184,"#,##0.00"))</f>
        <v xml:space="preserve">    노무비   _x001D_48,741_x001D_ * 2.60 hr  = 126,726.00</v>
      </c>
      <c r="B184" s="36">
        <f>SUM($C184,$D184,$E184)</f>
        <v>126726</v>
      </c>
      <c r="C184" s="36"/>
      <c r="D184" s="36">
        <f>$AF184</f>
        <v>126726</v>
      </c>
      <c r="E184" s="36"/>
      <c r="F184" s="47" t="s">
        <v>2859</v>
      </c>
      <c r="K184" s="3" t="s">
        <v>2776</v>
      </c>
      <c r="AA184" s="39" t="s">
        <v>2662</v>
      </c>
      <c r="AB184" s="10">
        <f>$AD181</f>
        <v>2.6</v>
      </c>
      <c r="AC184" s="39" t="s">
        <v>2467</v>
      </c>
      <c r="AD184" s="9">
        <f>$AB184</f>
        <v>2.6</v>
      </c>
      <c r="AE184" s="40" t="s">
        <v>287</v>
      </c>
      <c r="AF184" s="10">
        <f>TRUNC(중기사용료목록!F29*$AD184,0)</f>
        <v>126726</v>
      </c>
      <c r="AG184" s="40" t="s">
        <v>1141</v>
      </c>
      <c r="AH184" s="9">
        <f>$AD175+$AF184</f>
        <v>475446</v>
      </c>
    </row>
    <row r="185" spans="1:34" ht="18.399999999999999" customHeight="1" x14ac:dyDescent="0.15">
      <c r="A185" s="44" t="str">
        <f>CONCATENATE("    경  비   _x001D_21,743_x001D_ * ",TEXT($AB185,"#,##0.00")," hr  = ",TEXT($AF185,"#,##0.00"))</f>
        <v xml:space="preserve">    경  비   _x001D_21,743_x001D_ * 2.60 hr  = 56,531.00</v>
      </c>
      <c r="B185" s="36">
        <f>SUM($C185,$D185,$E185)</f>
        <v>56531</v>
      </c>
      <c r="C185" s="36"/>
      <c r="D185" s="36"/>
      <c r="E185" s="36">
        <f>$AF185</f>
        <v>56531</v>
      </c>
      <c r="F185" s="47" t="s">
        <v>2859</v>
      </c>
      <c r="K185" s="3" t="s">
        <v>2480</v>
      </c>
      <c r="AA185" s="39" t="s">
        <v>1951</v>
      </c>
      <c r="AB185" s="10">
        <f>$AD181</f>
        <v>2.6</v>
      </c>
      <c r="AC185" s="39" t="s">
        <v>728</v>
      </c>
      <c r="AD185" s="9">
        <f>$AB185</f>
        <v>2.6</v>
      </c>
      <c r="AE185" s="40" t="s">
        <v>907</v>
      </c>
      <c r="AF185" s="10">
        <f>TRUNC(중기사용료목록!G29*$AD185,0)</f>
        <v>56531</v>
      </c>
      <c r="AG185" s="40" t="s">
        <v>1545</v>
      </c>
      <c r="AH185" s="9">
        <f>$AF185</f>
        <v>56531</v>
      </c>
    </row>
    <row r="186" spans="1:34" ht="18.399999999999999" customHeight="1" x14ac:dyDescent="0.15">
      <c r="A186" s="42" t="s">
        <v>2859</v>
      </c>
      <c r="B186" s="36"/>
      <c r="C186" s="36"/>
      <c r="D186" s="36"/>
      <c r="E186" s="36"/>
      <c r="F186" s="47"/>
      <c r="K186" s="3" t="s">
        <v>2859</v>
      </c>
    </row>
    <row r="187" spans="1:34" ht="18.399999999999999" customHeight="1" x14ac:dyDescent="0.15">
      <c r="A187" s="42" t="s">
        <v>1555</v>
      </c>
      <c r="B187" s="37">
        <f>SUM($C187,$D187,$E187)</f>
        <v>227925</v>
      </c>
      <c r="C187" s="37">
        <f>$AB187</f>
        <v>44668</v>
      </c>
      <c r="D187" s="37">
        <f>$AD187</f>
        <v>126726</v>
      </c>
      <c r="E187" s="37">
        <f>$AF187</f>
        <v>56531</v>
      </c>
      <c r="F187" s="48"/>
      <c r="K187" s="3" t="s">
        <v>173</v>
      </c>
      <c r="AA187" s="39" t="s">
        <v>2032</v>
      </c>
      <c r="AB187" s="9">
        <f>$AH183</f>
        <v>44668</v>
      </c>
      <c r="AC187" s="39" t="s">
        <v>72</v>
      </c>
      <c r="AD187" s="9">
        <f>$AH184-$AD175</f>
        <v>126726</v>
      </c>
      <c r="AE187" s="39" t="s">
        <v>2609</v>
      </c>
      <c r="AF187" s="9">
        <f>$AH185</f>
        <v>56531</v>
      </c>
    </row>
    <row r="188" spans="1:34" ht="18.399999999999999" customHeight="1" x14ac:dyDescent="0.15">
      <c r="A188" s="42" t="s">
        <v>2859</v>
      </c>
      <c r="B188" s="36"/>
      <c r="C188" s="36"/>
      <c r="D188" s="36"/>
      <c r="E188" s="36"/>
      <c r="F188" s="47"/>
      <c r="K188" s="3" t="s">
        <v>2859</v>
      </c>
    </row>
    <row r="189" spans="1:34" ht="18.399999999999999" customHeight="1" x14ac:dyDescent="0.15">
      <c r="A189" s="42" t="s">
        <v>2048</v>
      </c>
      <c r="B189" s="36"/>
      <c r="C189" s="36"/>
      <c r="D189" s="36"/>
      <c r="E189" s="36"/>
      <c r="F189" s="47"/>
      <c r="K189" s="3" t="s">
        <v>2048</v>
      </c>
    </row>
    <row r="190" spans="1:34" ht="18.399999999999999" customHeight="1" x14ac:dyDescent="0.15">
      <c r="A190" s="42" t="s">
        <v>2859</v>
      </c>
      <c r="B190" s="36"/>
      <c r="C190" s="36"/>
      <c r="D190" s="36"/>
      <c r="E190" s="36"/>
      <c r="F190" s="47"/>
      <c r="K190" s="3" t="s">
        <v>2859</v>
      </c>
    </row>
    <row r="191" spans="1:34" ht="18.399999999999999" customHeight="1" x14ac:dyDescent="0.15">
      <c r="A191" s="44" t="str">
        <f>CONCATENATE("     _x001D_475,446_x001D_ *  0.02 %  = ",TEXT($AB191,"#,##0.00"))</f>
        <v xml:space="preserve">     _x001D_475,446_x001D_ *  0.02 %  = 9,508.00</v>
      </c>
      <c r="B191" s="36">
        <f>SUM($C191,$D191,$E191)</f>
        <v>9508</v>
      </c>
      <c r="C191" s="36"/>
      <c r="D191" s="36"/>
      <c r="E191" s="36">
        <f>$AB191</f>
        <v>9508</v>
      </c>
      <c r="F191" s="47" t="s">
        <v>2859</v>
      </c>
      <c r="K191" s="3" t="s">
        <v>1450</v>
      </c>
      <c r="AA191" s="40" t="s">
        <v>907</v>
      </c>
      <c r="AB191" s="10">
        <f>TRUNC($AH184*0.02,0)</f>
        <v>9508</v>
      </c>
      <c r="AC191" s="40" t="s">
        <v>1545</v>
      </c>
      <c r="AD191" s="9">
        <f>$AH185+$AB191</f>
        <v>66039</v>
      </c>
    </row>
    <row r="192" spans="1:34" ht="18.399999999999999" customHeight="1" x14ac:dyDescent="0.15">
      <c r="A192" s="42" t="s">
        <v>2859</v>
      </c>
      <c r="B192" s="36"/>
      <c r="C192" s="36"/>
      <c r="D192" s="36"/>
      <c r="E192" s="36"/>
      <c r="F192" s="47"/>
      <c r="K192" s="3" t="s">
        <v>2859</v>
      </c>
    </row>
    <row r="193" spans="1:34" ht="18.399999999999999" customHeight="1" x14ac:dyDescent="0.15">
      <c r="A193" s="42" t="s">
        <v>1555</v>
      </c>
      <c r="B193" s="37">
        <f>SUM($C193,$D193,$E193)</f>
        <v>9508</v>
      </c>
      <c r="C193" s="37">
        <f>$AB193</f>
        <v>0</v>
      </c>
      <c r="D193" s="37">
        <f>$AD193</f>
        <v>0</v>
      </c>
      <c r="E193" s="37">
        <f>$AF193</f>
        <v>9508</v>
      </c>
      <c r="F193" s="48"/>
      <c r="K193" s="3" t="s">
        <v>173</v>
      </c>
      <c r="AA193" s="39" t="s">
        <v>2032</v>
      </c>
      <c r="AB193" s="9">
        <f>$AH183-$AH183</f>
        <v>0</v>
      </c>
      <c r="AC193" s="39" t="s">
        <v>72</v>
      </c>
      <c r="AD193" s="9">
        <f>$AH184-$AH184</f>
        <v>0</v>
      </c>
      <c r="AE193" s="39" t="s">
        <v>2609</v>
      </c>
      <c r="AF193" s="9">
        <f>$AD191-$AH185</f>
        <v>9508</v>
      </c>
    </row>
    <row r="194" spans="1:34" ht="18.399999999999999" customHeight="1" x14ac:dyDescent="0.15">
      <c r="A194" s="42" t="s">
        <v>2859</v>
      </c>
      <c r="B194" s="36"/>
      <c r="C194" s="36"/>
      <c r="D194" s="36"/>
      <c r="E194" s="36"/>
      <c r="F194" s="47"/>
      <c r="K194" s="3" t="s">
        <v>2859</v>
      </c>
    </row>
    <row r="195" spans="1:34" ht="18.399999999999999" customHeight="1" x14ac:dyDescent="0.15">
      <c r="A195" s="42" t="s">
        <v>1236</v>
      </c>
      <c r="B195" s="36"/>
      <c r="C195" s="36"/>
      <c r="D195" s="36"/>
      <c r="E195" s="36"/>
      <c r="F195" s="47"/>
      <c r="K195" s="3" t="s">
        <v>1236</v>
      </c>
    </row>
    <row r="196" spans="1:34" ht="18.399999999999999" customHeight="1" x14ac:dyDescent="0.15">
      <c r="A196" s="42" t="s">
        <v>2859</v>
      </c>
      <c r="B196" s="36"/>
      <c r="C196" s="36"/>
      <c r="D196" s="36"/>
      <c r="E196" s="36"/>
      <c r="F196" s="47"/>
      <c r="K196" s="3" t="s">
        <v>2859</v>
      </c>
    </row>
    <row r="197" spans="1:34" ht="18.399999999999999" customHeight="1" x14ac:dyDescent="0.15">
      <c r="A197" s="42" t="s">
        <v>1743</v>
      </c>
      <c r="B197" s="36"/>
      <c r="C197" s="36"/>
      <c r="D197" s="36"/>
      <c r="E197" s="36"/>
      <c r="F197" s="47"/>
      <c r="K197" s="3" t="s">
        <v>1743</v>
      </c>
    </row>
    <row r="198" spans="1:34" ht="18.399999999999999" customHeight="1" x14ac:dyDescent="0.15">
      <c r="A198" s="42" t="s">
        <v>2859</v>
      </c>
      <c r="B198" s="36"/>
      <c r="C198" s="36"/>
      <c r="D198" s="36"/>
      <c r="E198" s="36"/>
      <c r="F198" s="47"/>
      <c r="K198" s="3" t="s">
        <v>2859</v>
      </c>
    </row>
    <row r="199" spans="1:34" ht="18.399999999999999" customHeight="1" x14ac:dyDescent="0.15">
      <c r="A199" s="44" t="str">
        <f>CONCATENATE("    특별인부 :  2.44 인  * _x001D_219,321_x001D_ =",TEXT($AB199,"#,##0.00"))</f>
        <v xml:space="preserve">    특별인부 :  2.44 인  * _x001D_219,321_x001D_ =535,143.00</v>
      </c>
      <c r="B199" s="36">
        <f>SUM($C199,$D199,$E199)</f>
        <v>535143</v>
      </c>
      <c r="C199" s="36"/>
      <c r="D199" s="36">
        <f>$AB199</f>
        <v>535143</v>
      </c>
      <c r="E199" s="36"/>
      <c r="F199" s="47" t="s">
        <v>2859</v>
      </c>
      <c r="K199" s="3" t="s">
        <v>696</v>
      </c>
      <c r="AA199" s="40" t="s">
        <v>287</v>
      </c>
      <c r="AB199" s="10">
        <f>TRUNC(2.44*(노임!D12*전역변수!C34),0)</f>
        <v>535143</v>
      </c>
      <c r="AC199" s="40" t="s">
        <v>1141</v>
      </c>
      <c r="AD199" s="9">
        <f>$AH184+$AB199</f>
        <v>1010589</v>
      </c>
    </row>
    <row r="200" spans="1:34" ht="18.399999999999999" customHeight="1" x14ac:dyDescent="0.15">
      <c r="A200" s="42" t="s">
        <v>2859</v>
      </c>
      <c r="B200" s="36"/>
      <c r="C200" s="36"/>
      <c r="D200" s="36"/>
      <c r="E200" s="36"/>
      <c r="F200" s="47"/>
      <c r="K200" s="3" t="s">
        <v>2859</v>
      </c>
    </row>
    <row r="201" spans="1:34" ht="18.399999999999999" customHeight="1" x14ac:dyDescent="0.15">
      <c r="A201" s="42" t="s">
        <v>1555</v>
      </c>
      <c r="B201" s="37">
        <f>SUM($C201,$D201,$E201)</f>
        <v>535143</v>
      </c>
      <c r="C201" s="37">
        <f>$AB201</f>
        <v>0</v>
      </c>
      <c r="D201" s="37">
        <f>$AD201</f>
        <v>535143</v>
      </c>
      <c r="E201" s="37">
        <f>$AF201</f>
        <v>0</v>
      </c>
      <c r="F201" s="48"/>
      <c r="K201" s="3" t="s">
        <v>173</v>
      </c>
      <c r="AA201" s="39" t="s">
        <v>2032</v>
      </c>
      <c r="AB201" s="9">
        <f>$AH183-$AH183</f>
        <v>0</v>
      </c>
      <c r="AC201" s="39" t="s">
        <v>72</v>
      </c>
      <c r="AD201" s="9">
        <f>$AD199-$AH184</f>
        <v>535143</v>
      </c>
      <c r="AE201" s="39" t="s">
        <v>2609</v>
      </c>
      <c r="AF201" s="9">
        <f>$AD191-$AD191</f>
        <v>0</v>
      </c>
    </row>
    <row r="202" spans="1:34" ht="18.399999999999999" customHeight="1" x14ac:dyDescent="0.15">
      <c r="A202" s="42" t="s">
        <v>2859</v>
      </c>
      <c r="B202" s="36"/>
      <c r="C202" s="36"/>
      <c r="D202" s="36"/>
      <c r="E202" s="36"/>
      <c r="F202" s="47"/>
      <c r="K202" s="3" t="s">
        <v>2859</v>
      </c>
    </row>
    <row r="203" spans="1:34" ht="18.399999999999999" customHeight="1" x14ac:dyDescent="0.15">
      <c r="A203" s="42" t="s">
        <v>1735</v>
      </c>
      <c r="B203" s="36"/>
      <c r="C203" s="36"/>
      <c r="D203" s="36"/>
      <c r="E203" s="36"/>
      <c r="F203" s="47"/>
      <c r="K203" s="3" t="s">
        <v>1735</v>
      </c>
    </row>
    <row r="204" spans="1:34" ht="18.399999999999999" customHeight="1" x14ac:dyDescent="0.15">
      <c r="A204" s="42" t="s">
        <v>2859</v>
      </c>
      <c r="B204" s="36"/>
      <c r="C204" s="36"/>
      <c r="D204" s="36"/>
      <c r="E204" s="36"/>
      <c r="F204" s="47"/>
      <c r="K204" s="3" t="s">
        <v>2859</v>
      </c>
    </row>
    <row r="205" spans="1:34" ht="18.399999999999999" customHeight="1" x14ac:dyDescent="0.15">
      <c r="A205" s="42" t="s">
        <v>2859</v>
      </c>
      <c r="B205" s="36"/>
      <c r="C205" s="36"/>
      <c r="D205" s="36"/>
      <c r="E205" s="36"/>
      <c r="F205" s="47"/>
      <c r="K205" s="3" t="s">
        <v>895</v>
      </c>
      <c r="AA205" s="39" t="s">
        <v>2079</v>
      </c>
      <c r="AB205" s="8">
        <v>3.3</v>
      </c>
      <c r="AC205" s="39" t="s">
        <v>2079</v>
      </c>
      <c r="AD205" s="9">
        <f>$AB205</f>
        <v>3.3</v>
      </c>
    </row>
    <row r="206" spans="1:34" ht="18.399999999999999" customHeight="1" x14ac:dyDescent="0.15">
      <c r="A206" s="42" t="s">
        <v>2859</v>
      </c>
      <c r="B206" s="36"/>
      <c r="C206" s="36"/>
      <c r="D206" s="36"/>
      <c r="E206" s="36"/>
      <c r="F206" s="47"/>
      <c r="K206" s="3" t="s">
        <v>2859</v>
      </c>
    </row>
    <row r="207" spans="1:34" ht="18.399999999999999" customHeight="1" x14ac:dyDescent="0.15">
      <c r="A207" s="44" t="str">
        <f>CONCATENATE("    재료비   _x001D_17,180_x001D_ * ",TEXT($AB207,"#,##0.00")," hr  = ",TEXT($AF207,"#,##0.00"))</f>
        <v xml:space="preserve">    재료비   _x001D_17,180_x001D_ * 3.30 hr  = 56,694.00</v>
      </c>
      <c r="B207" s="36">
        <f>SUM($C207,$D207,$E207)</f>
        <v>56694</v>
      </c>
      <c r="C207" s="36">
        <f>$AF207</f>
        <v>56694</v>
      </c>
      <c r="D207" s="36"/>
      <c r="E207" s="36"/>
      <c r="F207" s="47" t="s">
        <v>2859</v>
      </c>
      <c r="K207" s="3" t="s">
        <v>2162</v>
      </c>
      <c r="AA207" s="39" t="s">
        <v>2477</v>
      </c>
      <c r="AB207" s="10">
        <f>$AD205</f>
        <v>3.3</v>
      </c>
      <c r="AC207" s="39" t="s">
        <v>391</v>
      </c>
      <c r="AD207" s="9">
        <f>$AB207</f>
        <v>3.3</v>
      </c>
      <c r="AE207" s="40" t="s">
        <v>2113</v>
      </c>
      <c r="AF207" s="10">
        <f>TRUNC(중기사용료목록!E29*$AD207,0)</f>
        <v>56694</v>
      </c>
      <c r="AG207" s="40" t="s">
        <v>2372</v>
      </c>
      <c r="AH207" s="9">
        <f>$AH183+$AF207</f>
        <v>101362</v>
      </c>
    </row>
    <row r="208" spans="1:34" ht="18.399999999999999" customHeight="1" x14ac:dyDescent="0.15">
      <c r="A208" s="44" t="str">
        <f>CONCATENATE("    노무비   _x001D_48,741_x001D_ * ",TEXT($AB208,"#,##0.00")," hr  = ",TEXT($AF208,"#,##0.00"))</f>
        <v xml:space="preserve">    노무비   _x001D_48,741_x001D_ * 3.30 hr  = 160,845.00</v>
      </c>
      <c r="B208" s="36">
        <f>SUM($C208,$D208,$E208)</f>
        <v>160845</v>
      </c>
      <c r="C208" s="36"/>
      <c r="D208" s="36">
        <f>$AF208</f>
        <v>160845</v>
      </c>
      <c r="E208" s="36"/>
      <c r="F208" s="47" t="s">
        <v>2859</v>
      </c>
      <c r="K208" s="3" t="s">
        <v>2776</v>
      </c>
      <c r="AA208" s="39" t="s">
        <v>144</v>
      </c>
      <c r="AB208" s="10">
        <f>$AD205</f>
        <v>3.3</v>
      </c>
      <c r="AC208" s="39" t="s">
        <v>1526</v>
      </c>
      <c r="AD208" s="9">
        <f>$AB208</f>
        <v>3.3</v>
      </c>
      <c r="AE208" s="40" t="s">
        <v>287</v>
      </c>
      <c r="AF208" s="10">
        <f>TRUNC(중기사용료목록!F29*$AD208,0)</f>
        <v>160845</v>
      </c>
      <c r="AG208" s="40" t="s">
        <v>1141</v>
      </c>
      <c r="AH208" s="9">
        <f>$AD199+$AF208</f>
        <v>1171434</v>
      </c>
    </row>
    <row r="209" spans="1:34" ht="18.399999999999999" customHeight="1" x14ac:dyDescent="0.15">
      <c r="A209" s="44" t="str">
        <f>CONCATENATE("    경  비   _x001D_21,743_x001D_ * ",TEXT($AB209,"#,##0.00")," hr  = ",TEXT($AF209,"#,##0.00"))</f>
        <v xml:space="preserve">    경  비   _x001D_21,743_x001D_ * 3.30 hr  = 71,751.00</v>
      </c>
      <c r="B209" s="36">
        <f>SUM($C209,$D209,$E209)</f>
        <v>71751</v>
      </c>
      <c r="C209" s="36"/>
      <c r="D209" s="36"/>
      <c r="E209" s="36">
        <f>$AF209</f>
        <v>71751</v>
      </c>
      <c r="F209" s="47" t="s">
        <v>2859</v>
      </c>
      <c r="K209" s="3" t="s">
        <v>2480</v>
      </c>
      <c r="AA209" s="39" t="s">
        <v>879</v>
      </c>
      <c r="AB209" s="10">
        <f>$AD205</f>
        <v>3.3</v>
      </c>
      <c r="AC209" s="39" t="s">
        <v>228</v>
      </c>
      <c r="AD209" s="9">
        <f>$AB209</f>
        <v>3.3</v>
      </c>
      <c r="AE209" s="40" t="s">
        <v>907</v>
      </c>
      <c r="AF209" s="10">
        <f>TRUNC(중기사용료목록!G29*$AD209,0)</f>
        <v>71751</v>
      </c>
      <c r="AG209" s="40" t="s">
        <v>1545</v>
      </c>
      <c r="AH209" s="9">
        <f>$AD191+$AF209</f>
        <v>137790</v>
      </c>
    </row>
    <row r="210" spans="1:34" ht="18.399999999999999" customHeight="1" x14ac:dyDescent="0.15">
      <c r="A210" s="42" t="s">
        <v>2859</v>
      </c>
      <c r="B210" s="36"/>
      <c r="C210" s="36"/>
      <c r="D210" s="36"/>
      <c r="E210" s="36"/>
      <c r="F210" s="47"/>
      <c r="K210" s="3" t="s">
        <v>2859</v>
      </c>
    </row>
    <row r="211" spans="1:34" ht="18.399999999999999" customHeight="1" x14ac:dyDescent="0.15">
      <c r="A211" s="42" t="s">
        <v>1555</v>
      </c>
      <c r="B211" s="37">
        <f>SUM($C211,$D211,$E211)</f>
        <v>289290</v>
      </c>
      <c r="C211" s="37">
        <f>$AB211</f>
        <v>56694</v>
      </c>
      <c r="D211" s="37">
        <f>$AD211</f>
        <v>160845</v>
      </c>
      <c r="E211" s="37">
        <f>$AF211</f>
        <v>71751</v>
      </c>
      <c r="F211" s="48"/>
      <c r="K211" s="3" t="s">
        <v>173</v>
      </c>
      <c r="AA211" s="39" t="s">
        <v>2032</v>
      </c>
      <c r="AB211" s="9">
        <f>$AH207-$AH183</f>
        <v>56694</v>
      </c>
      <c r="AC211" s="39" t="s">
        <v>72</v>
      </c>
      <c r="AD211" s="9">
        <f>$AH208-$AD199</f>
        <v>160845</v>
      </c>
      <c r="AE211" s="39" t="s">
        <v>2609</v>
      </c>
      <c r="AF211" s="9">
        <f>$AH209-$AD191</f>
        <v>71751</v>
      </c>
    </row>
    <row r="212" spans="1:34" ht="18.399999999999999" customHeight="1" x14ac:dyDescent="0.15">
      <c r="A212" s="42" t="s">
        <v>2859</v>
      </c>
      <c r="B212" s="36"/>
      <c r="C212" s="36"/>
      <c r="D212" s="36"/>
      <c r="E212" s="36"/>
      <c r="F212" s="47"/>
      <c r="K212" s="3" t="s">
        <v>2859</v>
      </c>
    </row>
    <row r="213" spans="1:34" ht="18.399999999999999" customHeight="1" x14ac:dyDescent="0.15">
      <c r="A213" s="42" t="s">
        <v>2048</v>
      </c>
      <c r="B213" s="36"/>
      <c r="C213" s="36"/>
      <c r="D213" s="36"/>
      <c r="E213" s="36"/>
      <c r="F213" s="47"/>
      <c r="K213" s="3" t="s">
        <v>2048</v>
      </c>
    </row>
    <row r="214" spans="1:34" ht="18.399999999999999" customHeight="1" x14ac:dyDescent="0.15">
      <c r="A214" s="42" t="s">
        <v>2859</v>
      </c>
      <c r="B214" s="36"/>
      <c r="C214" s="36"/>
      <c r="D214" s="36"/>
      <c r="E214" s="36"/>
      <c r="F214" s="47"/>
      <c r="K214" s="3" t="s">
        <v>2859</v>
      </c>
    </row>
    <row r="215" spans="1:34" ht="18.399999999999999" customHeight="1" x14ac:dyDescent="0.15">
      <c r="A215" s="44" t="str">
        <f>CONCATENATE("     _x001D_1,171,434_x001D_ *  0.02 %  = ",TEXT($AB215,"#,##0.00"))</f>
        <v xml:space="preserve">     _x001D_1,171,434_x001D_ *  0.02 %  = 23,428.00</v>
      </c>
      <c r="B215" s="36">
        <f>SUM($C215,$D215,$E215)</f>
        <v>23428</v>
      </c>
      <c r="C215" s="36"/>
      <c r="D215" s="36"/>
      <c r="E215" s="36">
        <f>$AB215</f>
        <v>23428</v>
      </c>
      <c r="F215" s="47" t="s">
        <v>2859</v>
      </c>
      <c r="K215" s="3" t="s">
        <v>1450</v>
      </c>
      <c r="AA215" s="40" t="s">
        <v>907</v>
      </c>
      <c r="AB215" s="10">
        <f>TRUNC($AH208*0.02,0)</f>
        <v>23428</v>
      </c>
      <c r="AC215" s="40" t="s">
        <v>1545</v>
      </c>
      <c r="AD215" s="9">
        <f>$AH209+$AB215</f>
        <v>161218</v>
      </c>
    </row>
    <row r="216" spans="1:34" ht="18.399999999999999" customHeight="1" x14ac:dyDescent="0.15">
      <c r="A216" s="42" t="s">
        <v>2859</v>
      </c>
      <c r="B216" s="36"/>
      <c r="C216" s="36"/>
      <c r="D216" s="36"/>
      <c r="E216" s="36"/>
      <c r="F216" s="47"/>
      <c r="K216" s="3" t="s">
        <v>2859</v>
      </c>
    </row>
    <row r="217" spans="1:34" ht="18.399999999999999" customHeight="1" x14ac:dyDescent="0.15">
      <c r="A217" s="42" t="s">
        <v>1555</v>
      </c>
      <c r="B217" s="37">
        <f>SUM($C217,$D217,$E217)</f>
        <v>23428</v>
      </c>
      <c r="C217" s="37">
        <f>$AB217</f>
        <v>0</v>
      </c>
      <c r="D217" s="37">
        <f>$AD217</f>
        <v>0</v>
      </c>
      <c r="E217" s="37">
        <f>$AF217</f>
        <v>23428</v>
      </c>
      <c r="F217" s="48"/>
      <c r="K217" s="3" t="s">
        <v>173</v>
      </c>
      <c r="AA217" s="39" t="s">
        <v>2032</v>
      </c>
      <c r="AB217" s="9">
        <f>$AH207-$AH207</f>
        <v>0</v>
      </c>
      <c r="AC217" s="39" t="s">
        <v>72</v>
      </c>
      <c r="AD217" s="9">
        <f>$AH208-$AH208</f>
        <v>0</v>
      </c>
      <c r="AE217" s="39" t="s">
        <v>2609</v>
      </c>
      <c r="AF217" s="9">
        <f>$AD215-$AH209</f>
        <v>23428</v>
      </c>
    </row>
    <row r="218" spans="1:34" ht="18.399999999999999" customHeight="1" x14ac:dyDescent="0.15">
      <c r="A218" s="42" t="s">
        <v>2859</v>
      </c>
      <c r="B218" s="36"/>
      <c r="C218" s="36"/>
      <c r="D218" s="36"/>
      <c r="E218" s="36"/>
      <c r="F218" s="47"/>
      <c r="K218" s="3" t="s">
        <v>2859</v>
      </c>
    </row>
    <row r="219" spans="1:34" ht="18.399999999999999" customHeight="1" x14ac:dyDescent="0.15">
      <c r="A219" s="42" t="s">
        <v>304</v>
      </c>
      <c r="B219" s="36"/>
      <c r="C219" s="36"/>
      <c r="D219" s="36"/>
      <c r="E219" s="36"/>
      <c r="F219" s="47"/>
      <c r="K219" s="3" t="s">
        <v>304</v>
      </c>
    </row>
    <row r="220" spans="1:34" ht="18.399999999999999" customHeight="1" x14ac:dyDescent="0.15">
      <c r="A220" s="42" t="s">
        <v>2859</v>
      </c>
      <c r="B220" s="36"/>
      <c r="C220" s="36"/>
      <c r="D220" s="36"/>
      <c r="E220" s="36"/>
      <c r="F220" s="47"/>
      <c r="K220" s="3" t="s">
        <v>2859</v>
      </c>
    </row>
    <row r="221" spans="1:34" ht="18.399999999999999" customHeight="1" x14ac:dyDescent="0.15">
      <c r="A221" s="44" t="str">
        <f>CONCATENATE("   ◎ 공사 기간    :    ",TEXT($AB221,"#,##0.00")," &lt;개월&gt;")</f>
        <v xml:space="preserve">   ◎ 공사 기간    :    6.00 &lt;개월&gt;</v>
      </c>
      <c r="B221" s="36">
        <f>SUM($C221,$D221,$E221)</f>
        <v>0</v>
      </c>
      <c r="C221" s="36"/>
      <c r="D221" s="36"/>
      <c r="E221" s="36"/>
      <c r="F221" s="47"/>
      <c r="K221" s="3" t="s">
        <v>398</v>
      </c>
      <c r="AA221" s="39" t="s">
        <v>2726</v>
      </c>
      <c r="AB221" s="10">
        <f>자재!D74</f>
        <v>6</v>
      </c>
      <c r="AC221" s="39" t="s">
        <v>1071</v>
      </c>
      <c r="AD221" s="9">
        <f>$AB221</f>
        <v>6</v>
      </c>
    </row>
    <row r="222" spans="1:34" ht="18.399999999999999" customHeight="1" x14ac:dyDescent="0.15">
      <c r="A222" s="42" t="s">
        <v>2859</v>
      </c>
      <c r="B222" s="36"/>
      <c r="C222" s="36"/>
      <c r="D222" s="36"/>
      <c r="E222" s="36"/>
      <c r="F222" s="47"/>
      <c r="K222" s="3" t="s">
        <v>2859</v>
      </c>
    </row>
    <row r="223" spans="1:34" ht="18.399999999999999" customHeight="1" x14ac:dyDescent="0.15">
      <c r="A223" s="44" t="str">
        <f>CONCATENATE("   ◎ 사용 시간    :    ",TEXT($AB223,"#,##0.0")," &lt;Hr/일&gt;")</f>
        <v xml:space="preserve">   ◎ 사용 시간    :    2.0 &lt;Hr/일&gt;</v>
      </c>
      <c r="B223" s="36"/>
      <c r="C223" s="36"/>
      <c r="D223" s="36"/>
      <c r="E223" s="36"/>
      <c r="F223" s="47"/>
      <c r="K223" s="3" t="s">
        <v>71</v>
      </c>
      <c r="AA223" s="39" t="s">
        <v>501</v>
      </c>
      <c r="AB223" s="8">
        <v>2</v>
      </c>
      <c r="AC223" s="39" t="s">
        <v>501</v>
      </c>
      <c r="AD223" s="9">
        <f>$AB223</f>
        <v>2</v>
      </c>
    </row>
    <row r="224" spans="1:34" ht="18.399999999999999" customHeight="1" x14ac:dyDescent="0.15">
      <c r="A224" s="42" t="s">
        <v>2859</v>
      </c>
      <c r="B224" s="36"/>
      <c r="C224" s="36"/>
      <c r="D224" s="36"/>
      <c r="E224" s="36"/>
      <c r="F224" s="47"/>
      <c r="K224" s="3" t="s">
        <v>2859</v>
      </c>
    </row>
    <row r="225" spans="1:42" ht="18.399999999999999" customHeight="1" x14ac:dyDescent="0.15">
      <c r="A225" s="42" t="s">
        <v>1769</v>
      </c>
      <c r="B225" s="36"/>
      <c r="C225" s="36"/>
      <c r="D225" s="36"/>
      <c r="E225" s="36"/>
      <c r="F225" s="47"/>
      <c r="K225" s="3" t="s">
        <v>396</v>
      </c>
    </row>
    <row r="226" spans="1:42" ht="18.399999999999999" customHeight="1" x14ac:dyDescent="0.15">
      <c r="A226" s="44" t="str">
        <f>CONCATENATE("     _x001D_984_x001D_ * ",TEXT($AB226,"#,##0.00")," &lt;Hr/일&gt; * ",TEXT($AF226,"#,##0.00")," &lt;일/월&gt; * ",TEXT($AJ226,"#,##0.00")," &lt;개월&gt;  =  ",TEXT($AN226,"#,##0.00"))</f>
        <v xml:space="preserve">     _x001D_984_x001D_ * 2.00 &lt;Hr/일&gt; * 25.00 &lt;일/월&gt; * 6.00 &lt;개월&gt;  =  295,200.00</v>
      </c>
      <c r="B226" s="36">
        <f>SUM($C226,$D226,$E226)</f>
        <v>295200</v>
      </c>
      <c r="C226" s="36">
        <f>$AN226</f>
        <v>295200</v>
      </c>
      <c r="D226" s="36"/>
      <c r="E226" s="36"/>
      <c r="F226" s="47" t="s">
        <v>2859</v>
      </c>
      <c r="K226" s="3" t="s">
        <v>1100</v>
      </c>
      <c r="AA226" s="39" t="s">
        <v>1808</v>
      </c>
      <c r="AB226" s="10">
        <f>$AD223</f>
        <v>2</v>
      </c>
      <c r="AC226" s="39" t="s">
        <v>645</v>
      </c>
      <c r="AD226" s="9">
        <f>$AB226</f>
        <v>2</v>
      </c>
      <c r="AE226" s="39" t="s">
        <v>2580</v>
      </c>
      <c r="AF226" s="8">
        <v>25</v>
      </c>
      <c r="AG226" s="39" t="s">
        <v>2580</v>
      </c>
      <c r="AH226" s="9">
        <f>$AF226</f>
        <v>25</v>
      </c>
      <c r="AI226" s="39" t="s">
        <v>1297</v>
      </c>
      <c r="AJ226" s="10">
        <f>$AD221</f>
        <v>6</v>
      </c>
      <c r="AK226" s="39" t="s">
        <v>2339</v>
      </c>
      <c r="AL226" s="9">
        <f>$AJ226</f>
        <v>6</v>
      </c>
      <c r="AM226" s="40" t="s">
        <v>2113</v>
      </c>
      <c r="AN226" s="10">
        <f>TRUNC(중기사용료목록!E37*$AD226*$AH226*$AL226,0)</f>
        <v>295200</v>
      </c>
      <c r="AO226" s="40" t="s">
        <v>2372</v>
      </c>
      <c r="AP226" s="9">
        <f>$AH207+$AN226</f>
        <v>396562</v>
      </c>
    </row>
    <row r="227" spans="1:42" ht="18.399999999999999" customHeight="1" x14ac:dyDescent="0.15">
      <c r="A227" s="42" t="s">
        <v>2859</v>
      </c>
      <c r="B227" s="36"/>
      <c r="C227" s="36"/>
      <c r="D227" s="36"/>
      <c r="E227" s="36"/>
      <c r="F227" s="47"/>
      <c r="K227" s="3" t="s">
        <v>2859</v>
      </c>
    </row>
    <row r="228" spans="1:42" ht="18.399999999999999" customHeight="1" x14ac:dyDescent="0.15">
      <c r="A228" s="42" t="s">
        <v>1774</v>
      </c>
      <c r="B228" s="36"/>
      <c r="C228" s="36"/>
      <c r="D228" s="36"/>
      <c r="E228" s="36"/>
      <c r="F228" s="47"/>
      <c r="K228" s="3" t="s">
        <v>2397</v>
      </c>
    </row>
    <row r="229" spans="1:42" ht="18.399999999999999" customHeight="1" x14ac:dyDescent="0.15">
      <c r="A229" s="44" t="str">
        <f>CONCATENATE("     _x001D_9,419_x001D_ * ",TEXT($AB229,"#,##0.00")," &lt;Hr/일&gt; * ",TEXT($AF229,"#,##0.00")," &lt;일/월&gt; * ",TEXT($AJ229,"#,##0.00")," &lt;개월&gt;  =  ",TEXT($AN229,"#,##0.00"))</f>
        <v xml:space="preserve">     _x001D_9,419_x001D_ * 2.00 &lt;Hr/일&gt; * 25.00 &lt;일/월&gt; * 6.00 &lt;개월&gt;  =  2,825,700.00</v>
      </c>
      <c r="B229" s="36">
        <f>SUM($C229,$D229,$E229)</f>
        <v>2825700</v>
      </c>
      <c r="C229" s="36"/>
      <c r="D229" s="36"/>
      <c r="E229" s="36">
        <f>$AN229</f>
        <v>2825700</v>
      </c>
      <c r="F229" s="47" t="s">
        <v>2859</v>
      </c>
      <c r="K229" s="3" t="s">
        <v>2810</v>
      </c>
      <c r="AA229" s="39" t="s">
        <v>1308</v>
      </c>
      <c r="AB229" s="10">
        <f>$AD223</f>
        <v>2</v>
      </c>
      <c r="AC229" s="39" t="s">
        <v>1616</v>
      </c>
      <c r="AD229" s="9">
        <f>$AB229</f>
        <v>2</v>
      </c>
      <c r="AE229" s="39" t="s">
        <v>2580</v>
      </c>
      <c r="AF229" s="8">
        <v>25</v>
      </c>
      <c r="AG229" s="39" t="s">
        <v>2580</v>
      </c>
      <c r="AH229" s="9">
        <f>$AF229</f>
        <v>25</v>
      </c>
      <c r="AI229" s="39" t="s">
        <v>1822</v>
      </c>
      <c r="AJ229" s="10">
        <f>$AD221</f>
        <v>6</v>
      </c>
      <c r="AK229" s="39" t="s">
        <v>1422</v>
      </c>
      <c r="AL229" s="9">
        <f>$AJ229</f>
        <v>6</v>
      </c>
      <c r="AM229" s="40" t="s">
        <v>907</v>
      </c>
      <c r="AN229" s="10">
        <f>TRUNC(중기사용료목록!G37*$AD229*$AH229*$AL229,0)</f>
        <v>2825700</v>
      </c>
      <c r="AO229" s="40" t="s">
        <v>1545</v>
      </c>
      <c r="AP229" s="9">
        <f>$AD215+$AN229</f>
        <v>2986918</v>
      </c>
    </row>
    <row r="230" spans="1:42" ht="18.399999999999999" customHeight="1" x14ac:dyDescent="0.15">
      <c r="A230" s="42" t="s">
        <v>2859</v>
      </c>
      <c r="B230" s="36"/>
      <c r="C230" s="36"/>
      <c r="D230" s="36"/>
      <c r="E230" s="36"/>
      <c r="F230" s="47"/>
      <c r="K230" s="3" t="s">
        <v>2859</v>
      </c>
    </row>
    <row r="231" spans="1:42" ht="18.399999999999999" customHeight="1" x14ac:dyDescent="0.15">
      <c r="A231" s="42" t="s">
        <v>1555</v>
      </c>
      <c r="B231" s="37">
        <f>SUM($C231,$D231,$E231)</f>
        <v>3120900</v>
      </c>
      <c r="C231" s="37">
        <f>$AB231</f>
        <v>295200</v>
      </c>
      <c r="D231" s="37">
        <f>$AD231</f>
        <v>0</v>
      </c>
      <c r="E231" s="37">
        <f>$AF231</f>
        <v>2825700</v>
      </c>
      <c r="F231" s="48"/>
      <c r="K231" s="3" t="s">
        <v>173</v>
      </c>
      <c r="AA231" s="39" t="s">
        <v>2032</v>
      </c>
      <c r="AB231" s="9">
        <f>$AP226-$AH207</f>
        <v>295200</v>
      </c>
      <c r="AC231" s="39" t="s">
        <v>72</v>
      </c>
      <c r="AD231" s="9">
        <f>$AH208-$AH208</f>
        <v>0</v>
      </c>
      <c r="AE231" s="39" t="s">
        <v>2609</v>
      </c>
      <c r="AF231" s="9">
        <f>$AP229-$AD215</f>
        <v>2825700</v>
      </c>
    </row>
    <row r="232" spans="1:42" ht="18.399999999999999" customHeight="1" x14ac:dyDescent="0.15">
      <c r="A232" s="42" t="s">
        <v>2859</v>
      </c>
      <c r="B232" s="36"/>
      <c r="C232" s="36"/>
      <c r="D232" s="36"/>
      <c r="E232" s="36"/>
      <c r="F232" s="47"/>
      <c r="K232" s="3" t="s">
        <v>2859</v>
      </c>
    </row>
    <row r="233" spans="1:42" ht="18.399999999999999" customHeight="1" x14ac:dyDescent="0.15">
      <c r="A233" s="42" t="s">
        <v>2041</v>
      </c>
      <c r="B233" s="36"/>
      <c r="C233" s="36"/>
      <c r="D233" s="36"/>
      <c r="E233" s="36"/>
      <c r="F233" s="47"/>
      <c r="K233" s="3" t="s">
        <v>2041</v>
      </c>
    </row>
    <row r="234" spans="1:42" ht="18.399999999999999" customHeight="1" x14ac:dyDescent="0.15">
      <c r="A234" s="42" t="s">
        <v>2859</v>
      </c>
      <c r="B234" s="36"/>
      <c r="C234" s="36"/>
      <c r="D234" s="36"/>
      <c r="E234" s="36"/>
      <c r="F234" s="47"/>
      <c r="K234" s="3" t="s">
        <v>2859</v>
      </c>
    </row>
    <row r="235" spans="1:42" ht="18.399999999999999" customHeight="1" x14ac:dyDescent="0.15">
      <c r="A235" s="44" t="str">
        <f>CONCATENATE("   * 사용시간 :  ",TEXT($AB235,"#,##0.00")," &lt;Hr/일&gt; * ",TEXT($AF235,"#,##0.00")," &lt;일/월&gt; * ",TEXT($AJ235,"#,##0.00")," &lt;개월&gt;  =  ",TEXT($AN235,"#,##0.00")," &lt;Hr&gt; ")</f>
        <v xml:space="preserve">   * 사용시간 :  2.00 &lt;Hr/일&gt; * 25.00 &lt;일/월&gt; * 6.00 &lt;개월&gt;  =  300.00 &lt;Hr&gt; </v>
      </c>
      <c r="B235" s="36">
        <f>SUM($C235,$D235,$E235)</f>
        <v>0</v>
      </c>
      <c r="C235" s="36"/>
      <c r="D235" s="36"/>
      <c r="E235" s="36"/>
      <c r="F235" s="47"/>
      <c r="K235" s="3" t="s">
        <v>1215</v>
      </c>
      <c r="AA235" s="39" t="s">
        <v>1013</v>
      </c>
      <c r="AB235" s="10">
        <f>$AD223</f>
        <v>2</v>
      </c>
      <c r="AC235" s="39" t="s">
        <v>1742</v>
      </c>
      <c r="AD235" s="9">
        <f>$AB235</f>
        <v>2</v>
      </c>
      <c r="AE235" s="39" t="s">
        <v>1543</v>
      </c>
      <c r="AF235" s="10">
        <f>$AH229</f>
        <v>25</v>
      </c>
      <c r="AG235" s="39" t="s">
        <v>1290</v>
      </c>
      <c r="AH235" s="9">
        <f>$AF235</f>
        <v>25</v>
      </c>
      <c r="AI235" s="39" t="s">
        <v>616</v>
      </c>
      <c r="AJ235" s="10">
        <f>$AD221</f>
        <v>6</v>
      </c>
      <c r="AK235" s="39" t="s">
        <v>242</v>
      </c>
      <c r="AL235" s="9">
        <f>$AJ235</f>
        <v>6</v>
      </c>
      <c r="AM235" s="39" t="s">
        <v>264</v>
      </c>
      <c r="AN235" s="10">
        <f>ROUND($AD235*$AH235*$AL235,2)</f>
        <v>300</v>
      </c>
      <c r="AO235" s="39" t="s">
        <v>1609</v>
      </c>
      <c r="AP235" s="9">
        <f>$AN235</f>
        <v>300</v>
      </c>
    </row>
    <row r="236" spans="1:42" ht="18.399999999999999" customHeight="1" x14ac:dyDescent="0.15">
      <c r="A236" s="42" t="s">
        <v>2859</v>
      </c>
      <c r="B236" s="36"/>
      <c r="C236" s="36"/>
      <c r="D236" s="36"/>
      <c r="E236" s="36"/>
      <c r="F236" s="47"/>
      <c r="K236" s="3" t="s">
        <v>2859</v>
      </c>
    </row>
    <row r="237" spans="1:42" ht="18.399999999999999" customHeight="1" x14ac:dyDescent="0.15">
      <c r="A237" s="42" t="s">
        <v>1727</v>
      </c>
      <c r="B237" s="36"/>
      <c r="C237" s="36"/>
      <c r="D237" s="36"/>
      <c r="E237" s="36"/>
      <c r="F237" s="47"/>
      <c r="K237" s="3" t="s">
        <v>1727</v>
      </c>
    </row>
    <row r="238" spans="1:42" ht="18.399999999999999" customHeight="1" x14ac:dyDescent="0.15">
      <c r="A238" s="42" t="s">
        <v>2859</v>
      </c>
      <c r="B238" s="36"/>
      <c r="C238" s="36"/>
      <c r="D238" s="36"/>
      <c r="E238" s="36"/>
      <c r="F238" s="47"/>
      <c r="K238" s="3" t="s">
        <v>2859</v>
      </c>
    </row>
    <row r="239" spans="1:42" ht="18.399999999999999" customHeight="1" x14ac:dyDescent="0.15">
      <c r="A239" s="44" t="str">
        <f>CONCATENATE("       3600 &lt;Sec&gt; / 45 &lt;Sec/대&gt; * 5 &lt;ℓ&gt;   =  ",TEXT($AB239,"#,##0.00")," &lt;ℓ/Hr&gt; ")</f>
        <v xml:space="preserve">       3600 &lt;Sec&gt; / 45 &lt;Sec/대&gt; * 5 &lt;ℓ&gt;   =  400.00 &lt;ℓ/Hr&gt; </v>
      </c>
      <c r="B239" s="36">
        <f>SUM($C239,$D239,$E239)</f>
        <v>0</v>
      </c>
      <c r="C239" s="36"/>
      <c r="D239" s="36"/>
      <c r="E239" s="36"/>
      <c r="F239" s="47"/>
      <c r="K239" s="3" t="s">
        <v>1377</v>
      </c>
      <c r="AA239" s="39" t="s">
        <v>804</v>
      </c>
      <c r="AB239" s="10">
        <f>ROUND(3600/45*5,2)</f>
        <v>400</v>
      </c>
      <c r="AC239" s="39" t="s">
        <v>779</v>
      </c>
      <c r="AD239" s="9">
        <f>$AB239</f>
        <v>400</v>
      </c>
    </row>
    <row r="240" spans="1:42" ht="18.399999999999999" customHeight="1" x14ac:dyDescent="0.15">
      <c r="A240" s="42" t="s">
        <v>2859</v>
      </c>
      <c r="B240" s="36"/>
      <c r="C240" s="36"/>
      <c r="D240" s="36"/>
      <c r="E240" s="36"/>
      <c r="F240" s="47"/>
      <c r="K240" s="3" t="s">
        <v>2859</v>
      </c>
    </row>
    <row r="241" spans="1:50" ht="18.399999999999999" customHeight="1" x14ac:dyDescent="0.15">
      <c r="A241" s="42" t="s">
        <v>1076</v>
      </c>
      <c r="B241" s="36"/>
      <c r="C241" s="36"/>
      <c r="D241" s="36"/>
      <c r="E241" s="36"/>
      <c r="F241" s="47"/>
      <c r="K241" s="3" t="s">
        <v>1076</v>
      </c>
    </row>
    <row r="242" spans="1:50" ht="18.399999999999999" customHeight="1" x14ac:dyDescent="0.15">
      <c r="A242" s="42" t="s">
        <v>2859</v>
      </c>
      <c r="B242" s="36"/>
      <c r="C242" s="36"/>
      <c r="D242" s="36"/>
      <c r="E242" s="36"/>
      <c r="F242" s="47"/>
      <c r="K242" s="3" t="s">
        <v>2859</v>
      </c>
    </row>
    <row r="243" spans="1:50" ht="18.399999999999999" customHeight="1" x14ac:dyDescent="0.15">
      <c r="A243" s="44" t="str">
        <f>CONCATENATE("       L=",TEXT($AB243,"#,##0.0"),"  &lt;km&gt; ,        V=",TEXT($AF243,"#,##0.00")," &lt;km/Hr&gt;")</f>
        <v xml:space="preserve">       L=1.0  &lt;km&gt; ,        V=25.00 &lt;km/Hr&gt;</v>
      </c>
      <c r="B243" s="36"/>
      <c r="C243" s="36"/>
      <c r="D243" s="36"/>
      <c r="E243" s="36"/>
      <c r="F243" s="47"/>
      <c r="K243" s="12" t="str">
        <f>SUBSTITUTE(SUBSTITUTE(SUBSTITUTE("       L = 1.0 _x001D_&lt;km&gt;_x001D_,        V = 25_x001D_&lt;km/Hr&gt;_x001D_","1.0",TEXT($AB243,"#,##0.0"),1),"25",TEXT($AF243,"#,##0"),1),"_x001D_","'")</f>
        <v xml:space="preserve">       L = 1.0 '&lt;km&gt;',        V = 25'&lt;km/Hr&gt;'</v>
      </c>
      <c r="AA243" s="39" t="s">
        <v>2704</v>
      </c>
      <c r="AB243" s="8">
        <v>1</v>
      </c>
      <c r="AC243" s="39" t="s">
        <v>2704</v>
      </c>
      <c r="AD243" s="9">
        <f>$AB243</f>
        <v>1</v>
      </c>
      <c r="AE243" s="39" t="s">
        <v>120</v>
      </c>
      <c r="AF243" s="8">
        <v>25</v>
      </c>
      <c r="AG243" s="39" t="s">
        <v>120</v>
      </c>
      <c r="AH243" s="9">
        <f>$AF243</f>
        <v>25</v>
      </c>
    </row>
    <row r="244" spans="1:50" ht="18.399999999999999" customHeight="1" x14ac:dyDescent="0.15">
      <c r="A244" s="42" t="s">
        <v>2859</v>
      </c>
      <c r="B244" s="36"/>
      <c r="C244" s="36"/>
      <c r="D244" s="36"/>
      <c r="E244" s="36"/>
      <c r="F244" s="47"/>
      <c r="K244" s="3" t="s">
        <v>2859</v>
      </c>
    </row>
    <row r="245" spans="1:50" ht="18.399999999999999" customHeight="1" x14ac:dyDescent="0.15">
      <c r="A245" s="44" t="str">
        <f>CONCATENATE("       E=",TEXT($AB245,"#,##0.0"),",               q=",TEXT($AF245,"#,##0.00")," &lt;ℓ&gt;")</f>
        <v xml:space="preserve">       E=0.9,               q=5,500.00 &lt;ℓ&gt;</v>
      </c>
      <c r="B245" s="36"/>
      <c r="C245" s="36"/>
      <c r="D245" s="36"/>
      <c r="E245" s="36"/>
      <c r="F245" s="47"/>
      <c r="K245" s="12" t="str">
        <f>SUBSTITUTE(SUBSTITUTE(SUBSTITUTE("       E = 0.9,               q = 5500_x001D_&lt;ℓ&gt;_x001D_","0.9",TEXT($AB245,"#,##0.0"),1),"5500",TEXT($AF245,"#,##0"),1),"_x001D_","'")</f>
        <v xml:space="preserve">       E = 0.9,               q = 5,500'&lt;ℓ&gt;'</v>
      </c>
      <c r="AA245" s="39" t="s">
        <v>1383</v>
      </c>
      <c r="AB245" s="8">
        <v>0.9</v>
      </c>
      <c r="AC245" s="39" t="s">
        <v>1383</v>
      </c>
      <c r="AD245" s="9">
        <f>$AB245</f>
        <v>0.9</v>
      </c>
      <c r="AE245" s="39" t="s">
        <v>1972</v>
      </c>
      <c r="AF245" s="8">
        <v>5500</v>
      </c>
      <c r="AG245" s="39" t="s">
        <v>1972</v>
      </c>
      <c r="AH245" s="9">
        <f>$AF245</f>
        <v>5500</v>
      </c>
    </row>
    <row r="246" spans="1:50" ht="18.399999999999999" customHeight="1" x14ac:dyDescent="0.15">
      <c r="A246" s="42" t="s">
        <v>2859</v>
      </c>
      <c r="B246" s="36"/>
      <c r="C246" s="36"/>
      <c r="D246" s="36"/>
      <c r="E246" s="36"/>
      <c r="F246" s="47"/>
      <c r="K246" s="3" t="s">
        <v>2859</v>
      </c>
    </row>
    <row r="247" spans="1:50" ht="18.399999999999999" customHeight="1" x14ac:dyDescent="0.15">
      <c r="A247" s="42" t="s">
        <v>1119</v>
      </c>
      <c r="B247" s="36"/>
      <c r="C247" s="36"/>
      <c r="D247" s="36"/>
      <c r="E247" s="36"/>
      <c r="F247" s="47"/>
      <c r="K247" s="12" t="str">
        <f>SUBSTITUTE(SUBSTITUTE("       t1_x001D_(급수준비시간)_x001D_ = 5_x001D_&lt;min&gt;_x001D_,","5",TEXT($AB247,"#,##0"),1),"_x001D_","'")</f>
        <v xml:space="preserve">       t1'(급수준비시간)' = 5'&lt;min&gt;',</v>
      </c>
      <c r="AA247" s="39" t="s">
        <v>2079</v>
      </c>
      <c r="AB247" s="8">
        <v>5</v>
      </c>
      <c r="AC247" s="39" t="s">
        <v>2079</v>
      </c>
      <c r="AD247" s="9">
        <f>$AB247</f>
        <v>5</v>
      </c>
    </row>
    <row r="248" spans="1:50" ht="18.399999999999999" customHeight="1" x14ac:dyDescent="0.15">
      <c r="A248" s="42" t="s">
        <v>2859</v>
      </c>
      <c r="B248" s="36"/>
      <c r="C248" s="36"/>
      <c r="D248" s="36"/>
      <c r="E248" s="36"/>
      <c r="F248" s="47"/>
      <c r="K248" s="3" t="s">
        <v>2859</v>
      </c>
    </row>
    <row r="249" spans="1:50" ht="18.399999999999999" customHeight="1" x14ac:dyDescent="0.15">
      <c r="A249" s="42" t="s">
        <v>1750</v>
      </c>
      <c r="B249" s="36"/>
      <c r="C249" s="36"/>
      <c r="D249" s="36"/>
      <c r="E249" s="36"/>
      <c r="F249" s="47"/>
      <c r="K249" s="12" t="str">
        <f>SUBSTITUTE(SUBSTITUTE("       t2_x001D_(급수시간)_x001D_ = 10_x001D_&lt;min&gt;_x001D_,","10",TEXT($AB249,"#,##0"),1),"_x001D_","'")</f>
        <v xml:space="preserve">       t2'(급수시간)' = 10'&lt;min&gt;',</v>
      </c>
      <c r="AA249" s="39" t="s">
        <v>953</v>
      </c>
      <c r="AB249" s="8">
        <v>10</v>
      </c>
      <c r="AC249" s="39" t="s">
        <v>953</v>
      </c>
      <c r="AD249" s="9">
        <f>$AB249</f>
        <v>10</v>
      </c>
    </row>
    <row r="250" spans="1:50" ht="18.399999999999999" customHeight="1" x14ac:dyDescent="0.15">
      <c r="A250" s="42" t="s">
        <v>2859</v>
      </c>
      <c r="B250" s="36"/>
      <c r="C250" s="36"/>
      <c r="D250" s="36"/>
      <c r="E250" s="36"/>
      <c r="F250" s="47"/>
      <c r="K250" s="3" t="s">
        <v>2859</v>
      </c>
    </row>
    <row r="251" spans="1:50" ht="18.399999999999999" customHeight="1" x14ac:dyDescent="0.15">
      <c r="A251" s="42" t="s">
        <v>222</v>
      </c>
      <c r="B251" s="36"/>
      <c r="C251" s="36"/>
      <c r="D251" s="36"/>
      <c r="E251" s="36"/>
      <c r="F251" s="47"/>
      <c r="K251" s="12" t="str">
        <f>SUBSTITUTE(SUBSTITUTE("       t3_x001D_(살수시간)_x001D_ = 20_x001D_&lt;min&gt;_x001D_,","20",TEXT($AB251,"#,##0"),1),"_x001D_","'")</f>
        <v xml:space="preserve">       t3'(살수시간)' = 20'&lt;min&gt;',</v>
      </c>
      <c r="AA251" s="39" t="s">
        <v>511</v>
      </c>
      <c r="AB251" s="8">
        <v>20</v>
      </c>
      <c r="AC251" s="39" t="s">
        <v>511</v>
      </c>
      <c r="AD251" s="9">
        <f>$AB251</f>
        <v>20</v>
      </c>
    </row>
    <row r="252" spans="1:50" ht="18.399999999999999" customHeight="1" x14ac:dyDescent="0.15">
      <c r="A252" s="42" t="s">
        <v>2859</v>
      </c>
      <c r="B252" s="36"/>
      <c r="C252" s="36"/>
      <c r="D252" s="36"/>
      <c r="E252" s="36"/>
      <c r="F252" s="47"/>
      <c r="K252" s="3" t="s">
        <v>2859</v>
      </c>
    </row>
    <row r="253" spans="1:50" ht="18.399999999999999" customHeight="1" x14ac:dyDescent="0.15">
      <c r="A253" s="44" t="str">
        <f>CONCATENATE("       t4 (운반시간)  = (",TEXT($AB253,"#,##0.00")," / ",TEXT($AF253,"#,##0.00"),") * 60 * 2  = ",TEXT($AN253,"#,##0.00")," &lt;min&gt; ")</f>
        <v xml:space="preserve">       t4 (운반시간)  = (1.00 / 25.00) * 60 * 2  = 4.80 &lt;min&gt; </v>
      </c>
      <c r="B253" s="36">
        <f>SUM($C253,$D253,$E253)</f>
        <v>0</v>
      </c>
      <c r="C253" s="36"/>
      <c r="D253" s="36"/>
      <c r="E253" s="36"/>
      <c r="F253" s="47"/>
      <c r="K253" s="3" t="s">
        <v>936</v>
      </c>
      <c r="AA253" s="39" t="s">
        <v>1660</v>
      </c>
      <c r="AB253" s="10">
        <f>$AD243</f>
        <v>1</v>
      </c>
      <c r="AC253" s="39" t="s">
        <v>1630</v>
      </c>
      <c r="AD253" s="9">
        <f>$AB253</f>
        <v>1</v>
      </c>
      <c r="AE253" s="39" t="s">
        <v>755</v>
      </c>
      <c r="AF253" s="10">
        <f>$AH243</f>
        <v>25</v>
      </c>
      <c r="AG253" s="39" t="s">
        <v>1437</v>
      </c>
      <c r="AH253" s="9">
        <f>$AF253</f>
        <v>25</v>
      </c>
      <c r="AI253" s="39" t="s">
        <v>927</v>
      </c>
      <c r="AJ253" s="10">
        <f>ROUND(($AD253/$AH253)*60*2,2)</f>
        <v>4.8</v>
      </c>
      <c r="AK253" s="39" t="s">
        <v>1531</v>
      </c>
      <c r="AL253" s="9">
        <f>$AJ253</f>
        <v>4.8</v>
      </c>
      <c r="AM253" s="39" t="s">
        <v>2763</v>
      </c>
      <c r="AN253" s="10">
        <f>ROUND(ROUND(($AD253/$AH253)*60*2,2),2)</f>
        <v>4.8</v>
      </c>
      <c r="AO253" s="39" t="s">
        <v>274</v>
      </c>
      <c r="AP253" s="9">
        <f>$AN253</f>
        <v>4.8</v>
      </c>
    </row>
    <row r="254" spans="1:50" ht="18.399999999999999" customHeight="1" x14ac:dyDescent="0.15">
      <c r="A254" s="42" t="s">
        <v>2859</v>
      </c>
      <c r="B254" s="36"/>
      <c r="C254" s="36"/>
      <c r="D254" s="36"/>
      <c r="E254" s="36"/>
      <c r="F254" s="47"/>
      <c r="K254" s="3" t="s">
        <v>2859</v>
      </c>
    </row>
    <row r="255" spans="1:50" ht="18.399999999999999" customHeight="1" x14ac:dyDescent="0.15">
      <c r="A255" s="44" t="str">
        <f>CONCATENATE("       Cm = ",TEXT($AB255,"#,##0.00")," + ",TEXT($AF255,"#,##0.00")," + ",TEXT($AJ255,"#,##0.00")," + ",TEXT($AN255,"#,##0.00"),"  = ",TEXT($AV255,"#,##0.00")," &lt;min&gt; ")</f>
        <v xml:space="preserve">       Cm = 5.00 + 10.00 + 20.00 + 4.80  = 39.80 &lt;min&gt; </v>
      </c>
      <c r="B255" s="36">
        <f>SUM($C255,$D255,$E255)</f>
        <v>0</v>
      </c>
      <c r="C255" s="36"/>
      <c r="D255" s="36"/>
      <c r="E255" s="36"/>
      <c r="F255" s="47"/>
      <c r="K255" s="3" t="s">
        <v>2771</v>
      </c>
      <c r="AA255" s="39" t="s">
        <v>327</v>
      </c>
      <c r="AB255" s="10">
        <f>$AD247</f>
        <v>5</v>
      </c>
      <c r="AC255" s="39" t="s">
        <v>229</v>
      </c>
      <c r="AD255" s="9">
        <f>$AB255</f>
        <v>5</v>
      </c>
      <c r="AE255" s="39" t="s">
        <v>2292</v>
      </c>
      <c r="AF255" s="10">
        <f>$AD249</f>
        <v>10</v>
      </c>
      <c r="AG255" s="39" t="s">
        <v>2794</v>
      </c>
      <c r="AH255" s="9">
        <f>$AF255</f>
        <v>10</v>
      </c>
      <c r="AI255" s="39" t="s">
        <v>1426</v>
      </c>
      <c r="AJ255" s="10">
        <f>$AD251</f>
        <v>20</v>
      </c>
      <c r="AK255" s="39" t="s">
        <v>1756</v>
      </c>
      <c r="AL255" s="9">
        <f>$AJ255</f>
        <v>20</v>
      </c>
      <c r="AM255" s="39" t="s">
        <v>1250</v>
      </c>
      <c r="AN255" s="10">
        <f>$AL253</f>
        <v>4.8</v>
      </c>
      <c r="AO255" s="39" t="s">
        <v>386</v>
      </c>
      <c r="AP255" s="9">
        <f>$AN255</f>
        <v>4.8</v>
      </c>
      <c r="AQ255" s="39" t="s">
        <v>2302</v>
      </c>
      <c r="AR255" s="10">
        <f>ROUND($AD255+$AH255+$AL255+$AP255,2)</f>
        <v>39.799999999999997</v>
      </c>
      <c r="AS255" s="39" t="s">
        <v>139</v>
      </c>
      <c r="AT255" s="9">
        <f>$AR255</f>
        <v>39.799999999999997</v>
      </c>
      <c r="AU255" s="39" t="s">
        <v>2504</v>
      </c>
      <c r="AV255" s="10">
        <f>ROUND(ROUND($AD255+$AH255+$AL255+$AP255,2),2)</f>
        <v>39.799999999999997</v>
      </c>
      <c r="AW255" s="39" t="s">
        <v>710</v>
      </c>
      <c r="AX255" s="9">
        <f>$AV255</f>
        <v>39.799999999999997</v>
      </c>
    </row>
    <row r="256" spans="1:50" ht="18.399999999999999" customHeight="1" x14ac:dyDescent="0.15">
      <c r="A256" s="42" t="s">
        <v>2859</v>
      </c>
      <c r="B256" s="36"/>
      <c r="C256" s="36"/>
      <c r="D256" s="36"/>
      <c r="E256" s="36"/>
      <c r="F256" s="47"/>
      <c r="K256" s="3" t="s">
        <v>2859</v>
      </c>
    </row>
    <row r="257" spans="1:46" ht="18.399999999999999" customHeight="1" x14ac:dyDescent="0.15">
      <c r="A257" s="44" t="str">
        <f>CONCATENATE("       to =  ",TEXT($AB257,"#,##0.00"),"  -  ",TEXT($AF257,"#,##0.00"),"    =  ",TEXT($AN257,"#,##0.00")," &lt;min&gt; ")</f>
        <v xml:space="preserve">       to =  39.80  -  5.00    =  34.80 &lt;min&gt; </v>
      </c>
      <c r="B257" s="36">
        <f>SUM($C257,$D257,$E257)</f>
        <v>0</v>
      </c>
      <c r="C257" s="36"/>
      <c r="D257" s="36"/>
      <c r="E257" s="36"/>
      <c r="F257" s="47"/>
      <c r="K257" s="3" t="s">
        <v>1604</v>
      </c>
      <c r="AA257" s="39" t="s">
        <v>1700</v>
      </c>
      <c r="AB257" s="10">
        <f>$AT255</f>
        <v>39.799999999999997</v>
      </c>
      <c r="AC257" s="39" t="s">
        <v>1221</v>
      </c>
      <c r="AD257" s="9">
        <f>$AB257</f>
        <v>39.799999999999997</v>
      </c>
      <c r="AE257" s="39" t="s">
        <v>802</v>
      </c>
      <c r="AF257" s="10">
        <f>$AD247</f>
        <v>5</v>
      </c>
      <c r="AG257" s="39" t="s">
        <v>1491</v>
      </c>
      <c r="AH257" s="9">
        <f>$AF257</f>
        <v>5</v>
      </c>
      <c r="AI257" s="39" t="s">
        <v>1573</v>
      </c>
      <c r="AJ257" s="10">
        <f>ROUND($AD257-$AH257,2)</f>
        <v>34.799999999999997</v>
      </c>
      <c r="AK257" s="39" t="s">
        <v>202</v>
      </c>
      <c r="AL257" s="9">
        <f>$AJ257</f>
        <v>34.799999999999997</v>
      </c>
      <c r="AM257" s="39" t="s">
        <v>2796</v>
      </c>
      <c r="AN257" s="10">
        <f>ROUND(ROUND($AD257-$AH257,2),2)</f>
        <v>34.799999999999997</v>
      </c>
      <c r="AO257" s="39" t="s">
        <v>2536</v>
      </c>
      <c r="AP257" s="9">
        <f>$AN257</f>
        <v>34.799999999999997</v>
      </c>
    </row>
    <row r="258" spans="1:46" ht="18.399999999999999" customHeight="1" x14ac:dyDescent="0.15">
      <c r="A258" s="42" t="s">
        <v>2859</v>
      </c>
      <c r="B258" s="36"/>
      <c r="C258" s="36"/>
      <c r="D258" s="36"/>
      <c r="E258" s="36"/>
      <c r="F258" s="47"/>
      <c r="K258" s="3" t="s">
        <v>2859</v>
      </c>
    </row>
    <row r="259" spans="1:46" ht="18.399999999999999" customHeight="1" x14ac:dyDescent="0.15">
      <c r="A259" s="44" t="str">
        <f>CONCATENATE("       Q  =  60 * ",TEXT($AB259,"#,##0.00")," * ",TEXT($AF259,"#,##0.00")," / ",TEXT($AJ259,"#,##0.00"),"   =  ",TEXT($AR259,"#,##0.00")," &lt;ℓ/Hr&gt; ")</f>
        <v xml:space="preserve">       Q  =  60 * 5,500.00 * 0.90 / 39.80   =  7,462.31 &lt;ℓ/Hr&gt; </v>
      </c>
      <c r="B259" s="36">
        <f>SUM($C259,$D259,$E259)</f>
        <v>0</v>
      </c>
      <c r="C259" s="36"/>
      <c r="D259" s="36"/>
      <c r="E259" s="36"/>
      <c r="F259" s="47"/>
      <c r="K259" s="3" t="s">
        <v>1785</v>
      </c>
      <c r="AA259" s="39" t="s">
        <v>115</v>
      </c>
      <c r="AB259" s="10">
        <f>$AH245</f>
        <v>5500</v>
      </c>
      <c r="AC259" s="39" t="s">
        <v>1008</v>
      </c>
      <c r="AD259" s="9">
        <f>$AB259</f>
        <v>5500</v>
      </c>
      <c r="AE259" s="39" t="s">
        <v>2453</v>
      </c>
      <c r="AF259" s="10">
        <f>$AD245</f>
        <v>0.9</v>
      </c>
      <c r="AG259" s="39" t="s">
        <v>2031</v>
      </c>
      <c r="AH259" s="9">
        <f>$AF259</f>
        <v>0.9</v>
      </c>
      <c r="AI259" s="39" t="s">
        <v>1214</v>
      </c>
      <c r="AJ259" s="10">
        <f>$AT255</f>
        <v>39.799999999999997</v>
      </c>
      <c r="AK259" s="39" t="s">
        <v>2337</v>
      </c>
      <c r="AL259" s="9">
        <f>$AJ259</f>
        <v>39.799999999999997</v>
      </c>
      <c r="AM259" s="39" t="s">
        <v>504</v>
      </c>
      <c r="AN259" s="10">
        <f>ROUND(60*$AD259*$AH259/$AL259,2)</f>
        <v>7462.31</v>
      </c>
      <c r="AO259" s="39" t="s">
        <v>1972</v>
      </c>
      <c r="AP259" s="9">
        <f>$AN259</f>
        <v>7462.31</v>
      </c>
      <c r="AQ259" s="39" t="s">
        <v>1392</v>
      </c>
      <c r="AR259" s="10">
        <f>ROUND(ROUND(60*$AD259*$AH259/$AL259,2),2)</f>
        <v>7462.31</v>
      </c>
      <c r="AS259" s="39" t="s">
        <v>1220</v>
      </c>
      <c r="AT259" s="9">
        <f>$AR259</f>
        <v>7462.31</v>
      </c>
    </row>
    <row r="260" spans="1:46" ht="18.399999999999999" customHeight="1" x14ac:dyDescent="0.15">
      <c r="A260" s="42" t="s">
        <v>2859</v>
      </c>
      <c r="B260" s="36"/>
      <c r="C260" s="36"/>
      <c r="D260" s="36"/>
      <c r="E260" s="36"/>
      <c r="F260" s="47"/>
      <c r="K260" s="3" t="s">
        <v>2859</v>
      </c>
    </row>
    <row r="261" spans="1:46" ht="18.399999999999999" customHeight="1" x14ac:dyDescent="0.15">
      <c r="A261" s="42" t="s">
        <v>788</v>
      </c>
      <c r="B261" s="36"/>
      <c r="C261" s="36"/>
      <c r="D261" s="36"/>
      <c r="E261" s="36"/>
      <c r="F261" s="47"/>
      <c r="K261" s="3" t="s">
        <v>75</v>
      </c>
    </row>
    <row r="262" spans="1:46" ht="18.399999999999999" customHeight="1" x14ac:dyDescent="0.15">
      <c r="A262" s="44" t="str">
        <f>CONCATENATE("         _x001D_16,805_x001D_ / ",TEXT($AB262,"#,##0.00")," * ",TEXT($AF262,"#,##0.00")," * ",TEXT($AJ262,"#,##0.00")," &lt;Hr&gt; * to / Cm  =  ",TEXT($AN262,"#,##0.00"))</f>
        <v xml:space="preserve">         _x001D_16,805_x001D_ / 7,462.31 * 400.00 * 300.00 &lt;Hr&gt; * to / Cm  =  236,288.00</v>
      </c>
      <c r="B262" s="36">
        <f>SUM($C262,$D262,$E262)</f>
        <v>236288</v>
      </c>
      <c r="C262" s="36">
        <f>$AN262</f>
        <v>236288</v>
      </c>
      <c r="D262" s="36"/>
      <c r="E262" s="36"/>
      <c r="F262" s="47" t="s">
        <v>2859</v>
      </c>
      <c r="K262" s="3" t="s">
        <v>1675</v>
      </c>
      <c r="AA262" s="39" t="s">
        <v>2377</v>
      </c>
      <c r="AB262" s="10">
        <f>$AP259</f>
        <v>7462.31</v>
      </c>
      <c r="AC262" s="39" t="s">
        <v>2238</v>
      </c>
      <c r="AD262" s="9">
        <f>$AB262</f>
        <v>7462.31</v>
      </c>
      <c r="AE262" s="39" t="s">
        <v>50</v>
      </c>
      <c r="AF262" s="10">
        <f>$AD239</f>
        <v>400</v>
      </c>
      <c r="AG262" s="39" t="s">
        <v>383</v>
      </c>
      <c r="AH262" s="9">
        <f>$AF262</f>
        <v>400</v>
      </c>
      <c r="AI262" s="39" t="s">
        <v>2007</v>
      </c>
      <c r="AJ262" s="10">
        <f>$AP235</f>
        <v>300</v>
      </c>
      <c r="AK262" s="39" t="s">
        <v>711</v>
      </c>
      <c r="AL262" s="9">
        <f>$AJ262</f>
        <v>300</v>
      </c>
      <c r="AM262" s="40" t="s">
        <v>2113</v>
      </c>
      <c r="AN262" s="10">
        <f>TRUNC(중기사용료목록!E38/$AD262*$AH262*$AL262*$AL257/$AT255,0)</f>
        <v>236288</v>
      </c>
      <c r="AO262" s="40" t="s">
        <v>2372</v>
      </c>
      <c r="AP262" s="9">
        <f>$AP226+$AN262</f>
        <v>632850</v>
      </c>
    </row>
    <row r="263" spans="1:46" ht="18.399999999999999" customHeight="1" x14ac:dyDescent="0.15">
      <c r="A263" s="42" t="s">
        <v>2859</v>
      </c>
      <c r="B263" s="36"/>
      <c r="C263" s="36"/>
      <c r="D263" s="36"/>
      <c r="E263" s="36"/>
      <c r="F263" s="47"/>
      <c r="K263" s="3" t="s">
        <v>2859</v>
      </c>
    </row>
    <row r="264" spans="1:46" ht="18.399999999999999" customHeight="1" x14ac:dyDescent="0.15">
      <c r="A264" s="42" t="s">
        <v>2348</v>
      </c>
      <c r="B264" s="36"/>
      <c r="C264" s="36"/>
      <c r="D264" s="36"/>
      <c r="E264" s="36"/>
      <c r="F264" s="47"/>
      <c r="K264" s="3" t="s">
        <v>1841</v>
      </c>
    </row>
    <row r="265" spans="1:46" ht="18.399999999999999" customHeight="1" x14ac:dyDescent="0.15">
      <c r="A265" s="44" t="str">
        <f>CONCATENATE("         _x001D_48,741_x001D_ / ",TEXT($AB265,"#,##0.00")," * ",TEXT($AF265,"#,##0.00")," * ",TEXT($AJ265,"#,##0.00")," &lt;Hr&gt;   =  ",TEXT($AN265,"#,##0.00"))</f>
        <v xml:space="preserve">         _x001D_48,741_x001D_ / 7,462.31 * 400.00 * 300.00 &lt;Hr&gt;   =  783,794.00</v>
      </c>
      <c r="B265" s="36">
        <f>SUM($C265,$D265,$E265)</f>
        <v>783794</v>
      </c>
      <c r="C265" s="36"/>
      <c r="D265" s="36">
        <f>$AN265</f>
        <v>783794</v>
      </c>
      <c r="E265" s="36"/>
      <c r="F265" s="47" t="s">
        <v>2859</v>
      </c>
      <c r="K265" s="3" t="s">
        <v>405</v>
      </c>
      <c r="AA265" s="39" t="s">
        <v>314</v>
      </c>
      <c r="AB265" s="10">
        <f>$AP259</f>
        <v>7462.31</v>
      </c>
      <c r="AC265" s="39" t="s">
        <v>2360</v>
      </c>
      <c r="AD265" s="9">
        <f>$AB265</f>
        <v>7462.31</v>
      </c>
      <c r="AE265" s="39" t="s">
        <v>2278</v>
      </c>
      <c r="AF265" s="10">
        <f>$AD239</f>
        <v>400</v>
      </c>
      <c r="AG265" s="39" t="s">
        <v>660</v>
      </c>
      <c r="AH265" s="9">
        <f>$AF265</f>
        <v>400</v>
      </c>
      <c r="AI265" s="39" t="s">
        <v>1411</v>
      </c>
      <c r="AJ265" s="10">
        <f>$AP235</f>
        <v>300</v>
      </c>
      <c r="AK265" s="39" t="s">
        <v>995</v>
      </c>
      <c r="AL265" s="9">
        <f>$AJ265</f>
        <v>300</v>
      </c>
      <c r="AM265" s="40" t="s">
        <v>287</v>
      </c>
      <c r="AN265" s="10">
        <f>TRUNC(중기사용료목록!F38/$AD265*$AH265*$AL265,0)</f>
        <v>783794</v>
      </c>
      <c r="AO265" s="40" t="s">
        <v>1141</v>
      </c>
      <c r="AP265" s="9">
        <f>$AH208+$AN265</f>
        <v>1955228</v>
      </c>
    </row>
    <row r="266" spans="1:46" ht="18.399999999999999" customHeight="1" x14ac:dyDescent="0.15">
      <c r="A266" s="42" t="s">
        <v>2859</v>
      </c>
      <c r="B266" s="36"/>
      <c r="C266" s="36"/>
      <c r="D266" s="36"/>
      <c r="E266" s="36"/>
      <c r="F266" s="47"/>
      <c r="K266" s="3" t="s">
        <v>2859</v>
      </c>
    </row>
    <row r="267" spans="1:46" ht="18.399999999999999" customHeight="1" x14ac:dyDescent="0.15">
      <c r="A267" s="42" t="s">
        <v>2091</v>
      </c>
      <c r="B267" s="36"/>
      <c r="C267" s="36"/>
      <c r="D267" s="36"/>
      <c r="E267" s="36"/>
      <c r="F267" s="47"/>
      <c r="K267" s="3" t="s">
        <v>750</v>
      </c>
    </row>
    <row r="268" spans="1:46" ht="18.399999999999999" customHeight="1" x14ac:dyDescent="0.15">
      <c r="A268" s="44" t="str">
        <f>CONCATENATE("         _x001D_9,470_x001D_ / ",TEXT($AB268,"#,##0.00")," * ",TEXT($AF268,"#,##0.00")," * ",TEXT($AJ268,"#,##0.00")," &lt;Hr&gt;   =  ",TEXT($AN268,"#,##0.00"))</f>
        <v xml:space="preserve">         _x001D_9,470_x001D_ / 7,462.31 * 400.00 * 300.00 &lt;Hr&gt;   =  152,285.00</v>
      </c>
      <c r="B268" s="36">
        <f>SUM($C268,$D268,$E268)</f>
        <v>152285</v>
      </c>
      <c r="C268" s="36"/>
      <c r="D268" s="36"/>
      <c r="E268" s="36">
        <f>$AN268</f>
        <v>152285</v>
      </c>
      <c r="F268" s="47" t="s">
        <v>2859</v>
      </c>
      <c r="K268" s="3" t="s">
        <v>1714</v>
      </c>
      <c r="AA268" s="39" t="s">
        <v>827</v>
      </c>
      <c r="AB268" s="10">
        <f>$AP259</f>
        <v>7462.31</v>
      </c>
      <c r="AC268" s="39" t="s">
        <v>29</v>
      </c>
      <c r="AD268" s="9">
        <f>$AB268</f>
        <v>7462.31</v>
      </c>
      <c r="AE268" s="39" t="s">
        <v>1712</v>
      </c>
      <c r="AF268" s="10">
        <f>$AD239</f>
        <v>400</v>
      </c>
      <c r="AG268" s="39" t="s">
        <v>2649</v>
      </c>
      <c r="AH268" s="9">
        <f>$AF268</f>
        <v>400</v>
      </c>
      <c r="AI268" s="39" t="s">
        <v>450</v>
      </c>
      <c r="AJ268" s="10">
        <f>$AP235</f>
        <v>300</v>
      </c>
      <c r="AK268" s="39" t="s">
        <v>1534</v>
      </c>
      <c r="AL268" s="9">
        <f>$AJ268</f>
        <v>300</v>
      </c>
      <c r="AM268" s="40" t="s">
        <v>907</v>
      </c>
      <c r="AN268" s="10">
        <f>TRUNC(중기사용료목록!G38/$AD268*$AH268*$AL268,0)</f>
        <v>152285</v>
      </c>
      <c r="AO268" s="40" t="s">
        <v>1545</v>
      </c>
      <c r="AP268" s="9">
        <f>$AP229+$AN268</f>
        <v>3139203</v>
      </c>
    </row>
    <row r="269" spans="1:46" ht="18.399999999999999" customHeight="1" x14ac:dyDescent="0.15">
      <c r="A269" s="42" t="s">
        <v>2859</v>
      </c>
      <c r="B269" s="36"/>
      <c r="C269" s="36"/>
      <c r="D269" s="36"/>
      <c r="E269" s="36"/>
      <c r="F269" s="47"/>
      <c r="K269" s="3" t="s">
        <v>2859</v>
      </c>
    </row>
    <row r="270" spans="1:46" ht="18.399999999999999" customHeight="1" x14ac:dyDescent="0.15">
      <c r="A270" s="42" t="s">
        <v>1555</v>
      </c>
      <c r="B270" s="37">
        <f>SUM($C270,$D270,$E270)</f>
        <v>1172367</v>
      </c>
      <c r="C270" s="37">
        <f>$AB270</f>
        <v>236288</v>
      </c>
      <c r="D270" s="37">
        <f>$AD270</f>
        <v>783794</v>
      </c>
      <c r="E270" s="37">
        <f>$AF270</f>
        <v>152285</v>
      </c>
      <c r="F270" s="48"/>
      <c r="K270" s="3" t="s">
        <v>173</v>
      </c>
      <c r="AA270" s="39" t="s">
        <v>2032</v>
      </c>
      <c r="AB270" s="9">
        <f>$AP262-$AP226</f>
        <v>236288</v>
      </c>
      <c r="AC270" s="39" t="s">
        <v>72</v>
      </c>
      <c r="AD270" s="9">
        <f>$AP265-$AH208</f>
        <v>783794</v>
      </c>
      <c r="AE270" s="39" t="s">
        <v>2609</v>
      </c>
      <c r="AF270" s="9">
        <f>$AP268-$AP229</f>
        <v>152285</v>
      </c>
    </row>
    <row r="271" spans="1:46" ht="18.399999999999999" customHeight="1" x14ac:dyDescent="0.15">
      <c r="A271" s="42" t="s">
        <v>2859</v>
      </c>
      <c r="B271" s="36"/>
      <c r="C271" s="36"/>
      <c r="D271" s="36"/>
      <c r="E271" s="36"/>
      <c r="F271" s="47"/>
      <c r="K271" s="3" t="s">
        <v>2859</v>
      </c>
    </row>
    <row r="272" spans="1:46" ht="18.399999999999999" customHeight="1" x14ac:dyDescent="0.15">
      <c r="A272" s="42" t="s">
        <v>2465</v>
      </c>
      <c r="B272" s="41">
        <f>SUM($C272,$D272,$E272)</f>
        <v>5727281</v>
      </c>
      <c r="C272" s="41">
        <f>$AB272</f>
        <v>632850</v>
      </c>
      <c r="D272" s="41">
        <f>$AD272</f>
        <v>1955228</v>
      </c>
      <c r="E272" s="41">
        <f>$AF272</f>
        <v>3139203</v>
      </c>
      <c r="F272" s="50"/>
      <c r="K272" s="3" t="s">
        <v>2643</v>
      </c>
      <c r="AA272" s="39" t="s">
        <v>1148</v>
      </c>
      <c r="AB272" s="9">
        <f>$AP262</f>
        <v>632850</v>
      </c>
      <c r="AC272" s="39" t="s">
        <v>2379</v>
      </c>
      <c r="AD272" s="9">
        <f>$AP265</f>
        <v>1955228</v>
      </c>
      <c r="AE272" s="39" t="s">
        <v>628</v>
      </c>
      <c r="AF272" s="9">
        <f>$AP268</f>
        <v>3139203</v>
      </c>
    </row>
    <row r="273" spans="1:6" ht="18.399999999999999" customHeight="1" x14ac:dyDescent="0.15">
      <c r="A273" s="42"/>
      <c r="B273" s="3"/>
      <c r="C273" s="3"/>
      <c r="D273" s="3"/>
      <c r="E273" s="3"/>
      <c r="F273" s="46"/>
    </row>
    <row r="274" spans="1:6" ht="18.399999999999999" customHeight="1" thickBot="1" x14ac:dyDescent="0.2">
      <c r="A274" s="45" t="s">
        <v>1643</v>
      </c>
      <c r="B274" s="38">
        <f>SUM($C274,$D274,$E274)</f>
        <v>5727281</v>
      </c>
      <c r="C274" s="38">
        <v>0</v>
      </c>
      <c r="D274" s="38">
        <v>0</v>
      </c>
      <c r="E274" s="38">
        <f>TRUNC(SUM($AP268,$AP265,$AP262),0)</f>
        <v>5727281</v>
      </c>
      <c r="F274" s="49"/>
    </row>
  </sheetData>
  <mergeCells count="2">
    <mergeCell ref="AA3:AG3"/>
    <mergeCell ref="AA4:AG4"/>
  </mergeCells>
  <phoneticPr fontId="5" type="noConversion"/>
  <pageMargins left="0.74803149606299213" right="0.74803149606299213" top="0.98425196850393704" bottom="0.98425196850393704" header="0.51181102362204722" footer="0.51181102362204722"/>
  <pageSetup paperSize="8" scale="65" orientation="portrait" r:id="rId1"/>
  <headerFooter alignWithMargins="0">
    <oddHeader>&amp;RPage : &amp;P/&amp;N</oddHeader>
  </headerFooter>
  <rowBreaks count="4" manualBreakCount="4">
    <brk id="40" max="4" man="1"/>
    <brk id="78" max="4" man="1"/>
    <brk id="163" max="4" man="1"/>
    <brk id="274" min="1" max="256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1"/>
  <sheetViews>
    <sheetView workbookViewId="0">
      <selection activeCell="F8" sqref="F8"/>
    </sheetView>
  </sheetViews>
  <sheetFormatPr defaultRowHeight="18.399999999999999" customHeight="1" x14ac:dyDescent="0.15"/>
  <cols>
    <col min="1" max="1" width="25" customWidth="1"/>
    <col min="2" max="2" width="18" customWidth="1"/>
    <col min="3" max="3" width="8" customWidth="1"/>
    <col min="4" max="4" width="5" customWidth="1"/>
    <col min="5" max="8" width="13" customWidth="1"/>
    <col min="9" max="9" width="10" customWidth="1"/>
    <col min="10" max="13" width="0" hidden="1" customWidth="1"/>
  </cols>
  <sheetData>
    <row r="1" spans="1:15" ht="18.399999999999999" customHeight="1" thickBot="1" x14ac:dyDescent="0.2">
      <c r="A1" t="s">
        <v>2221</v>
      </c>
    </row>
    <row r="2" spans="1:15" ht="18.399999999999999" customHeight="1" thickBot="1" x14ac:dyDescent="0.2">
      <c r="A2" s="18" t="s">
        <v>445</v>
      </c>
      <c r="B2" s="19" t="s">
        <v>1092</v>
      </c>
      <c r="C2" s="19" t="s">
        <v>73</v>
      </c>
      <c r="D2" s="19" t="s">
        <v>2682</v>
      </c>
      <c r="E2" s="19" t="s">
        <v>1942</v>
      </c>
      <c r="F2" s="19" t="s">
        <v>1175</v>
      </c>
      <c r="G2" s="19" t="s">
        <v>171</v>
      </c>
      <c r="H2" s="19" t="s">
        <v>2786</v>
      </c>
      <c r="I2" s="21" t="s">
        <v>716</v>
      </c>
    </row>
    <row r="3" spans="1:15" ht="18.399999999999999" customHeight="1" x14ac:dyDescent="0.15">
      <c r="A3" s="13" t="s">
        <v>815</v>
      </c>
      <c r="B3" s="2" t="s">
        <v>1916</v>
      </c>
      <c r="C3" s="2">
        <v>1</v>
      </c>
      <c r="D3" s="2" t="s">
        <v>722</v>
      </c>
      <c r="E3" s="31">
        <f>중기사용료!G10</f>
        <v>40310</v>
      </c>
      <c r="F3" s="31">
        <f>중기사용료!G12</f>
        <v>56874</v>
      </c>
      <c r="G3" s="31">
        <f>중기사용료!G7</f>
        <v>33412</v>
      </c>
      <c r="H3" s="31">
        <f t="shared" ref="H3:H41" si="0">E3+F3+G3</f>
        <v>130596</v>
      </c>
      <c r="I3" s="22" t="s">
        <v>2859</v>
      </c>
      <c r="J3" t="s">
        <v>2859</v>
      </c>
      <c r="K3" t="s">
        <v>2516</v>
      </c>
      <c r="O3" s="34" t="str">
        <f>HYPERLINK("#중기사용료!A3","E0001010019 →")</f>
        <v>E0001010019 →</v>
      </c>
    </row>
    <row r="4" spans="1:15" ht="18.399999999999999" customHeight="1" x14ac:dyDescent="0.15">
      <c r="A4" s="13" t="s">
        <v>815</v>
      </c>
      <c r="B4" s="2" t="s">
        <v>2028</v>
      </c>
      <c r="C4" s="2">
        <v>1</v>
      </c>
      <c r="D4" s="2" t="s">
        <v>722</v>
      </c>
      <c r="E4" s="31">
        <f>중기사용료!G22</f>
        <v>67075</v>
      </c>
      <c r="F4" s="31">
        <f>중기사용료!G24</f>
        <v>56874</v>
      </c>
      <c r="G4" s="31">
        <f>중기사용료!G19</f>
        <v>44983</v>
      </c>
      <c r="H4" s="31">
        <f t="shared" si="0"/>
        <v>168932</v>
      </c>
      <c r="I4" s="22" t="s">
        <v>2859</v>
      </c>
      <c r="J4" t="s">
        <v>2859</v>
      </c>
      <c r="K4" t="s">
        <v>2386</v>
      </c>
      <c r="O4" s="34" t="str">
        <f>HYPERLINK("#중기사용료!A15","E0001010032 →")</f>
        <v>E0001010032 →</v>
      </c>
    </row>
    <row r="5" spans="1:15" ht="18.399999999999999" customHeight="1" x14ac:dyDescent="0.15">
      <c r="A5" s="13" t="s">
        <v>894</v>
      </c>
      <c r="B5" s="2" t="s">
        <v>11</v>
      </c>
      <c r="C5" s="2">
        <v>1</v>
      </c>
      <c r="D5" s="2" t="s">
        <v>722</v>
      </c>
      <c r="E5" s="31">
        <f>중기사용료!G34</f>
        <v>8409</v>
      </c>
      <c r="F5" s="31">
        <f>중기사용료!G36</f>
        <v>56874</v>
      </c>
      <c r="G5" s="31">
        <f>중기사용료!G31</f>
        <v>13041</v>
      </c>
      <c r="H5" s="31">
        <f t="shared" si="0"/>
        <v>78324</v>
      </c>
      <c r="I5" s="22" t="s">
        <v>2859</v>
      </c>
      <c r="J5" t="s">
        <v>2859</v>
      </c>
      <c r="K5" t="s">
        <v>407</v>
      </c>
      <c r="O5" s="34" t="str">
        <f>HYPERLINK("#중기사용료!A27","E0002010020 →")</f>
        <v>E0002010020 →</v>
      </c>
    </row>
    <row r="6" spans="1:15" ht="18.399999999999999" customHeight="1" x14ac:dyDescent="0.15">
      <c r="A6" s="13" t="s">
        <v>1860</v>
      </c>
      <c r="B6" s="2" t="s">
        <v>11</v>
      </c>
      <c r="C6" s="2">
        <v>1</v>
      </c>
      <c r="D6" s="2" t="s">
        <v>722</v>
      </c>
      <c r="E6" s="31">
        <f>중기사용료!G47</f>
        <v>8409</v>
      </c>
      <c r="F6" s="31">
        <f>중기사용료!G49</f>
        <v>56874</v>
      </c>
      <c r="G6" s="31">
        <f>중기사용료!G44</f>
        <v>16525</v>
      </c>
      <c r="H6" s="31">
        <f t="shared" si="0"/>
        <v>81808</v>
      </c>
      <c r="I6" s="22" t="s">
        <v>2859</v>
      </c>
      <c r="J6" t="s">
        <v>2859</v>
      </c>
      <c r="K6" t="s">
        <v>1344</v>
      </c>
      <c r="O6" s="34" t="str">
        <f>HYPERLINK("#중기사용료!A39","E00020100202 →")</f>
        <v>E00020100202 →</v>
      </c>
    </row>
    <row r="7" spans="1:15" ht="18.399999999999999" customHeight="1" x14ac:dyDescent="0.15">
      <c r="A7" s="13" t="s">
        <v>894</v>
      </c>
      <c r="B7" s="2" t="s">
        <v>981</v>
      </c>
      <c r="C7" s="2">
        <v>1</v>
      </c>
      <c r="D7" s="2" t="s">
        <v>722</v>
      </c>
      <c r="E7" s="31">
        <f>중기사용료!G59</f>
        <v>17297</v>
      </c>
      <c r="F7" s="31">
        <f>중기사용료!G61</f>
        <v>56874</v>
      </c>
      <c r="G7" s="31">
        <f>중기사용료!G56</f>
        <v>21957</v>
      </c>
      <c r="H7" s="31">
        <f t="shared" si="0"/>
        <v>96128</v>
      </c>
      <c r="I7" s="22" t="s">
        <v>2859</v>
      </c>
      <c r="J7" t="s">
        <v>2859</v>
      </c>
      <c r="K7" t="s">
        <v>353</v>
      </c>
      <c r="O7" s="34" t="str">
        <f>HYPERLINK("#중기사용료!A52","E0002010060 →")</f>
        <v>E0002010060 →</v>
      </c>
    </row>
    <row r="8" spans="1:15" ht="18.399999999999999" customHeight="1" x14ac:dyDescent="0.15">
      <c r="A8" s="13" t="s">
        <v>894</v>
      </c>
      <c r="B8" s="2" t="s">
        <v>524</v>
      </c>
      <c r="C8" s="2">
        <v>1</v>
      </c>
      <c r="D8" s="2" t="s">
        <v>722</v>
      </c>
      <c r="E8" s="31">
        <f>중기사용료!G71</f>
        <v>19671</v>
      </c>
      <c r="F8" s="31">
        <f>중기사용료!G73</f>
        <v>56874</v>
      </c>
      <c r="G8" s="31">
        <f>중기사용료!G68</f>
        <v>23128</v>
      </c>
      <c r="H8" s="31">
        <f t="shared" si="0"/>
        <v>99673</v>
      </c>
      <c r="I8" s="22" t="s">
        <v>2859</v>
      </c>
      <c r="J8" t="s">
        <v>2859</v>
      </c>
      <c r="K8" t="s">
        <v>1104</v>
      </c>
      <c r="O8" s="34" t="str">
        <f>HYPERLINK("#중기사용료!A64","E0002010070 →")</f>
        <v>E0002010070 →</v>
      </c>
    </row>
    <row r="9" spans="1:15" ht="18.399999999999999" customHeight="1" x14ac:dyDescent="0.15">
      <c r="A9" s="13" t="s">
        <v>894</v>
      </c>
      <c r="B9" s="2" t="s">
        <v>1138</v>
      </c>
      <c r="C9" s="2">
        <v>1</v>
      </c>
      <c r="D9" s="2" t="s">
        <v>722</v>
      </c>
      <c r="E9" s="31">
        <f>중기사용료!G83</f>
        <v>25945</v>
      </c>
      <c r="F9" s="31">
        <f>중기사용료!G85</f>
        <v>56874</v>
      </c>
      <c r="G9" s="31">
        <f>중기사용료!G80</f>
        <v>25457</v>
      </c>
      <c r="H9" s="31">
        <f t="shared" si="0"/>
        <v>108276</v>
      </c>
      <c r="I9" s="22" t="s">
        <v>2859</v>
      </c>
      <c r="J9" t="s">
        <v>2859</v>
      </c>
      <c r="K9" t="s">
        <v>1943</v>
      </c>
      <c r="O9" s="34" t="str">
        <f>HYPERLINK("#중기사용료!A76","E0002010080 →")</f>
        <v>E0002010080 →</v>
      </c>
    </row>
    <row r="10" spans="1:15" ht="18.399999999999999" customHeight="1" x14ac:dyDescent="0.15">
      <c r="A10" s="13" t="s">
        <v>855</v>
      </c>
      <c r="B10" s="2" t="s">
        <v>981</v>
      </c>
      <c r="C10" s="2">
        <v>1</v>
      </c>
      <c r="D10" s="2" t="s">
        <v>722</v>
      </c>
      <c r="E10" s="31">
        <f>중기사용료!G95</f>
        <v>19993</v>
      </c>
      <c r="F10" s="31">
        <f>중기사용료!G97</f>
        <v>56874</v>
      </c>
      <c r="G10" s="31">
        <f>중기사용료!G92</f>
        <v>25680</v>
      </c>
      <c r="H10" s="31">
        <f t="shared" si="0"/>
        <v>102547</v>
      </c>
      <c r="I10" s="22" t="s">
        <v>2859</v>
      </c>
      <c r="J10" t="s">
        <v>2859</v>
      </c>
      <c r="K10" t="s">
        <v>1482</v>
      </c>
      <c r="O10" s="34" t="str">
        <f>HYPERLINK("#중기사용료!A88","E0002110060 →")</f>
        <v>E0002110060 →</v>
      </c>
    </row>
    <row r="11" spans="1:15" ht="18.399999999999999" customHeight="1" x14ac:dyDescent="0.15">
      <c r="A11" s="13" t="s">
        <v>855</v>
      </c>
      <c r="B11" s="2" t="s">
        <v>1138</v>
      </c>
      <c r="C11" s="2">
        <v>1</v>
      </c>
      <c r="D11" s="2" t="s">
        <v>722</v>
      </c>
      <c r="E11" s="31">
        <f>중기사용료!G107</f>
        <v>28094</v>
      </c>
      <c r="F11" s="31">
        <f>중기사용료!G109</f>
        <v>56874</v>
      </c>
      <c r="G11" s="31">
        <f>중기사용료!G104</f>
        <v>29893</v>
      </c>
      <c r="H11" s="31">
        <f t="shared" si="0"/>
        <v>114861</v>
      </c>
      <c r="I11" s="22" t="s">
        <v>2859</v>
      </c>
      <c r="J11" t="s">
        <v>2859</v>
      </c>
      <c r="K11" t="s">
        <v>108</v>
      </c>
      <c r="O11" s="34" t="str">
        <f>HYPERLINK("#중기사용료!A100","E0002110080 →")</f>
        <v>E0002110080 →</v>
      </c>
    </row>
    <row r="12" spans="1:15" ht="18.399999999999999" customHeight="1" x14ac:dyDescent="0.15">
      <c r="A12" s="13" t="s">
        <v>833</v>
      </c>
      <c r="B12" s="2" t="s">
        <v>1836</v>
      </c>
      <c r="C12" s="2">
        <v>1</v>
      </c>
      <c r="D12" s="2" t="s">
        <v>722</v>
      </c>
      <c r="E12" s="31">
        <v>0</v>
      </c>
      <c r="F12" s="31">
        <v>0</v>
      </c>
      <c r="G12" s="31">
        <f>중기사용료!G116</f>
        <v>10769</v>
      </c>
      <c r="H12" s="31">
        <f t="shared" si="0"/>
        <v>10769</v>
      </c>
      <c r="I12" s="22" t="s">
        <v>2859</v>
      </c>
      <c r="J12" t="s">
        <v>2859</v>
      </c>
      <c r="K12" t="s">
        <v>266</v>
      </c>
      <c r="O12" s="34" t="str">
        <f>HYPERLINK("#중기사용료!A112","E0002300007 →")</f>
        <v>E0002300007 →</v>
      </c>
    </row>
    <row r="13" spans="1:15" ht="18.399999999999999" customHeight="1" x14ac:dyDescent="0.15">
      <c r="A13" s="13" t="s">
        <v>2507</v>
      </c>
      <c r="B13" s="2" t="s">
        <v>1836</v>
      </c>
      <c r="C13" s="2">
        <v>1</v>
      </c>
      <c r="D13" s="2" t="s">
        <v>1632</v>
      </c>
      <c r="E13" s="31">
        <v>0</v>
      </c>
      <c r="F13" s="31">
        <v>0</v>
      </c>
      <c r="G13" s="31">
        <f>중기사용료!G127</f>
        <v>223000</v>
      </c>
      <c r="H13" s="31">
        <f t="shared" si="0"/>
        <v>223000</v>
      </c>
      <c r="I13" s="22" t="s">
        <v>2859</v>
      </c>
      <c r="J13" t="s">
        <v>2859</v>
      </c>
      <c r="K13" t="s">
        <v>1885</v>
      </c>
      <c r="O13" s="34" t="str">
        <f>HYPERLINK("#중기사용료!A123","E0002310007 →")</f>
        <v>E0002310007 →</v>
      </c>
    </row>
    <row r="14" spans="1:15" ht="18.399999999999999" customHeight="1" x14ac:dyDescent="0.15">
      <c r="A14" s="13" t="s">
        <v>2638</v>
      </c>
      <c r="B14" s="2" t="s">
        <v>378</v>
      </c>
      <c r="C14" s="2">
        <v>1</v>
      </c>
      <c r="D14" s="2" t="s">
        <v>722</v>
      </c>
      <c r="E14" s="31">
        <f>중기사용료!G141</f>
        <v>19615</v>
      </c>
      <c r="F14" s="31">
        <f>중기사용료!G143</f>
        <v>56874</v>
      </c>
      <c r="G14" s="31">
        <f>중기사용료!G138</f>
        <v>23222</v>
      </c>
      <c r="H14" s="31">
        <f t="shared" si="0"/>
        <v>99711</v>
      </c>
      <c r="I14" s="22" t="s">
        <v>2859</v>
      </c>
      <c r="J14" t="s">
        <v>2859</v>
      </c>
      <c r="K14" t="s">
        <v>334</v>
      </c>
      <c r="O14" s="34" t="str">
        <f>HYPERLINK("#중기사용료!A134","E0003020172 →")</f>
        <v>E0003020172 →</v>
      </c>
    </row>
    <row r="15" spans="1:15" ht="18.399999999999999" customHeight="1" x14ac:dyDescent="0.15">
      <c r="A15" s="13" t="s">
        <v>1272</v>
      </c>
      <c r="B15" s="2" t="s">
        <v>1174</v>
      </c>
      <c r="C15" s="2">
        <v>1</v>
      </c>
      <c r="D15" s="2" t="s">
        <v>722</v>
      </c>
      <c r="E15" s="31">
        <f>중기사용료!G153</f>
        <v>5562</v>
      </c>
      <c r="F15" s="31">
        <f>중기사용료!G155</f>
        <v>48741</v>
      </c>
      <c r="G15" s="31">
        <f>중기사용료!G150</f>
        <v>6169</v>
      </c>
      <c r="H15" s="31">
        <f t="shared" si="0"/>
        <v>60472</v>
      </c>
      <c r="I15" s="22" t="s">
        <v>2859</v>
      </c>
      <c r="J15" t="s">
        <v>2859</v>
      </c>
      <c r="K15" t="s">
        <v>1203</v>
      </c>
      <c r="O15" s="34" t="str">
        <f>HYPERLINK("#중기사용료!A146","E0006020025 →")</f>
        <v>E0006020025 →</v>
      </c>
    </row>
    <row r="16" spans="1:15" ht="18.399999999999999" customHeight="1" x14ac:dyDescent="0.15">
      <c r="A16" s="13" t="s">
        <v>1272</v>
      </c>
      <c r="B16" s="2" t="s">
        <v>346</v>
      </c>
      <c r="C16" s="2">
        <v>1</v>
      </c>
      <c r="D16" s="2" t="s">
        <v>722</v>
      </c>
      <c r="E16" s="31">
        <f>중기사용료!G165</f>
        <v>9591</v>
      </c>
      <c r="F16" s="31">
        <f>중기사용료!G167</f>
        <v>48741</v>
      </c>
      <c r="G16" s="31">
        <f>중기사용료!G162</f>
        <v>7202</v>
      </c>
      <c r="H16" s="31">
        <f t="shared" si="0"/>
        <v>65534</v>
      </c>
      <c r="I16" s="22" t="s">
        <v>2859</v>
      </c>
      <c r="J16" t="s">
        <v>2859</v>
      </c>
      <c r="K16" t="s">
        <v>2699</v>
      </c>
      <c r="O16" s="34" t="str">
        <f>HYPERLINK("#중기사용료!A158","E0006020045 →")</f>
        <v>E0006020045 →</v>
      </c>
    </row>
    <row r="17" spans="1:15" ht="18.399999999999999" customHeight="1" x14ac:dyDescent="0.15">
      <c r="A17" s="13" t="s">
        <v>1272</v>
      </c>
      <c r="B17" s="2" t="s">
        <v>1921</v>
      </c>
      <c r="C17" s="2">
        <v>1</v>
      </c>
      <c r="D17" s="2" t="s">
        <v>722</v>
      </c>
      <c r="E17" s="31">
        <f>중기사용료!G177</f>
        <v>30499</v>
      </c>
      <c r="F17" s="31">
        <f>중기사용료!G179</f>
        <v>56874</v>
      </c>
      <c r="G17" s="31">
        <f>중기사용료!G174</f>
        <v>19631</v>
      </c>
      <c r="H17" s="31">
        <f t="shared" si="0"/>
        <v>107004</v>
      </c>
      <c r="I17" s="22" t="s">
        <v>2859</v>
      </c>
      <c r="J17" t="s">
        <v>2859</v>
      </c>
      <c r="K17" t="s">
        <v>221</v>
      </c>
      <c r="O17" s="34" t="str">
        <f>HYPERLINK("#중기사용료!A170","E0006020150 →")</f>
        <v>E0006020150 →</v>
      </c>
    </row>
    <row r="18" spans="1:15" ht="18.399999999999999" customHeight="1" x14ac:dyDescent="0.15">
      <c r="A18" s="13" t="s">
        <v>1904</v>
      </c>
      <c r="B18" s="2" t="s">
        <v>1</v>
      </c>
      <c r="C18" s="2">
        <v>1</v>
      </c>
      <c r="D18" s="2" t="s">
        <v>722</v>
      </c>
      <c r="E18" s="31">
        <f>중기사용료!G189</f>
        <v>15253</v>
      </c>
      <c r="F18" s="31">
        <f>중기사용료!G191</f>
        <v>56874</v>
      </c>
      <c r="G18" s="31">
        <f>중기사용료!G186</f>
        <v>12102</v>
      </c>
      <c r="H18" s="31">
        <f t="shared" si="0"/>
        <v>84229</v>
      </c>
      <c r="I18" s="22" t="s">
        <v>2859</v>
      </c>
      <c r="J18" t="s">
        <v>2859</v>
      </c>
      <c r="K18" t="s">
        <v>2434</v>
      </c>
      <c r="O18" s="34" t="str">
        <f>HYPERLINK("#중기사용료!A182","E0011060012 →")</f>
        <v>E0011060012 →</v>
      </c>
    </row>
    <row r="19" spans="1:15" ht="18.399999999999999" customHeight="1" x14ac:dyDescent="0.15">
      <c r="A19" s="13" t="s">
        <v>570</v>
      </c>
      <c r="B19" s="2" t="s">
        <v>2036</v>
      </c>
      <c r="C19" s="2">
        <v>1</v>
      </c>
      <c r="D19" s="2" t="s">
        <v>722</v>
      </c>
      <c r="E19" s="31">
        <f>중기사용료!G201</f>
        <v>8201</v>
      </c>
      <c r="F19" s="31">
        <f>중기사용료!G203</f>
        <v>56874</v>
      </c>
      <c r="G19" s="31">
        <f>중기사용료!G198</f>
        <v>8525</v>
      </c>
      <c r="H19" s="31">
        <f t="shared" si="0"/>
        <v>73600</v>
      </c>
      <c r="I19" s="22" t="s">
        <v>2859</v>
      </c>
      <c r="J19" t="s">
        <v>2859</v>
      </c>
      <c r="K19" t="s">
        <v>291</v>
      </c>
      <c r="O19" s="34" t="str">
        <f>HYPERLINK("#중기사용료!A194","E0012060008 →")</f>
        <v>E0012060008 →</v>
      </c>
    </row>
    <row r="20" spans="1:15" ht="18.399999999999999" customHeight="1" x14ac:dyDescent="0.15">
      <c r="A20" s="13" t="s">
        <v>1586</v>
      </c>
      <c r="B20" s="2" t="s">
        <v>912</v>
      </c>
      <c r="C20" s="2">
        <v>1</v>
      </c>
      <c r="D20" s="2" t="s">
        <v>722</v>
      </c>
      <c r="E20" s="31">
        <f>중기사용료!G213</f>
        <v>3455</v>
      </c>
      <c r="F20" s="31">
        <f>중기사용료!G215</f>
        <v>34803</v>
      </c>
      <c r="G20" s="31">
        <f>중기사용료!G210</f>
        <v>1846</v>
      </c>
      <c r="H20" s="31">
        <f t="shared" si="0"/>
        <v>40104</v>
      </c>
      <c r="I20" s="22" t="s">
        <v>2859</v>
      </c>
      <c r="J20" t="s">
        <v>2859</v>
      </c>
      <c r="K20" t="s">
        <v>2688</v>
      </c>
      <c r="O20" s="34" t="str">
        <f>HYPERLINK("#중기사용료!A206","E0013050007 →")</f>
        <v>E0013050007 →</v>
      </c>
    </row>
    <row r="21" spans="1:15" ht="18.399999999999999" customHeight="1" x14ac:dyDescent="0.15">
      <c r="A21" s="13" t="s">
        <v>2685</v>
      </c>
      <c r="B21" s="2" t="s">
        <v>763</v>
      </c>
      <c r="C21" s="2">
        <v>1</v>
      </c>
      <c r="D21" s="2" t="s">
        <v>722</v>
      </c>
      <c r="E21" s="31">
        <f>중기사용료!G225</f>
        <v>3612</v>
      </c>
      <c r="F21" s="31">
        <f>중기사용료!G227</f>
        <v>56874</v>
      </c>
      <c r="G21" s="31">
        <f>중기사용료!G222</f>
        <v>4873</v>
      </c>
      <c r="H21" s="31">
        <f t="shared" si="0"/>
        <v>65359</v>
      </c>
      <c r="I21" s="22" t="s">
        <v>2859</v>
      </c>
      <c r="J21" t="s">
        <v>2859</v>
      </c>
      <c r="K21" t="s">
        <v>1617</v>
      </c>
      <c r="O21" s="34" t="str">
        <f>HYPERLINK("#중기사용료!A218","E0013060025 →")</f>
        <v>E0013060025 →</v>
      </c>
    </row>
    <row r="22" spans="1:15" ht="18.399999999999999" customHeight="1" x14ac:dyDescent="0.15">
      <c r="A22" s="13" t="s">
        <v>2685</v>
      </c>
      <c r="B22" s="2" t="s">
        <v>2483</v>
      </c>
      <c r="C22" s="2">
        <v>1</v>
      </c>
      <c r="D22" s="2" t="s">
        <v>722</v>
      </c>
      <c r="E22" s="31">
        <f>중기사용료!G237</f>
        <v>26020</v>
      </c>
      <c r="F22" s="31">
        <f>중기사용료!G239</f>
        <v>56874</v>
      </c>
      <c r="G22" s="31">
        <f>중기사용료!G234</f>
        <v>32818</v>
      </c>
      <c r="H22" s="31">
        <f t="shared" si="0"/>
        <v>115712</v>
      </c>
      <c r="I22" s="22" t="s">
        <v>2859</v>
      </c>
      <c r="J22" t="s">
        <v>2859</v>
      </c>
      <c r="K22" t="s">
        <v>1889</v>
      </c>
      <c r="O22" s="34" t="str">
        <f>HYPERLINK("#중기사용료!A230","E0013060100 →")</f>
        <v>E0013060100 →</v>
      </c>
    </row>
    <row r="23" spans="1:15" ht="18.399999999999999" customHeight="1" x14ac:dyDescent="0.15">
      <c r="A23" s="13" t="s">
        <v>2432</v>
      </c>
      <c r="B23" s="2" t="s">
        <v>130</v>
      </c>
      <c r="C23" s="2">
        <v>1</v>
      </c>
      <c r="D23" s="2" t="s">
        <v>722</v>
      </c>
      <c r="E23" s="31">
        <f>중기사용료!G249</f>
        <v>13677</v>
      </c>
      <c r="F23" s="31">
        <f>중기사용료!G251</f>
        <v>56874</v>
      </c>
      <c r="G23" s="31">
        <f>중기사용료!G246</f>
        <v>23110</v>
      </c>
      <c r="H23" s="31">
        <f t="shared" si="0"/>
        <v>93661</v>
      </c>
      <c r="I23" s="22" t="s">
        <v>2859</v>
      </c>
      <c r="J23" t="s">
        <v>2859</v>
      </c>
      <c r="K23" t="s">
        <v>2495</v>
      </c>
      <c r="O23" s="34" t="str">
        <f>HYPERLINK("#중기사용료!A242","E0014060015 →")</f>
        <v>E0014060015 →</v>
      </c>
    </row>
    <row r="24" spans="1:15" ht="18.399999999999999" customHeight="1" x14ac:dyDescent="0.15">
      <c r="A24" s="13" t="s">
        <v>1331</v>
      </c>
      <c r="B24" s="2" t="s">
        <v>2425</v>
      </c>
      <c r="C24" s="2">
        <v>1</v>
      </c>
      <c r="D24" s="2" t="s">
        <v>722</v>
      </c>
      <c r="E24" s="31">
        <f>중기사용료!G261</f>
        <v>1845</v>
      </c>
      <c r="F24" s="31">
        <f>중기사용료!G263</f>
        <v>34803</v>
      </c>
      <c r="G24" s="31">
        <f>중기사용료!G258</f>
        <v>750</v>
      </c>
      <c r="H24" s="31">
        <f t="shared" si="0"/>
        <v>37398</v>
      </c>
      <c r="I24" s="22" t="s">
        <v>2859</v>
      </c>
      <c r="J24" t="s">
        <v>2859</v>
      </c>
      <c r="K24" t="s">
        <v>871</v>
      </c>
      <c r="O24" s="34" t="str">
        <f>HYPERLINK("#중기사용료!A254","E0017300015 →")</f>
        <v>E0017300015 →</v>
      </c>
    </row>
    <row r="25" spans="1:15" ht="18.399999999999999" customHeight="1" x14ac:dyDescent="0.15">
      <c r="A25" s="13" t="s">
        <v>521</v>
      </c>
      <c r="B25" s="2" t="s">
        <v>2483</v>
      </c>
      <c r="C25" s="2">
        <v>1</v>
      </c>
      <c r="D25" s="2" t="s">
        <v>722</v>
      </c>
      <c r="E25" s="31">
        <f>중기사용료!G273</f>
        <v>7341</v>
      </c>
      <c r="F25" s="31">
        <f>중기사용료!G275</f>
        <v>56874</v>
      </c>
      <c r="G25" s="31">
        <f>중기사용료!G270</f>
        <v>30103</v>
      </c>
      <c r="H25" s="31">
        <f t="shared" si="0"/>
        <v>94318</v>
      </c>
      <c r="I25" s="22" t="s">
        <v>2859</v>
      </c>
      <c r="J25" t="s">
        <v>2859</v>
      </c>
      <c r="K25" t="s">
        <v>1339</v>
      </c>
      <c r="O25" s="34" t="str">
        <f>HYPERLINK("#중기사용료!A266","E0021040010 →")</f>
        <v>E0021040010 →</v>
      </c>
    </row>
    <row r="26" spans="1:15" ht="18.399999999999999" customHeight="1" x14ac:dyDescent="0.15">
      <c r="A26" s="13" t="s">
        <v>1898</v>
      </c>
      <c r="B26" s="2" t="s">
        <v>2483</v>
      </c>
      <c r="C26" s="2">
        <v>1</v>
      </c>
      <c r="D26" s="2" t="s">
        <v>722</v>
      </c>
      <c r="E26" s="31">
        <f>중기사용료!G285</f>
        <v>7341</v>
      </c>
      <c r="F26" s="31">
        <v>0</v>
      </c>
      <c r="G26" s="31">
        <v>0</v>
      </c>
      <c r="H26" s="31">
        <f t="shared" si="0"/>
        <v>7341</v>
      </c>
      <c r="I26" s="22" t="s">
        <v>2859</v>
      </c>
      <c r="J26" t="s">
        <v>2859</v>
      </c>
      <c r="K26" t="s">
        <v>2539</v>
      </c>
      <c r="O26" s="34" t="str">
        <f>HYPERLINK("#중기사용료!A278","E0021040011 →")</f>
        <v>E0021040011 →</v>
      </c>
    </row>
    <row r="27" spans="1:15" ht="18.399999999999999" customHeight="1" x14ac:dyDescent="0.15">
      <c r="A27" s="13" t="s">
        <v>2321</v>
      </c>
      <c r="B27" s="2" t="s">
        <v>2483</v>
      </c>
      <c r="C27" s="2">
        <v>1</v>
      </c>
      <c r="D27" s="2" t="s">
        <v>722</v>
      </c>
      <c r="E27" s="31">
        <v>0</v>
      </c>
      <c r="F27" s="31">
        <f>중기사용료!G298</f>
        <v>56874</v>
      </c>
      <c r="G27" s="31">
        <f>중기사용료!G294</f>
        <v>30103</v>
      </c>
      <c r="H27" s="31">
        <f t="shared" si="0"/>
        <v>86977</v>
      </c>
      <c r="I27" s="22" t="s">
        <v>2859</v>
      </c>
      <c r="J27" t="s">
        <v>2859</v>
      </c>
      <c r="K27" t="s">
        <v>1023</v>
      </c>
      <c r="O27" s="34" t="str">
        <f>HYPERLINK("#중기사용료!A290","E0021040012 →")</f>
        <v>E0021040012 →</v>
      </c>
    </row>
    <row r="28" spans="1:15" ht="18.399999999999999" customHeight="1" x14ac:dyDescent="0.15">
      <c r="A28" s="13" t="s">
        <v>978</v>
      </c>
      <c r="B28" s="2" t="s">
        <v>288</v>
      </c>
      <c r="C28" s="2">
        <v>1</v>
      </c>
      <c r="D28" s="2" t="s">
        <v>722</v>
      </c>
      <c r="E28" s="31">
        <f>중기사용료!G308</f>
        <v>8506</v>
      </c>
      <c r="F28" s="31">
        <f>중기사용료!G310</f>
        <v>48741</v>
      </c>
      <c r="G28" s="31">
        <f>중기사용료!G305</f>
        <v>9994</v>
      </c>
      <c r="H28" s="31">
        <f t="shared" si="0"/>
        <v>67241</v>
      </c>
      <c r="I28" s="22" t="s">
        <v>2859</v>
      </c>
      <c r="J28" t="s">
        <v>2859</v>
      </c>
      <c r="K28" t="s">
        <v>84</v>
      </c>
      <c r="O28" s="34" t="str">
        <f>HYPERLINK("#중기사용료!A301","E0021050005 →")</f>
        <v>E0021050005 →</v>
      </c>
    </row>
    <row r="29" spans="1:15" ht="18.399999999999999" customHeight="1" x14ac:dyDescent="0.15">
      <c r="A29" s="13" t="s">
        <v>978</v>
      </c>
      <c r="B29" s="2" t="s">
        <v>2483</v>
      </c>
      <c r="C29" s="2">
        <v>1</v>
      </c>
      <c r="D29" s="2" t="s">
        <v>722</v>
      </c>
      <c r="E29" s="31">
        <f>중기사용료!G320</f>
        <v>17180</v>
      </c>
      <c r="F29" s="31">
        <f>중기사용료!G322</f>
        <v>48741</v>
      </c>
      <c r="G29" s="31">
        <f>중기사용료!G317</f>
        <v>21743</v>
      </c>
      <c r="H29" s="31">
        <f t="shared" si="0"/>
        <v>87664</v>
      </c>
      <c r="I29" s="22" t="s">
        <v>2859</v>
      </c>
      <c r="J29" t="s">
        <v>2859</v>
      </c>
      <c r="K29" t="s">
        <v>2191</v>
      </c>
      <c r="O29" s="34" t="str">
        <f>HYPERLINK("#중기사용료!A313","E0021050010 →")</f>
        <v>E0021050010 →</v>
      </c>
    </row>
    <row r="30" spans="1:15" ht="18.399999999999999" customHeight="1" x14ac:dyDescent="0.15">
      <c r="A30" s="13" t="s">
        <v>978</v>
      </c>
      <c r="B30" s="2" t="s">
        <v>1921</v>
      </c>
      <c r="C30" s="2">
        <v>1</v>
      </c>
      <c r="D30" s="2" t="s">
        <v>722</v>
      </c>
      <c r="E30" s="31">
        <f>중기사용료!G332</f>
        <v>18348</v>
      </c>
      <c r="F30" s="31">
        <f>중기사용료!G334</f>
        <v>48741</v>
      </c>
      <c r="G30" s="31">
        <f>중기사용료!G329</f>
        <v>28126</v>
      </c>
      <c r="H30" s="31">
        <f t="shared" si="0"/>
        <v>95215</v>
      </c>
      <c r="I30" s="22" t="s">
        <v>2859</v>
      </c>
      <c r="J30" t="s">
        <v>2859</v>
      </c>
      <c r="K30" t="s">
        <v>811</v>
      </c>
      <c r="O30" s="34" t="str">
        <f>HYPERLINK("#중기사용료!A325","E0021050015 →")</f>
        <v>E0021050015 →</v>
      </c>
    </row>
    <row r="31" spans="1:15" ht="18.399999999999999" customHeight="1" x14ac:dyDescent="0.15">
      <c r="A31" s="13" t="s">
        <v>2323</v>
      </c>
      <c r="B31" s="2" t="s">
        <v>1209</v>
      </c>
      <c r="C31" s="2">
        <v>1</v>
      </c>
      <c r="D31" s="2" t="s">
        <v>722</v>
      </c>
      <c r="E31" s="31">
        <f>중기사용료!G344</f>
        <v>31879</v>
      </c>
      <c r="F31" s="31">
        <v>0</v>
      </c>
      <c r="G31" s="31">
        <v>0</v>
      </c>
      <c r="H31" s="31">
        <f t="shared" si="0"/>
        <v>31879</v>
      </c>
      <c r="I31" s="22" t="s">
        <v>2859</v>
      </c>
      <c r="J31" t="s">
        <v>2859</v>
      </c>
      <c r="K31" t="s">
        <v>2060</v>
      </c>
      <c r="O31" s="34" t="str">
        <f>HYPERLINK("#중기사용료!A337","E0027020021 →")</f>
        <v>E0027020021 →</v>
      </c>
    </row>
    <row r="32" spans="1:15" ht="18.399999999999999" customHeight="1" x14ac:dyDescent="0.15">
      <c r="A32" s="13" t="s">
        <v>2323</v>
      </c>
      <c r="B32" s="2" t="s">
        <v>548</v>
      </c>
      <c r="C32" s="2">
        <v>1</v>
      </c>
      <c r="D32" s="2" t="s">
        <v>722</v>
      </c>
      <c r="E32" s="31">
        <v>0</v>
      </c>
      <c r="F32" s="31">
        <f>중기사용료!G357</f>
        <v>56874</v>
      </c>
      <c r="G32" s="31">
        <f>중기사용료!G353</f>
        <v>16353</v>
      </c>
      <c r="H32" s="31">
        <f t="shared" si="0"/>
        <v>73227</v>
      </c>
      <c r="I32" s="22" t="s">
        <v>2859</v>
      </c>
      <c r="J32" t="s">
        <v>2859</v>
      </c>
      <c r="K32" t="s">
        <v>39</v>
      </c>
      <c r="O32" s="34" t="str">
        <f>HYPERLINK("#중기사용료!A349","E0027020022 →")</f>
        <v>E0027020022 →</v>
      </c>
    </row>
    <row r="33" spans="1:15" ht="18.399999999999999" customHeight="1" x14ac:dyDescent="0.15">
      <c r="A33" s="13" t="s">
        <v>881</v>
      </c>
      <c r="B33" s="2" t="s">
        <v>1901</v>
      </c>
      <c r="C33" s="2">
        <v>1</v>
      </c>
      <c r="D33" s="2" t="s">
        <v>722</v>
      </c>
      <c r="E33" s="31">
        <f>중기사용료!G367</f>
        <v>19334</v>
      </c>
      <c r="F33" s="31">
        <f>중기사용료!G369</f>
        <v>56874</v>
      </c>
      <c r="G33" s="31">
        <f>중기사용료!G364</f>
        <v>53540</v>
      </c>
      <c r="H33" s="31">
        <f t="shared" si="0"/>
        <v>129748</v>
      </c>
      <c r="I33" s="22" t="s">
        <v>2859</v>
      </c>
      <c r="J33" t="s">
        <v>2859</v>
      </c>
      <c r="K33" t="s">
        <v>2843</v>
      </c>
      <c r="O33" s="34" t="str">
        <f>HYPERLINK("#중기사용료!A360","E0032010003 →")</f>
        <v>E0032010003 →</v>
      </c>
    </row>
    <row r="34" spans="1:15" ht="18.399999999999999" customHeight="1" x14ac:dyDescent="0.15">
      <c r="A34" s="13" t="s">
        <v>1511</v>
      </c>
      <c r="B34" s="2" t="s">
        <v>1575</v>
      </c>
      <c r="C34" s="2">
        <v>1</v>
      </c>
      <c r="D34" s="2" t="s">
        <v>722</v>
      </c>
      <c r="E34" s="31">
        <f>중기사용료!G379</f>
        <v>1956</v>
      </c>
      <c r="F34" s="31">
        <f>중기사용료!G381</f>
        <v>34803</v>
      </c>
      <c r="G34" s="31">
        <f>중기사용료!G376</f>
        <v>743</v>
      </c>
      <c r="H34" s="31">
        <f t="shared" si="0"/>
        <v>37502</v>
      </c>
      <c r="I34" s="22" t="s">
        <v>2859</v>
      </c>
      <c r="J34" t="s">
        <v>2859</v>
      </c>
      <c r="K34" t="s">
        <v>2092</v>
      </c>
      <c r="O34" s="34" t="str">
        <f>HYPERLINK("#중기사용료!A372","E0034300400 →")</f>
        <v>E0034300400 →</v>
      </c>
    </row>
    <row r="35" spans="1:15" ht="18.399999999999999" customHeight="1" x14ac:dyDescent="0.15">
      <c r="A35" s="13" t="s">
        <v>1295</v>
      </c>
      <c r="B35" s="2" t="s">
        <v>2509</v>
      </c>
      <c r="C35" s="2">
        <v>1</v>
      </c>
      <c r="D35" s="2" t="s">
        <v>722</v>
      </c>
      <c r="E35" s="31">
        <f>중기사용료!G391</f>
        <v>10335</v>
      </c>
      <c r="F35" s="31">
        <f>중기사용료!G393</f>
        <v>34803</v>
      </c>
      <c r="G35" s="31">
        <f>중기사용료!G388</f>
        <v>1876</v>
      </c>
      <c r="H35" s="31">
        <f t="shared" si="0"/>
        <v>47014</v>
      </c>
      <c r="I35" s="22" t="s">
        <v>2859</v>
      </c>
      <c r="J35" t="s">
        <v>2859</v>
      </c>
      <c r="K35" t="s">
        <v>1835</v>
      </c>
      <c r="O35" s="34" t="str">
        <f>HYPERLINK("#중기사용료!A384","E0044300400 →")</f>
        <v>E0044300400 →</v>
      </c>
    </row>
    <row r="36" spans="1:15" ht="18.399999999999999" customHeight="1" x14ac:dyDescent="0.15">
      <c r="A36" s="13" t="s">
        <v>1662</v>
      </c>
      <c r="B36" s="2" t="s">
        <v>1787</v>
      </c>
      <c r="C36" s="2">
        <v>1</v>
      </c>
      <c r="D36" s="2" t="s">
        <v>722</v>
      </c>
      <c r="E36" s="31">
        <f>중기사용료!G403</f>
        <v>32463</v>
      </c>
      <c r="F36" s="31">
        <f>중기사용료!G405</f>
        <v>56874</v>
      </c>
      <c r="G36" s="31">
        <f>중기사용료!G400</f>
        <v>68071</v>
      </c>
      <c r="H36" s="31">
        <f t="shared" si="0"/>
        <v>157408</v>
      </c>
      <c r="I36" s="22" t="s">
        <v>2859</v>
      </c>
      <c r="J36" t="s">
        <v>2859</v>
      </c>
      <c r="K36" t="s">
        <v>841</v>
      </c>
      <c r="O36" s="34" t="str">
        <f>HYPERLINK("#중기사용료!A396","E0045040032 →")</f>
        <v>E0045040032 →</v>
      </c>
    </row>
    <row r="37" spans="1:15" ht="18.399999999999999" customHeight="1" x14ac:dyDescent="0.15">
      <c r="A37" s="13" t="s">
        <v>2439</v>
      </c>
      <c r="B37" s="2" t="s">
        <v>2263</v>
      </c>
      <c r="C37" s="2">
        <v>1</v>
      </c>
      <c r="D37" s="2" t="s">
        <v>722</v>
      </c>
      <c r="E37" s="31">
        <f>중기사용료!G414</f>
        <v>984</v>
      </c>
      <c r="F37" s="31">
        <v>0</v>
      </c>
      <c r="G37" s="31">
        <f>중기사용료!G412</f>
        <v>9419</v>
      </c>
      <c r="H37" s="31">
        <f t="shared" si="0"/>
        <v>10403</v>
      </c>
      <c r="I37" s="22" t="s">
        <v>2859</v>
      </c>
      <c r="J37" t="s">
        <v>2859</v>
      </c>
      <c r="K37" t="s">
        <v>122</v>
      </c>
      <c r="O37" s="34" t="str">
        <f>HYPERLINK("#중기사용료!A408","E0072021000 →")</f>
        <v>E0072021000 →</v>
      </c>
    </row>
    <row r="38" spans="1:15" ht="18.399999999999999" customHeight="1" x14ac:dyDescent="0.15">
      <c r="A38" s="13" t="s">
        <v>516</v>
      </c>
      <c r="B38" s="2" t="s">
        <v>1741</v>
      </c>
      <c r="C38" s="2">
        <v>1</v>
      </c>
      <c r="D38" s="2" t="s">
        <v>722</v>
      </c>
      <c r="E38" s="31">
        <f>중기사용료!G426</f>
        <v>16805</v>
      </c>
      <c r="F38" s="31">
        <f>중기사용료!G428</f>
        <v>48741</v>
      </c>
      <c r="G38" s="31">
        <f>중기사용료!G423</f>
        <v>9470</v>
      </c>
      <c r="H38" s="31">
        <f t="shared" si="0"/>
        <v>75016</v>
      </c>
      <c r="I38" s="22" t="s">
        <v>2859</v>
      </c>
      <c r="J38" t="s">
        <v>2859</v>
      </c>
      <c r="K38" t="s">
        <v>42</v>
      </c>
      <c r="O38" s="34" t="str">
        <f>HYPERLINK("#중기사용료!A419","E0072040055 →")</f>
        <v>E0072040055 →</v>
      </c>
    </row>
    <row r="39" spans="1:15" ht="18.399999999999999" customHeight="1" x14ac:dyDescent="0.15">
      <c r="A39" s="13" t="s">
        <v>516</v>
      </c>
      <c r="B39" s="2" t="s">
        <v>1378</v>
      </c>
      <c r="C39" s="2">
        <v>1</v>
      </c>
      <c r="D39" s="2" t="s">
        <v>722</v>
      </c>
      <c r="E39" s="31">
        <f>중기사용료!G438</f>
        <v>23310</v>
      </c>
      <c r="F39" s="31">
        <f>중기사용료!G440</f>
        <v>48741</v>
      </c>
      <c r="G39" s="31">
        <f>중기사용료!G435</f>
        <v>18163</v>
      </c>
      <c r="H39" s="31">
        <f t="shared" si="0"/>
        <v>90214</v>
      </c>
      <c r="I39" s="22" t="s">
        <v>2859</v>
      </c>
      <c r="J39" t="s">
        <v>2859</v>
      </c>
      <c r="K39" t="s">
        <v>1439</v>
      </c>
      <c r="O39" s="34" t="str">
        <f>HYPERLINK("#중기사용료!A431","E0072040160 →")</f>
        <v>E0072040160 →</v>
      </c>
    </row>
    <row r="40" spans="1:15" ht="18.399999999999999" customHeight="1" x14ac:dyDescent="0.15">
      <c r="A40" s="13" t="s">
        <v>400</v>
      </c>
      <c r="B40" s="2" t="s">
        <v>2203</v>
      </c>
      <c r="C40" s="2">
        <v>1</v>
      </c>
      <c r="D40" s="2" t="s">
        <v>722</v>
      </c>
      <c r="E40" s="31">
        <v>0</v>
      </c>
      <c r="F40" s="31">
        <v>0</v>
      </c>
      <c r="G40" s="31">
        <f>중기사용료!G447</f>
        <v>3484</v>
      </c>
      <c r="H40" s="31">
        <f t="shared" si="0"/>
        <v>3484</v>
      </c>
      <c r="I40" s="22" t="s">
        <v>2859</v>
      </c>
      <c r="J40" t="s">
        <v>2859</v>
      </c>
      <c r="K40" t="s">
        <v>473</v>
      </c>
      <c r="O40" s="34" t="str">
        <f>HYPERLINK("#중기사용료!A443","E0072060020 →")</f>
        <v>E0072060020 →</v>
      </c>
    </row>
    <row r="41" spans="1:15" ht="18.399999999999999" customHeight="1" thickBot="1" x14ac:dyDescent="0.2">
      <c r="A41" s="15" t="s">
        <v>2407</v>
      </c>
      <c r="B41" s="16" t="s">
        <v>2581</v>
      </c>
      <c r="C41" s="16">
        <v>1</v>
      </c>
      <c r="D41" s="16" t="s">
        <v>722</v>
      </c>
      <c r="E41" s="56">
        <f>중기사용료!G461</f>
        <v>2399</v>
      </c>
      <c r="F41" s="56">
        <v>0</v>
      </c>
      <c r="G41" s="56">
        <f>중기사용료!G458</f>
        <v>244</v>
      </c>
      <c r="H41" s="56">
        <f t="shared" si="0"/>
        <v>2643</v>
      </c>
      <c r="I41" s="23" t="s">
        <v>2859</v>
      </c>
      <c r="J41" t="s">
        <v>2859</v>
      </c>
      <c r="K41" t="s">
        <v>2713</v>
      </c>
      <c r="O41" s="34" t="str">
        <f>HYPERLINK("#중기사용료!A454","E0072100485 →")</f>
        <v>E0072100485 →</v>
      </c>
    </row>
  </sheetData>
  <phoneticPr fontId="5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465"/>
  <sheetViews>
    <sheetView workbookViewId="0">
      <selection activeCell="F8" sqref="F8"/>
    </sheetView>
  </sheetViews>
  <sheetFormatPr defaultRowHeight="18.399999999999999" customHeight="1" x14ac:dyDescent="0.15"/>
  <cols>
    <col min="1" max="1" width="10" customWidth="1"/>
    <col min="2" max="2" width="25" customWidth="1"/>
    <col min="3" max="3" width="20" customWidth="1"/>
    <col min="4" max="4" width="8" customWidth="1"/>
    <col min="5" max="5" width="6" customWidth="1"/>
    <col min="6" max="7" width="13" customWidth="1"/>
    <col min="8" max="8" width="10" customWidth="1"/>
    <col min="9" max="31" width="0" hidden="1" customWidth="1"/>
  </cols>
  <sheetData>
    <row r="1" spans="1:33" ht="18.399999999999999" customHeight="1" x14ac:dyDescent="0.15">
      <c r="A1" t="s">
        <v>2274</v>
      </c>
    </row>
    <row r="3" spans="1:33" ht="18.399999999999999" customHeight="1" thickTop="1" thickBot="1" x14ac:dyDescent="0.2">
      <c r="A3" s="6" t="s">
        <v>2554</v>
      </c>
      <c r="B3" s="6" t="s">
        <v>1172</v>
      </c>
      <c r="C3" s="6"/>
      <c r="D3" s="6"/>
      <c r="E3" s="6"/>
      <c r="F3" s="6"/>
      <c r="G3" s="6"/>
      <c r="H3" s="6"/>
      <c r="I3" s="11" t="s">
        <v>2859</v>
      </c>
      <c r="J3" s="11" t="s">
        <v>2516</v>
      </c>
    </row>
    <row r="4" spans="1:33" ht="18.399999999999999" customHeight="1" thickTop="1" x14ac:dyDescent="0.15">
      <c r="A4" s="6" t="s">
        <v>780</v>
      </c>
      <c r="B4" s="6" t="s">
        <v>472</v>
      </c>
      <c r="C4" s="6"/>
      <c r="D4" s="6"/>
      <c r="E4" s="6"/>
      <c r="F4" s="6"/>
      <c r="G4" s="6"/>
      <c r="H4" s="6"/>
    </row>
    <row r="5" spans="1:33" ht="18.399999999999999" customHeight="1" x14ac:dyDescent="0.15">
      <c r="A5" s="32" t="s">
        <v>2172</v>
      </c>
      <c r="B5" s="32"/>
      <c r="C5" s="32" t="s">
        <v>1412</v>
      </c>
      <c r="D5" s="32" t="s">
        <v>73</v>
      </c>
      <c r="E5" s="32" t="s">
        <v>2682</v>
      </c>
      <c r="F5" s="32" t="s">
        <v>623</v>
      </c>
      <c r="G5" s="32" t="s">
        <v>352</v>
      </c>
      <c r="H5" s="32" t="s">
        <v>716</v>
      </c>
    </row>
    <row r="6" spans="1:33" ht="18.399999999999999" customHeight="1" x14ac:dyDescent="0.15">
      <c r="A6" s="11" t="s">
        <v>171</v>
      </c>
      <c r="B6" s="11" t="s">
        <v>815</v>
      </c>
      <c r="C6" s="11" t="s">
        <v>1916</v>
      </c>
      <c r="D6" s="11">
        <f>(750 + 583 + 478)*10^-4</f>
        <v>0.18110000000000001</v>
      </c>
      <c r="E6" s="33" t="s">
        <v>338</v>
      </c>
      <c r="F6" s="33">
        <f>중기기초자료!F3</f>
        <v>184499</v>
      </c>
      <c r="G6" s="35">
        <f>TRUNC(F6*D6, 1)</f>
        <v>33412.699999999997</v>
      </c>
      <c r="H6" s="11" t="s">
        <v>2859</v>
      </c>
      <c r="I6" s="11" t="s">
        <v>2859</v>
      </c>
      <c r="K6" s="11" t="s">
        <v>322</v>
      </c>
      <c r="L6" s="11" t="s">
        <v>2859</v>
      </c>
      <c r="M6" s="11" t="s">
        <v>203</v>
      </c>
      <c r="N6" s="11" t="s">
        <v>227</v>
      </c>
      <c r="AG6" s="34" t="str">
        <f>HYPERLINK("#중기기초자료!A3","G01010019 →")</f>
        <v>G01010019 →</v>
      </c>
    </row>
    <row r="7" spans="1:33" ht="18.399999999999999" customHeight="1" x14ac:dyDescent="0.15">
      <c r="B7" s="11" t="s">
        <v>2445</v>
      </c>
      <c r="G7" s="33">
        <f>TRUNC(G6, 0)</f>
        <v>33412</v>
      </c>
    </row>
    <row r="8" spans="1:33" ht="18.399999999999999" customHeight="1" x14ac:dyDescent="0.15">
      <c r="A8" s="11" t="s">
        <v>1942</v>
      </c>
      <c r="B8" s="11" t="s">
        <v>452</v>
      </c>
      <c r="C8" s="11" t="s">
        <v>2859</v>
      </c>
      <c r="D8" s="11">
        <v>25</v>
      </c>
      <c r="E8" s="59" t="s">
        <v>2814</v>
      </c>
      <c r="F8" s="59">
        <f>중기기초자료!D43</f>
        <v>1390</v>
      </c>
      <c r="G8" s="35">
        <f>TRUNC(F8*D8, 1)</f>
        <v>34750</v>
      </c>
      <c r="H8" s="11" t="s">
        <v>2859</v>
      </c>
      <c r="I8" s="11" t="s">
        <v>2859</v>
      </c>
      <c r="K8" s="11" t="s">
        <v>1030</v>
      </c>
      <c r="L8" s="11" t="s">
        <v>2859</v>
      </c>
      <c r="M8" s="11" t="s">
        <v>540</v>
      </c>
      <c r="AG8" s="34" t="str">
        <f>HYPERLINK("#중기기초자료!A43","M9366005 →")</f>
        <v>M9366005 →</v>
      </c>
    </row>
    <row r="9" spans="1:33" ht="18.399999999999999" customHeight="1" x14ac:dyDescent="0.15">
      <c r="B9" s="11" t="s">
        <v>2927</v>
      </c>
      <c r="C9" s="11" t="s">
        <v>2859</v>
      </c>
      <c r="D9" s="11">
        <v>16</v>
      </c>
      <c r="E9" s="59" t="s">
        <v>2928</v>
      </c>
      <c r="F9" s="59">
        <v>0</v>
      </c>
      <c r="G9" s="35">
        <f>TRUNC((G8) * D9/100, 1)</f>
        <v>5560</v>
      </c>
      <c r="H9" s="11" t="s">
        <v>2859</v>
      </c>
      <c r="I9" s="11" t="s">
        <v>2859</v>
      </c>
      <c r="K9" s="11" t="s">
        <v>267</v>
      </c>
      <c r="L9" s="11" t="s">
        <v>2859</v>
      </c>
      <c r="M9" s="11" t="s">
        <v>2929</v>
      </c>
      <c r="N9" s="11" t="s">
        <v>2859</v>
      </c>
    </row>
    <row r="10" spans="1:33" ht="18.399999999999999" customHeight="1" x14ac:dyDescent="0.15">
      <c r="B10" s="11" t="s">
        <v>2445</v>
      </c>
      <c r="G10" s="33">
        <f>TRUNC(G8+G9, 0)</f>
        <v>40310</v>
      </c>
    </row>
    <row r="11" spans="1:33" ht="18.399999999999999" customHeight="1" x14ac:dyDescent="0.15">
      <c r="A11" s="11" t="s">
        <v>1175</v>
      </c>
      <c r="B11" s="11" t="s">
        <v>626</v>
      </c>
      <c r="C11" s="11" t="s">
        <v>1620</v>
      </c>
      <c r="D11" s="11">
        <v>1</v>
      </c>
      <c r="E11" s="35" t="s">
        <v>1688</v>
      </c>
      <c r="F11" s="35">
        <f>TRUNC(중기기초자료!E38 * 중기전역변수!C18, 1)</f>
        <v>56874.1</v>
      </c>
      <c r="G11" s="35">
        <f>TRUNC(F11*D11, 1)</f>
        <v>56874.1</v>
      </c>
      <c r="H11" s="11" t="s">
        <v>2859</v>
      </c>
      <c r="I11" s="11" t="s">
        <v>2859</v>
      </c>
      <c r="K11" s="11" t="s">
        <v>1624</v>
      </c>
      <c r="L11" s="11" t="s">
        <v>2859</v>
      </c>
      <c r="M11" s="11" t="s">
        <v>1653</v>
      </c>
      <c r="AG11" s="34" t="str">
        <f>HYPERLINK("#중기기초자료!A38","L086 →")</f>
        <v>L086 →</v>
      </c>
    </row>
    <row r="12" spans="1:33" ht="18.399999999999999" customHeight="1" x14ac:dyDescent="0.15">
      <c r="B12" s="11" t="s">
        <v>2445</v>
      </c>
      <c r="G12" s="33">
        <f>TRUNC(G11, 0)</f>
        <v>56874</v>
      </c>
    </row>
    <row r="13" spans="1:33" ht="18.399999999999999" customHeight="1" thickBot="1" x14ac:dyDescent="0.2">
      <c r="B13" s="11" t="s">
        <v>261</v>
      </c>
      <c r="G13" s="33">
        <f>TRUNC(G7+G10+G12, 0)</f>
        <v>130596</v>
      </c>
    </row>
    <row r="14" spans="1:33" ht="18.399999999999999" customHeight="1" thickTop="1" thickBot="1" x14ac:dyDescent="0.2">
      <c r="A14" s="6"/>
      <c r="B14" s="6"/>
      <c r="C14" s="6"/>
      <c r="D14" s="6"/>
      <c r="E14" s="6"/>
      <c r="F14" s="6"/>
      <c r="G14" s="6"/>
      <c r="H14" s="6"/>
    </row>
    <row r="15" spans="1:33" ht="18.399999999999999" customHeight="1" thickTop="1" thickBot="1" x14ac:dyDescent="0.2">
      <c r="A15" s="6" t="s">
        <v>2554</v>
      </c>
      <c r="B15" s="6" t="s">
        <v>158</v>
      </c>
      <c r="C15" s="6"/>
      <c r="D15" s="6"/>
      <c r="E15" s="6"/>
      <c r="F15" s="6"/>
      <c r="G15" s="6"/>
      <c r="H15" s="6"/>
      <c r="I15" s="11" t="s">
        <v>2859</v>
      </c>
      <c r="J15" s="11" t="s">
        <v>2386</v>
      </c>
    </row>
    <row r="16" spans="1:33" ht="18.399999999999999" customHeight="1" thickTop="1" x14ac:dyDescent="0.15">
      <c r="A16" s="6" t="s">
        <v>780</v>
      </c>
      <c r="B16" s="6" t="s">
        <v>2930</v>
      </c>
      <c r="C16" s="6"/>
      <c r="D16" s="6"/>
      <c r="E16" s="6"/>
      <c r="F16" s="6"/>
      <c r="G16" s="6"/>
      <c r="H16" s="6"/>
    </row>
    <row r="17" spans="1:33" ht="18.399999999999999" customHeight="1" x14ac:dyDescent="0.15">
      <c r="A17" s="32" t="s">
        <v>2172</v>
      </c>
      <c r="B17" s="32"/>
      <c r="C17" s="32" t="s">
        <v>1412</v>
      </c>
      <c r="D17" s="32" t="s">
        <v>73</v>
      </c>
      <c r="E17" s="32" t="s">
        <v>2682</v>
      </c>
      <c r="F17" s="32" t="s">
        <v>623</v>
      </c>
      <c r="G17" s="32" t="s">
        <v>352</v>
      </c>
      <c r="H17" s="32" t="s">
        <v>716</v>
      </c>
    </row>
    <row r="18" spans="1:33" ht="18.399999999999999" customHeight="1" x14ac:dyDescent="0.15">
      <c r="A18" s="11" t="s">
        <v>171</v>
      </c>
      <c r="B18" s="11" t="s">
        <v>815</v>
      </c>
      <c r="C18" s="11" t="s">
        <v>2028</v>
      </c>
      <c r="D18" s="11">
        <f>(750 + 583 + 478)*10^-4</f>
        <v>0.18110000000000001</v>
      </c>
      <c r="E18" s="33" t="s">
        <v>338</v>
      </c>
      <c r="F18" s="33">
        <f>중기기초자료!F4</f>
        <v>248388</v>
      </c>
      <c r="G18" s="35">
        <f>TRUNC(F18*D18, 1)</f>
        <v>44983</v>
      </c>
      <c r="H18" s="11" t="s">
        <v>2859</v>
      </c>
      <c r="I18" s="11" t="s">
        <v>2859</v>
      </c>
      <c r="K18" s="11" t="s">
        <v>322</v>
      </c>
      <c r="L18" s="11" t="s">
        <v>2859</v>
      </c>
      <c r="M18" s="11" t="s">
        <v>318</v>
      </c>
      <c r="N18" s="11" t="s">
        <v>227</v>
      </c>
      <c r="AG18" s="34" t="str">
        <f>HYPERLINK("#중기기초자료!A4","G01010032 →")</f>
        <v>G01010032 →</v>
      </c>
    </row>
    <row r="19" spans="1:33" ht="18.399999999999999" customHeight="1" x14ac:dyDescent="0.15">
      <c r="B19" s="11" t="s">
        <v>2445</v>
      </c>
      <c r="G19" s="33">
        <f>TRUNC(G18, 0)</f>
        <v>44983</v>
      </c>
    </row>
    <row r="20" spans="1:33" ht="18.399999999999999" customHeight="1" x14ac:dyDescent="0.15">
      <c r="A20" s="11" t="s">
        <v>1942</v>
      </c>
      <c r="B20" s="11" t="s">
        <v>452</v>
      </c>
      <c r="C20" s="11" t="s">
        <v>2859</v>
      </c>
      <c r="D20" s="11">
        <v>41.6</v>
      </c>
      <c r="E20" s="59" t="s">
        <v>2814</v>
      </c>
      <c r="F20" s="59">
        <f>중기기초자료!D43</f>
        <v>1390</v>
      </c>
      <c r="G20" s="35">
        <f>TRUNC(F20*D20, 1)</f>
        <v>57824</v>
      </c>
      <c r="H20" s="11" t="s">
        <v>2859</v>
      </c>
      <c r="I20" s="11" t="s">
        <v>2859</v>
      </c>
      <c r="K20" s="11" t="s">
        <v>1030</v>
      </c>
      <c r="L20" s="11" t="s">
        <v>2859</v>
      </c>
      <c r="M20" s="11" t="s">
        <v>540</v>
      </c>
      <c r="AG20" s="34" t="str">
        <f>HYPERLINK("#중기기초자료!A43","M9366005 →")</f>
        <v>M9366005 →</v>
      </c>
    </row>
    <row r="21" spans="1:33" ht="18.399999999999999" customHeight="1" x14ac:dyDescent="0.15">
      <c r="B21" s="11" t="s">
        <v>2927</v>
      </c>
      <c r="C21" s="11" t="s">
        <v>2859</v>
      </c>
      <c r="D21" s="11">
        <v>16</v>
      </c>
      <c r="E21" s="59" t="s">
        <v>2928</v>
      </c>
      <c r="F21" s="59">
        <v>0</v>
      </c>
      <c r="G21" s="35">
        <f>TRUNC((G20) * D21/100, 1)</f>
        <v>9251.7999999999993</v>
      </c>
      <c r="H21" s="11" t="s">
        <v>2859</v>
      </c>
      <c r="I21" s="11" t="s">
        <v>2859</v>
      </c>
      <c r="K21" s="11" t="s">
        <v>267</v>
      </c>
      <c r="L21" s="11" t="s">
        <v>2859</v>
      </c>
      <c r="M21" s="11" t="s">
        <v>2929</v>
      </c>
      <c r="N21" s="11" t="s">
        <v>2859</v>
      </c>
    </row>
    <row r="22" spans="1:33" ht="18.399999999999999" customHeight="1" x14ac:dyDescent="0.15">
      <c r="B22" s="11" t="s">
        <v>2445</v>
      </c>
      <c r="G22" s="33">
        <f>TRUNC(G20+G21, 0)</f>
        <v>67075</v>
      </c>
    </row>
    <row r="23" spans="1:33" ht="18.399999999999999" customHeight="1" x14ac:dyDescent="0.15">
      <c r="A23" s="11" t="s">
        <v>1175</v>
      </c>
      <c r="B23" s="11" t="s">
        <v>626</v>
      </c>
      <c r="C23" s="11" t="s">
        <v>2859</v>
      </c>
      <c r="D23" s="11">
        <v>1</v>
      </c>
      <c r="E23" s="35" t="s">
        <v>1688</v>
      </c>
      <c r="F23" s="35">
        <f>TRUNC(중기기초자료!E38 * 중기전역변수!C18, 1)</f>
        <v>56874.1</v>
      </c>
      <c r="G23" s="35">
        <f>TRUNC(F23*D23, 1)</f>
        <v>56874.1</v>
      </c>
      <c r="H23" s="11" t="s">
        <v>2859</v>
      </c>
      <c r="I23" s="11" t="s">
        <v>2859</v>
      </c>
      <c r="K23" s="11" t="s">
        <v>1624</v>
      </c>
      <c r="L23" s="11" t="s">
        <v>2859</v>
      </c>
      <c r="M23" s="11" t="s">
        <v>1653</v>
      </c>
      <c r="AG23" s="34" t="str">
        <f>HYPERLINK("#중기기초자료!A38","L086 →")</f>
        <v>L086 →</v>
      </c>
    </row>
    <row r="24" spans="1:33" ht="18.399999999999999" customHeight="1" x14ac:dyDescent="0.15">
      <c r="B24" s="11" t="s">
        <v>2445</v>
      </c>
      <c r="G24" s="33">
        <f>TRUNC(G23, 0)</f>
        <v>56874</v>
      </c>
    </row>
    <row r="25" spans="1:33" ht="18.399999999999999" customHeight="1" thickBot="1" x14ac:dyDescent="0.2">
      <c r="B25" s="11" t="s">
        <v>261</v>
      </c>
      <c r="G25" s="33">
        <f>TRUNC(G19+G22+G24, 0)</f>
        <v>168932</v>
      </c>
    </row>
    <row r="26" spans="1:33" ht="18.399999999999999" customHeight="1" thickTop="1" thickBot="1" x14ac:dyDescent="0.2">
      <c r="A26" s="6"/>
      <c r="B26" s="6"/>
      <c r="C26" s="6"/>
      <c r="D26" s="6"/>
      <c r="E26" s="6"/>
      <c r="F26" s="6"/>
      <c r="G26" s="6"/>
      <c r="H26" s="6"/>
    </row>
    <row r="27" spans="1:33" ht="18.399999999999999" customHeight="1" thickTop="1" thickBot="1" x14ac:dyDescent="0.2">
      <c r="A27" s="6" t="s">
        <v>2554</v>
      </c>
      <c r="B27" s="6" t="s">
        <v>2346</v>
      </c>
      <c r="C27" s="6"/>
      <c r="D27" s="6"/>
      <c r="E27" s="6"/>
      <c r="F27" s="6"/>
      <c r="G27" s="6"/>
      <c r="H27" s="6"/>
      <c r="I27" s="11" t="s">
        <v>2859</v>
      </c>
      <c r="J27" s="11" t="s">
        <v>407</v>
      </c>
    </row>
    <row r="28" spans="1:33" ht="18.399999999999999" customHeight="1" thickTop="1" x14ac:dyDescent="0.15">
      <c r="A28" s="6" t="s">
        <v>780</v>
      </c>
      <c r="B28" s="6" t="s">
        <v>2931</v>
      </c>
      <c r="C28" s="6"/>
      <c r="D28" s="6"/>
      <c r="E28" s="6"/>
      <c r="F28" s="6"/>
      <c r="G28" s="6"/>
      <c r="H28" s="6"/>
    </row>
    <row r="29" spans="1:33" ht="18.399999999999999" customHeight="1" x14ac:dyDescent="0.15">
      <c r="A29" s="32" t="s">
        <v>2172</v>
      </c>
      <c r="B29" s="32"/>
      <c r="C29" s="32" t="s">
        <v>1412</v>
      </c>
      <c r="D29" s="32" t="s">
        <v>73</v>
      </c>
      <c r="E29" s="32" t="s">
        <v>2682</v>
      </c>
      <c r="F29" s="32" t="s">
        <v>623</v>
      </c>
      <c r="G29" s="32" t="s">
        <v>352</v>
      </c>
      <c r="H29" s="32" t="s">
        <v>716</v>
      </c>
    </row>
    <row r="30" spans="1:33" ht="18.399999999999999" customHeight="1" x14ac:dyDescent="0.15">
      <c r="A30" s="11" t="s">
        <v>171</v>
      </c>
      <c r="B30" s="11" t="s">
        <v>894</v>
      </c>
      <c r="C30" s="11" t="s">
        <v>11</v>
      </c>
      <c r="D30" s="11">
        <f>(900 + 700 + 485)*10^-4</f>
        <v>0.20850000000000002</v>
      </c>
      <c r="E30" s="33" t="s">
        <v>338</v>
      </c>
      <c r="F30" s="33">
        <f>중기기초자료!F5</f>
        <v>62550</v>
      </c>
      <c r="G30" s="35">
        <f>TRUNC(F30*D30, 1)</f>
        <v>13041.6</v>
      </c>
      <c r="H30" s="11" t="s">
        <v>2859</v>
      </c>
      <c r="I30" s="11" t="s">
        <v>2859</v>
      </c>
      <c r="K30" s="11" t="s">
        <v>322</v>
      </c>
      <c r="L30" s="11" t="s">
        <v>2859</v>
      </c>
      <c r="M30" s="11" t="s">
        <v>2676</v>
      </c>
      <c r="N30" s="11" t="s">
        <v>2932</v>
      </c>
      <c r="AG30" s="34" t="str">
        <f>HYPERLINK("#중기기초자료!A5","G02010020 →")</f>
        <v>G02010020 →</v>
      </c>
    </row>
    <row r="31" spans="1:33" ht="18.399999999999999" customHeight="1" x14ac:dyDescent="0.15">
      <c r="B31" s="11" t="s">
        <v>2445</v>
      </c>
      <c r="G31" s="33">
        <f>TRUNC(G30, 0)</f>
        <v>13041</v>
      </c>
    </row>
    <row r="32" spans="1:33" ht="18.399999999999999" customHeight="1" x14ac:dyDescent="0.15">
      <c r="A32" s="11" t="s">
        <v>1942</v>
      </c>
      <c r="B32" s="11" t="s">
        <v>452</v>
      </c>
      <c r="C32" s="11" t="s">
        <v>2859</v>
      </c>
      <c r="D32" s="11">
        <v>5</v>
      </c>
      <c r="E32" s="59" t="s">
        <v>2814</v>
      </c>
      <c r="F32" s="59">
        <f>중기기초자료!D43</f>
        <v>1390</v>
      </c>
      <c r="G32" s="35">
        <f>TRUNC(F32*D32, 1)</f>
        <v>6950</v>
      </c>
      <c r="H32" s="11" t="s">
        <v>2859</v>
      </c>
      <c r="I32" s="11" t="s">
        <v>2859</v>
      </c>
      <c r="K32" s="11" t="s">
        <v>1030</v>
      </c>
      <c r="L32" s="11" t="s">
        <v>2859</v>
      </c>
      <c r="M32" s="11" t="s">
        <v>540</v>
      </c>
      <c r="AG32" s="34" t="str">
        <f>HYPERLINK("#중기기초자료!A43","M9366005 →")</f>
        <v>M9366005 →</v>
      </c>
    </row>
    <row r="33" spans="1:33" ht="18.399999999999999" customHeight="1" x14ac:dyDescent="0.15">
      <c r="B33" s="11" t="s">
        <v>2927</v>
      </c>
      <c r="C33" s="11" t="s">
        <v>2859</v>
      </c>
      <c r="D33" s="11">
        <v>21</v>
      </c>
      <c r="E33" s="59" t="s">
        <v>2928</v>
      </c>
      <c r="F33" s="59">
        <v>0</v>
      </c>
      <c r="G33" s="35">
        <f>TRUNC((G32) * D33/100, 1)</f>
        <v>1459.5</v>
      </c>
      <c r="H33" s="11" t="s">
        <v>2859</v>
      </c>
      <c r="I33" s="11" t="s">
        <v>2859</v>
      </c>
      <c r="K33" s="11" t="s">
        <v>267</v>
      </c>
      <c r="L33" s="11" t="s">
        <v>2859</v>
      </c>
      <c r="M33" s="11" t="s">
        <v>2929</v>
      </c>
      <c r="N33" s="11" t="s">
        <v>2859</v>
      </c>
    </row>
    <row r="34" spans="1:33" ht="18.399999999999999" customHeight="1" x14ac:dyDescent="0.15">
      <c r="B34" s="11" t="s">
        <v>2445</v>
      </c>
      <c r="G34" s="33">
        <f>TRUNC(G32+G33, 0)</f>
        <v>8409</v>
      </c>
    </row>
    <row r="35" spans="1:33" ht="18.399999999999999" customHeight="1" x14ac:dyDescent="0.15">
      <c r="A35" s="11" t="s">
        <v>1175</v>
      </c>
      <c r="B35" s="11" t="s">
        <v>626</v>
      </c>
      <c r="C35" s="11" t="s">
        <v>1620</v>
      </c>
      <c r="D35" s="11">
        <v>1</v>
      </c>
      <c r="E35" s="35" t="s">
        <v>1688</v>
      </c>
      <c r="F35" s="35">
        <f>TRUNC(중기기초자료!E38 * 중기전역변수!C18, 1)</f>
        <v>56874.1</v>
      </c>
      <c r="G35" s="35">
        <f>TRUNC(F35*D35, 1)</f>
        <v>56874.1</v>
      </c>
      <c r="H35" s="11" t="s">
        <v>2859</v>
      </c>
      <c r="I35" s="11" t="s">
        <v>2859</v>
      </c>
      <c r="K35" s="11" t="s">
        <v>1624</v>
      </c>
      <c r="L35" s="11" t="s">
        <v>2859</v>
      </c>
      <c r="M35" s="11" t="s">
        <v>1653</v>
      </c>
      <c r="AG35" s="34" t="str">
        <f>HYPERLINK("#중기기초자료!A38","L086 →")</f>
        <v>L086 →</v>
      </c>
    </row>
    <row r="36" spans="1:33" ht="18.399999999999999" customHeight="1" x14ac:dyDescent="0.15">
      <c r="B36" s="11" t="s">
        <v>2445</v>
      </c>
      <c r="G36" s="33">
        <f>TRUNC(G35, 0)</f>
        <v>56874</v>
      </c>
    </row>
    <row r="37" spans="1:33" ht="18.399999999999999" customHeight="1" thickBot="1" x14ac:dyDescent="0.2">
      <c r="B37" s="11" t="s">
        <v>261</v>
      </c>
      <c r="G37" s="33">
        <f>TRUNC(G31+G34+G36, 0)</f>
        <v>78324</v>
      </c>
    </row>
    <row r="38" spans="1:33" ht="18.399999999999999" customHeight="1" thickTop="1" thickBot="1" x14ac:dyDescent="0.2">
      <c r="A38" s="6"/>
      <c r="B38" s="6"/>
      <c r="C38" s="6"/>
      <c r="D38" s="6"/>
      <c r="E38" s="6"/>
      <c r="F38" s="6"/>
      <c r="G38" s="6"/>
      <c r="H38" s="6"/>
    </row>
    <row r="39" spans="1:33" ht="18.399999999999999" customHeight="1" thickTop="1" thickBot="1" x14ac:dyDescent="0.2">
      <c r="A39" s="6" t="s">
        <v>2554</v>
      </c>
      <c r="B39" s="6" t="s">
        <v>1887</v>
      </c>
      <c r="C39" s="6"/>
      <c r="D39" s="6"/>
      <c r="E39" s="6"/>
      <c r="F39" s="6"/>
      <c r="G39" s="6"/>
      <c r="H39" s="6"/>
      <c r="I39" s="11" t="s">
        <v>2859</v>
      </c>
      <c r="J39" s="11" t="s">
        <v>1344</v>
      </c>
    </row>
    <row r="40" spans="1:33" ht="18.399999999999999" customHeight="1" thickTop="1" x14ac:dyDescent="0.15">
      <c r="A40" s="6" t="s">
        <v>780</v>
      </c>
      <c r="B40" s="6" t="s">
        <v>2931</v>
      </c>
      <c r="C40" s="6"/>
      <c r="D40" s="6"/>
      <c r="E40" s="6"/>
      <c r="F40" s="6"/>
      <c r="G40" s="6"/>
      <c r="H40" s="6"/>
    </row>
    <row r="41" spans="1:33" ht="18.399999999999999" customHeight="1" x14ac:dyDescent="0.15">
      <c r="A41" s="32" t="s">
        <v>2172</v>
      </c>
      <c r="B41" s="32"/>
      <c r="C41" s="32" t="s">
        <v>1412</v>
      </c>
      <c r="D41" s="32" t="s">
        <v>73</v>
      </c>
      <c r="E41" s="32" t="s">
        <v>2682</v>
      </c>
      <c r="F41" s="32" t="s">
        <v>623</v>
      </c>
      <c r="G41" s="32" t="s">
        <v>352</v>
      </c>
      <c r="H41" s="32" t="s">
        <v>716</v>
      </c>
    </row>
    <row r="42" spans="1:33" ht="18.399999999999999" customHeight="1" x14ac:dyDescent="0.15">
      <c r="A42" s="11" t="s">
        <v>171</v>
      </c>
      <c r="B42" s="11" t="s">
        <v>894</v>
      </c>
      <c r="C42" s="11" t="s">
        <v>11</v>
      </c>
      <c r="D42" s="11">
        <f>(900 + 700 + 485)*10^-4</f>
        <v>0.20850000000000002</v>
      </c>
      <c r="E42" s="33" t="s">
        <v>338</v>
      </c>
      <c r="F42" s="33">
        <f>중기기초자료!F5</f>
        <v>62550</v>
      </c>
      <c r="G42" s="35">
        <f>TRUNC(F42*D42, 1)</f>
        <v>13041.6</v>
      </c>
      <c r="H42" s="11" t="s">
        <v>2859</v>
      </c>
      <c r="I42" s="11" t="s">
        <v>2859</v>
      </c>
      <c r="K42" s="11" t="s">
        <v>322</v>
      </c>
      <c r="L42" s="11" t="s">
        <v>2859</v>
      </c>
      <c r="M42" s="11" t="s">
        <v>2676</v>
      </c>
      <c r="N42" s="11" t="s">
        <v>2932</v>
      </c>
      <c r="AG42" s="34" t="str">
        <f>HYPERLINK("#중기기초자료!A5","G02010020 →")</f>
        <v>G02010020 →</v>
      </c>
    </row>
    <row r="43" spans="1:33" ht="18.399999999999999" customHeight="1" x14ac:dyDescent="0.15">
      <c r="B43" s="11" t="s">
        <v>400</v>
      </c>
      <c r="C43" s="11" t="s">
        <v>2203</v>
      </c>
      <c r="D43" s="11">
        <v>1</v>
      </c>
      <c r="E43" s="33" t="s">
        <v>722</v>
      </c>
      <c r="F43" s="33">
        <f>중기사용료목록!G40</f>
        <v>3484</v>
      </c>
      <c r="G43" s="35">
        <f>TRUNC(F43*D43, 1)</f>
        <v>3484</v>
      </c>
      <c r="H43" s="11" t="s">
        <v>2859</v>
      </c>
      <c r="I43" s="11" t="s">
        <v>2859</v>
      </c>
      <c r="K43" s="11" t="s">
        <v>2933</v>
      </c>
      <c r="L43" s="11" t="s">
        <v>2859</v>
      </c>
      <c r="M43" s="11" t="s">
        <v>473</v>
      </c>
      <c r="AG43" s="34" t="str">
        <f>HYPERLINK("#중기사용료목록!A40","E0072060020 →")</f>
        <v>E0072060020 →</v>
      </c>
    </row>
    <row r="44" spans="1:33" ht="18.399999999999999" customHeight="1" x14ac:dyDescent="0.15">
      <c r="B44" s="11" t="s">
        <v>2445</v>
      </c>
      <c r="G44" s="33">
        <f>TRUNC(G42+G43, 0)</f>
        <v>16525</v>
      </c>
    </row>
    <row r="45" spans="1:33" ht="18.399999999999999" customHeight="1" x14ac:dyDescent="0.15">
      <c r="A45" s="11" t="s">
        <v>1942</v>
      </c>
      <c r="B45" s="11" t="s">
        <v>452</v>
      </c>
      <c r="C45" s="11" t="s">
        <v>2859</v>
      </c>
      <c r="D45" s="11">
        <v>5</v>
      </c>
      <c r="E45" s="59" t="s">
        <v>2814</v>
      </c>
      <c r="F45" s="59">
        <f>중기기초자료!D43</f>
        <v>1390</v>
      </c>
      <c r="G45" s="35">
        <f>TRUNC(F45*D45, 1)</f>
        <v>6950</v>
      </c>
      <c r="H45" s="11" t="s">
        <v>2859</v>
      </c>
      <c r="I45" s="11" t="s">
        <v>2859</v>
      </c>
      <c r="K45" s="11" t="s">
        <v>1030</v>
      </c>
      <c r="L45" s="11" t="s">
        <v>2859</v>
      </c>
      <c r="M45" s="11" t="s">
        <v>540</v>
      </c>
      <c r="AG45" s="34" t="str">
        <f>HYPERLINK("#40","M9366005 →")</f>
        <v>M9366005 →</v>
      </c>
    </row>
    <row r="46" spans="1:33" ht="18.399999999999999" customHeight="1" x14ac:dyDescent="0.15">
      <c r="B46" s="11" t="s">
        <v>2927</v>
      </c>
      <c r="C46" s="11" t="s">
        <v>2859</v>
      </c>
      <c r="D46" s="11">
        <v>21</v>
      </c>
      <c r="E46" s="59" t="s">
        <v>2928</v>
      </c>
      <c r="F46" s="59">
        <v>0</v>
      </c>
      <c r="G46" s="35">
        <f>TRUNC((G45) * D46/100, 1)</f>
        <v>1459.5</v>
      </c>
      <c r="H46" s="11" t="s">
        <v>2859</v>
      </c>
      <c r="I46" s="11" t="s">
        <v>2859</v>
      </c>
      <c r="K46" s="11" t="s">
        <v>267</v>
      </c>
      <c r="L46" s="11" t="s">
        <v>2859</v>
      </c>
      <c r="M46" s="11" t="s">
        <v>2929</v>
      </c>
      <c r="N46" s="11" t="s">
        <v>2859</v>
      </c>
      <c r="AG46" s="34" t="str">
        <f>HYPERLINK("#40","F/M1 →")</f>
        <v>F/M1 →</v>
      </c>
    </row>
    <row r="47" spans="1:33" ht="18.399999999999999" customHeight="1" x14ac:dyDescent="0.15">
      <c r="B47" s="11" t="s">
        <v>2445</v>
      </c>
      <c r="G47" s="33">
        <f>TRUNC(G45+G46, 0)</f>
        <v>8409</v>
      </c>
    </row>
    <row r="48" spans="1:33" ht="18.399999999999999" customHeight="1" x14ac:dyDescent="0.15">
      <c r="A48" s="11" t="s">
        <v>1175</v>
      </c>
      <c r="B48" s="11" t="s">
        <v>626</v>
      </c>
      <c r="C48" s="11" t="s">
        <v>2859</v>
      </c>
      <c r="D48" s="11">
        <v>1</v>
      </c>
      <c r="E48" s="35" t="s">
        <v>1688</v>
      </c>
      <c r="F48" s="35">
        <f>TRUNC(중기기초자료!E38 * 중기전역변수!C18, 1)</f>
        <v>56874.1</v>
      </c>
      <c r="G48" s="35">
        <f>TRUNC(F48*D48, 1)</f>
        <v>56874.1</v>
      </c>
      <c r="H48" s="11" t="s">
        <v>2859</v>
      </c>
      <c r="I48" s="11" t="s">
        <v>2859</v>
      </c>
      <c r="K48" s="11" t="s">
        <v>1624</v>
      </c>
      <c r="L48" s="11" t="s">
        <v>2859</v>
      </c>
      <c r="M48" s="11" t="s">
        <v>1653</v>
      </c>
      <c r="AG48" s="34" t="str">
        <f>HYPERLINK("#40","L086 →")</f>
        <v>L086 →</v>
      </c>
    </row>
    <row r="49" spans="1:33" ht="18.399999999999999" customHeight="1" x14ac:dyDescent="0.15">
      <c r="B49" s="11" t="s">
        <v>2445</v>
      </c>
      <c r="G49" s="33">
        <f>TRUNC(G48, 0)</f>
        <v>56874</v>
      </c>
    </row>
    <row r="50" spans="1:33" ht="18.399999999999999" customHeight="1" thickBot="1" x14ac:dyDescent="0.2">
      <c r="B50" s="11" t="s">
        <v>261</v>
      </c>
      <c r="G50" s="33">
        <f>TRUNC(G44+G47+G49, 0)</f>
        <v>81808</v>
      </c>
    </row>
    <row r="51" spans="1:33" ht="18.399999999999999" customHeight="1" thickTop="1" thickBot="1" x14ac:dyDescent="0.2">
      <c r="A51" s="6"/>
      <c r="B51" s="6"/>
      <c r="C51" s="6"/>
      <c r="D51" s="6"/>
      <c r="E51" s="6"/>
      <c r="F51" s="6"/>
      <c r="G51" s="6"/>
      <c r="H51" s="6"/>
    </row>
    <row r="52" spans="1:33" ht="18.399999999999999" customHeight="1" thickTop="1" thickBot="1" x14ac:dyDescent="0.2">
      <c r="A52" s="6" t="s">
        <v>2554</v>
      </c>
      <c r="B52" s="6" t="s">
        <v>439</v>
      </c>
      <c r="C52" s="6"/>
      <c r="D52" s="6"/>
      <c r="E52" s="6"/>
      <c r="F52" s="6"/>
      <c r="G52" s="6"/>
      <c r="H52" s="6"/>
      <c r="I52" s="11" t="s">
        <v>2859</v>
      </c>
      <c r="J52" s="11" t="s">
        <v>353</v>
      </c>
    </row>
    <row r="53" spans="1:33" ht="18.399999999999999" customHeight="1" thickTop="1" x14ac:dyDescent="0.15">
      <c r="A53" s="6" t="s">
        <v>780</v>
      </c>
      <c r="B53" s="6" t="s">
        <v>2934</v>
      </c>
      <c r="C53" s="6"/>
      <c r="D53" s="6"/>
      <c r="E53" s="6"/>
      <c r="F53" s="6"/>
      <c r="G53" s="6"/>
      <c r="H53" s="6"/>
    </row>
    <row r="54" spans="1:33" ht="18.399999999999999" customHeight="1" x14ac:dyDescent="0.15">
      <c r="A54" s="32" t="s">
        <v>2172</v>
      </c>
      <c r="B54" s="32"/>
      <c r="C54" s="32" t="s">
        <v>1412</v>
      </c>
      <c r="D54" s="32" t="s">
        <v>73</v>
      </c>
      <c r="E54" s="32" t="s">
        <v>2682</v>
      </c>
      <c r="F54" s="32" t="s">
        <v>623</v>
      </c>
      <c r="G54" s="32" t="s">
        <v>352</v>
      </c>
      <c r="H54" s="32" t="s">
        <v>716</v>
      </c>
    </row>
    <row r="55" spans="1:33" ht="18.399999999999999" customHeight="1" x14ac:dyDescent="0.15">
      <c r="A55" s="11" t="s">
        <v>171</v>
      </c>
      <c r="B55" s="11" t="s">
        <v>894</v>
      </c>
      <c r="C55" s="11" t="s">
        <v>981</v>
      </c>
      <c r="D55" s="11">
        <f>(900 + 700 + 485)*10^-4</f>
        <v>0.20850000000000002</v>
      </c>
      <c r="E55" s="33" t="s">
        <v>338</v>
      </c>
      <c r="F55" s="33">
        <f>중기기초자료!F6</f>
        <v>105310</v>
      </c>
      <c r="G55" s="35">
        <f>TRUNC(F55*D55, 1)</f>
        <v>21957.1</v>
      </c>
      <c r="H55" s="11" t="s">
        <v>2859</v>
      </c>
      <c r="I55" s="11" t="s">
        <v>2859</v>
      </c>
      <c r="K55" s="11" t="s">
        <v>322</v>
      </c>
      <c r="L55" s="11" t="s">
        <v>2859</v>
      </c>
      <c r="M55" s="11" t="s">
        <v>2624</v>
      </c>
      <c r="N55" s="11" t="s">
        <v>2932</v>
      </c>
      <c r="AG55" s="34" t="str">
        <f>HYPERLINK("#40","G02010060 →")</f>
        <v>G02010060 →</v>
      </c>
    </row>
    <row r="56" spans="1:33" ht="18.399999999999999" customHeight="1" x14ac:dyDescent="0.15">
      <c r="B56" s="11" t="s">
        <v>2445</v>
      </c>
      <c r="G56" s="33">
        <f>TRUNC(G55, 0)</f>
        <v>21957</v>
      </c>
    </row>
    <row r="57" spans="1:33" ht="18.399999999999999" customHeight="1" x14ac:dyDescent="0.15">
      <c r="A57" s="11" t="s">
        <v>1942</v>
      </c>
      <c r="B57" s="11" t="s">
        <v>452</v>
      </c>
      <c r="C57" s="11" t="s">
        <v>2859</v>
      </c>
      <c r="D57" s="11">
        <v>10.199999999999999</v>
      </c>
      <c r="E57" s="59" t="s">
        <v>2814</v>
      </c>
      <c r="F57" s="59">
        <f>중기기초자료!D43</f>
        <v>1390</v>
      </c>
      <c r="G57" s="35">
        <f>TRUNC(F57*D57, 1)</f>
        <v>14178</v>
      </c>
      <c r="H57" s="11" t="s">
        <v>2859</v>
      </c>
      <c r="I57" s="11" t="s">
        <v>2859</v>
      </c>
      <c r="K57" s="11" t="s">
        <v>1030</v>
      </c>
      <c r="L57" s="11" t="s">
        <v>2859</v>
      </c>
      <c r="M57" s="11" t="s">
        <v>540</v>
      </c>
      <c r="AG57" s="34" t="str">
        <f>HYPERLINK("#40","M9366005 →")</f>
        <v>M9366005 →</v>
      </c>
    </row>
    <row r="58" spans="1:33" ht="18.399999999999999" customHeight="1" x14ac:dyDescent="0.15">
      <c r="B58" s="11" t="s">
        <v>2927</v>
      </c>
      <c r="C58" s="11" t="s">
        <v>2859</v>
      </c>
      <c r="D58" s="11">
        <v>22</v>
      </c>
      <c r="E58" s="59" t="s">
        <v>2928</v>
      </c>
      <c r="F58" s="59">
        <v>0</v>
      </c>
      <c r="G58" s="35">
        <f>TRUNC((G57) * D58/100, 1)</f>
        <v>3119.1</v>
      </c>
      <c r="H58" s="11" t="s">
        <v>2859</v>
      </c>
      <c r="I58" s="11" t="s">
        <v>2859</v>
      </c>
      <c r="K58" s="11" t="s">
        <v>267</v>
      </c>
      <c r="L58" s="11" t="s">
        <v>2859</v>
      </c>
      <c r="M58" s="11" t="s">
        <v>2929</v>
      </c>
      <c r="N58" s="11" t="s">
        <v>2859</v>
      </c>
      <c r="AG58" s="34" t="str">
        <f>HYPERLINK("#40","F/M1 →")</f>
        <v>F/M1 →</v>
      </c>
    </row>
    <row r="59" spans="1:33" ht="18.399999999999999" customHeight="1" x14ac:dyDescent="0.15">
      <c r="B59" s="11" t="s">
        <v>2445</v>
      </c>
      <c r="G59" s="33">
        <f>TRUNC(G57+G58, 0)</f>
        <v>17297</v>
      </c>
    </row>
    <row r="60" spans="1:33" ht="18.399999999999999" customHeight="1" x14ac:dyDescent="0.15">
      <c r="A60" s="11" t="s">
        <v>1175</v>
      </c>
      <c r="B60" s="11" t="s">
        <v>626</v>
      </c>
      <c r="C60" s="11" t="s">
        <v>1620</v>
      </c>
      <c r="D60" s="11">
        <v>1</v>
      </c>
      <c r="E60" s="35" t="s">
        <v>1688</v>
      </c>
      <c r="F60" s="35">
        <f>TRUNC(중기기초자료!E38 * 중기전역변수!C18, 1)</f>
        <v>56874.1</v>
      </c>
      <c r="G60" s="35">
        <f>TRUNC(F60*D60, 1)</f>
        <v>56874.1</v>
      </c>
      <c r="H60" s="11" t="s">
        <v>2859</v>
      </c>
      <c r="I60" s="11" t="s">
        <v>2859</v>
      </c>
      <c r="K60" s="11" t="s">
        <v>1624</v>
      </c>
      <c r="L60" s="11" t="s">
        <v>2859</v>
      </c>
      <c r="M60" s="11" t="s">
        <v>1653</v>
      </c>
      <c r="AG60" s="34" t="str">
        <f>HYPERLINK("#40","L086 →")</f>
        <v>L086 →</v>
      </c>
    </row>
    <row r="61" spans="1:33" ht="18.399999999999999" customHeight="1" x14ac:dyDescent="0.15">
      <c r="B61" s="11" t="s">
        <v>2445</v>
      </c>
      <c r="G61" s="33">
        <f>TRUNC(G60, 0)</f>
        <v>56874</v>
      </c>
    </row>
    <row r="62" spans="1:33" ht="18.399999999999999" customHeight="1" thickBot="1" x14ac:dyDescent="0.2">
      <c r="B62" s="11" t="s">
        <v>261</v>
      </c>
      <c r="G62" s="33">
        <f>TRUNC(G56+G59+G61, 0)</f>
        <v>96128</v>
      </c>
    </row>
    <row r="63" spans="1:33" ht="18.399999999999999" customHeight="1" thickTop="1" thickBot="1" x14ac:dyDescent="0.2">
      <c r="A63" s="6"/>
      <c r="B63" s="6"/>
      <c r="C63" s="6"/>
      <c r="D63" s="6"/>
      <c r="E63" s="6"/>
      <c r="F63" s="6"/>
      <c r="G63" s="6"/>
      <c r="H63" s="6"/>
    </row>
    <row r="64" spans="1:33" ht="18.399999999999999" customHeight="1" thickTop="1" thickBot="1" x14ac:dyDescent="0.2">
      <c r="A64" s="6" t="s">
        <v>2554</v>
      </c>
      <c r="B64" s="6" t="s">
        <v>2027</v>
      </c>
      <c r="C64" s="6"/>
      <c r="D64" s="6"/>
      <c r="E64" s="6"/>
      <c r="F64" s="6"/>
      <c r="G64" s="6"/>
      <c r="H64" s="6"/>
      <c r="I64" s="11" t="s">
        <v>2859</v>
      </c>
      <c r="J64" s="11" t="s">
        <v>1104</v>
      </c>
    </row>
    <row r="65" spans="1:33" ht="18.399999999999999" customHeight="1" thickTop="1" x14ac:dyDescent="0.15">
      <c r="A65" s="6" t="s">
        <v>780</v>
      </c>
      <c r="B65" s="6" t="s">
        <v>2935</v>
      </c>
      <c r="C65" s="6"/>
      <c r="D65" s="6"/>
      <c r="E65" s="6"/>
      <c r="F65" s="6"/>
      <c r="G65" s="6"/>
      <c r="H65" s="6"/>
    </row>
    <row r="66" spans="1:33" ht="18.399999999999999" customHeight="1" x14ac:dyDescent="0.15">
      <c r="A66" s="32" t="s">
        <v>2172</v>
      </c>
      <c r="B66" s="32"/>
      <c r="C66" s="32" t="s">
        <v>1412</v>
      </c>
      <c r="D66" s="32" t="s">
        <v>73</v>
      </c>
      <c r="E66" s="32" t="s">
        <v>2682</v>
      </c>
      <c r="F66" s="32" t="s">
        <v>623</v>
      </c>
      <c r="G66" s="32" t="s">
        <v>352</v>
      </c>
      <c r="H66" s="32" t="s">
        <v>716</v>
      </c>
    </row>
    <row r="67" spans="1:33" ht="18.399999999999999" customHeight="1" x14ac:dyDescent="0.15">
      <c r="A67" s="11" t="s">
        <v>171</v>
      </c>
      <c r="B67" s="11" t="s">
        <v>894</v>
      </c>
      <c r="C67" s="11" t="s">
        <v>524</v>
      </c>
      <c r="D67" s="11">
        <f>(900 + 700 + 485)*10^-4</f>
        <v>0.20850000000000002</v>
      </c>
      <c r="E67" s="33" t="s">
        <v>338</v>
      </c>
      <c r="F67" s="33">
        <f>중기기초자료!F7</f>
        <v>110926</v>
      </c>
      <c r="G67" s="35">
        <f>TRUNC(F67*D67, 1)</f>
        <v>23128</v>
      </c>
      <c r="H67" s="11" t="s">
        <v>2859</v>
      </c>
      <c r="I67" s="11" t="s">
        <v>2859</v>
      </c>
      <c r="K67" s="11" t="s">
        <v>322</v>
      </c>
      <c r="L67" s="11" t="s">
        <v>2859</v>
      </c>
      <c r="M67" s="11" t="s">
        <v>1902</v>
      </c>
      <c r="N67" s="11" t="s">
        <v>2932</v>
      </c>
      <c r="AG67" s="34" t="str">
        <f>HYPERLINK("#40","G02010070 →")</f>
        <v>G02010070 →</v>
      </c>
    </row>
    <row r="68" spans="1:33" ht="18.399999999999999" customHeight="1" x14ac:dyDescent="0.15">
      <c r="B68" s="11" t="s">
        <v>2445</v>
      </c>
      <c r="G68" s="33">
        <f>TRUNC(G67, 0)</f>
        <v>23128</v>
      </c>
    </row>
    <row r="69" spans="1:33" ht="18.399999999999999" customHeight="1" x14ac:dyDescent="0.15">
      <c r="A69" s="11" t="s">
        <v>1942</v>
      </c>
      <c r="B69" s="11" t="s">
        <v>452</v>
      </c>
      <c r="C69" s="11" t="s">
        <v>2859</v>
      </c>
      <c r="D69" s="11">
        <v>11.6</v>
      </c>
      <c r="E69" s="59" t="s">
        <v>2814</v>
      </c>
      <c r="F69" s="59">
        <f>중기기초자료!D43</f>
        <v>1390</v>
      </c>
      <c r="G69" s="35">
        <f>TRUNC(F69*D69, 1)</f>
        <v>16124</v>
      </c>
      <c r="H69" s="11" t="s">
        <v>2859</v>
      </c>
      <c r="I69" s="11" t="s">
        <v>2859</v>
      </c>
      <c r="K69" s="11" t="s">
        <v>1030</v>
      </c>
      <c r="L69" s="11" t="s">
        <v>2859</v>
      </c>
      <c r="M69" s="11" t="s">
        <v>540</v>
      </c>
      <c r="AG69" s="34" t="str">
        <f>HYPERLINK("#40","M9366005 →")</f>
        <v>M9366005 →</v>
      </c>
    </row>
    <row r="70" spans="1:33" ht="18.399999999999999" customHeight="1" x14ac:dyDescent="0.15">
      <c r="B70" s="11" t="s">
        <v>2927</v>
      </c>
      <c r="C70" s="11" t="s">
        <v>2859</v>
      </c>
      <c r="D70" s="11">
        <v>22</v>
      </c>
      <c r="E70" s="59" t="s">
        <v>2928</v>
      </c>
      <c r="F70" s="59">
        <v>0</v>
      </c>
      <c r="G70" s="35">
        <f>TRUNC((G69) * D70/100, 1)</f>
        <v>3547.2</v>
      </c>
      <c r="H70" s="11" t="s">
        <v>2859</v>
      </c>
      <c r="I70" s="11" t="s">
        <v>2859</v>
      </c>
      <c r="K70" s="11" t="s">
        <v>267</v>
      </c>
      <c r="L70" s="11" t="s">
        <v>2859</v>
      </c>
      <c r="M70" s="11" t="s">
        <v>2929</v>
      </c>
      <c r="N70" s="11" t="s">
        <v>2859</v>
      </c>
      <c r="AG70" s="34" t="str">
        <f>HYPERLINK("#40","F/M1 →")</f>
        <v>F/M1 →</v>
      </c>
    </row>
    <row r="71" spans="1:33" ht="18.399999999999999" customHeight="1" x14ac:dyDescent="0.15">
      <c r="B71" s="11" t="s">
        <v>2445</v>
      </c>
      <c r="G71" s="33">
        <f>TRUNC(G69+G70, 0)</f>
        <v>19671</v>
      </c>
    </row>
    <row r="72" spans="1:33" ht="18.399999999999999" customHeight="1" x14ac:dyDescent="0.15">
      <c r="A72" s="11" t="s">
        <v>1175</v>
      </c>
      <c r="B72" s="11" t="s">
        <v>626</v>
      </c>
      <c r="C72" s="11" t="s">
        <v>1620</v>
      </c>
      <c r="D72" s="11">
        <v>1</v>
      </c>
      <c r="E72" s="35" t="s">
        <v>1688</v>
      </c>
      <c r="F72" s="35">
        <f>TRUNC(중기기초자료!E38 * 중기전역변수!C18, 1)</f>
        <v>56874.1</v>
      </c>
      <c r="G72" s="35">
        <f>TRUNC(F72*D72, 1)</f>
        <v>56874.1</v>
      </c>
      <c r="H72" s="11" t="s">
        <v>2859</v>
      </c>
      <c r="I72" s="11" t="s">
        <v>2859</v>
      </c>
      <c r="K72" s="11" t="s">
        <v>1624</v>
      </c>
      <c r="L72" s="11" t="s">
        <v>2859</v>
      </c>
      <c r="M72" s="11" t="s">
        <v>1653</v>
      </c>
      <c r="AG72" s="34" t="str">
        <f>HYPERLINK("#40","L086 →")</f>
        <v>L086 →</v>
      </c>
    </row>
    <row r="73" spans="1:33" ht="18.399999999999999" customHeight="1" x14ac:dyDescent="0.15">
      <c r="B73" s="11" t="s">
        <v>2445</v>
      </c>
      <c r="G73" s="33">
        <f>TRUNC(G72, 0)</f>
        <v>56874</v>
      </c>
    </row>
    <row r="74" spans="1:33" ht="18.399999999999999" customHeight="1" thickBot="1" x14ac:dyDescent="0.2">
      <c r="B74" s="11" t="s">
        <v>261</v>
      </c>
      <c r="G74" s="33">
        <f>TRUNC(G68+G71+G73, 0)</f>
        <v>99673</v>
      </c>
    </row>
    <row r="75" spans="1:33" ht="18.399999999999999" customHeight="1" thickTop="1" thickBot="1" x14ac:dyDescent="0.2">
      <c r="A75" s="6"/>
      <c r="B75" s="6"/>
      <c r="C75" s="6"/>
      <c r="D75" s="6"/>
      <c r="E75" s="6"/>
      <c r="F75" s="6"/>
      <c r="G75" s="6"/>
      <c r="H75" s="6"/>
    </row>
    <row r="76" spans="1:33" ht="18.399999999999999" customHeight="1" thickTop="1" thickBot="1" x14ac:dyDescent="0.2">
      <c r="A76" s="6" t="s">
        <v>2554</v>
      </c>
      <c r="B76" s="6" t="s">
        <v>279</v>
      </c>
      <c r="C76" s="6"/>
      <c r="D76" s="6"/>
      <c r="E76" s="6"/>
      <c r="F76" s="6"/>
      <c r="G76" s="6"/>
      <c r="H76" s="6"/>
      <c r="I76" s="11" t="s">
        <v>2859</v>
      </c>
      <c r="J76" s="11" t="s">
        <v>1943</v>
      </c>
    </row>
    <row r="77" spans="1:33" ht="18.399999999999999" customHeight="1" thickTop="1" x14ac:dyDescent="0.15">
      <c r="A77" s="6" t="s">
        <v>780</v>
      </c>
      <c r="B77" s="6" t="s">
        <v>2936</v>
      </c>
      <c r="C77" s="6"/>
      <c r="D77" s="6"/>
      <c r="E77" s="6"/>
      <c r="F77" s="6"/>
      <c r="G77" s="6"/>
      <c r="H77" s="6"/>
    </row>
    <row r="78" spans="1:33" ht="18.399999999999999" customHeight="1" x14ac:dyDescent="0.15">
      <c r="A78" s="32" t="s">
        <v>2172</v>
      </c>
      <c r="B78" s="32"/>
      <c r="C78" s="32" t="s">
        <v>1412</v>
      </c>
      <c r="D78" s="32" t="s">
        <v>73</v>
      </c>
      <c r="E78" s="32" t="s">
        <v>2682</v>
      </c>
      <c r="F78" s="32" t="s">
        <v>623</v>
      </c>
      <c r="G78" s="32" t="s">
        <v>352</v>
      </c>
      <c r="H78" s="32" t="s">
        <v>716</v>
      </c>
    </row>
    <row r="79" spans="1:33" ht="18.399999999999999" customHeight="1" x14ac:dyDescent="0.15">
      <c r="A79" s="11" t="s">
        <v>171</v>
      </c>
      <c r="B79" s="11" t="s">
        <v>894</v>
      </c>
      <c r="C79" s="11" t="s">
        <v>1138</v>
      </c>
      <c r="D79" s="11">
        <f>(900 + 700 + 485)*10^-4</f>
        <v>0.20850000000000002</v>
      </c>
      <c r="E79" s="33" t="s">
        <v>338</v>
      </c>
      <c r="F79" s="33">
        <f>중기기초자료!F8</f>
        <v>122100</v>
      </c>
      <c r="G79" s="35">
        <f>TRUNC(F79*D79, 1)</f>
        <v>25457.8</v>
      </c>
      <c r="H79" s="11" t="s">
        <v>2859</v>
      </c>
      <c r="I79" s="11" t="s">
        <v>2859</v>
      </c>
      <c r="K79" s="11" t="s">
        <v>322</v>
      </c>
      <c r="L79" s="11" t="s">
        <v>2859</v>
      </c>
      <c r="M79" s="11" t="s">
        <v>1134</v>
      </c>
      <c r="N79" s="11" t="s">
        <v>2932</v>
      </c>
      <c r="AG79" s="34" t="str">
        <f>HYPERLINK("#40","G02010080 →")</f>
        <v>G02010080 →</v>
      </c>
    </row>
    <row r="80" spans="1:33" ht="18.399999999999999" customHeight="1" x14ac:dyDescent="0.15">
      <c r="B80" s="11" t="s">
        <v>2445</v>
      </c>
      <c r="G80" s="33">
        <f>TRUNC(G79, 0)</f>
        <v>25457</v>
      </c>
    </row>
    <row r="81" spans="1:33" ht="18.399999999999999" customHeight="1" x14ac:dyDescent="0.15">
      <c r="A81" s="11" t="s">
        <v>1942</v>
      </c>
      <c r="B81" s="11" t="s">
        <v>452</v>
      </c>
      <c r="C81" s="11" t="s">
        <v>2859</v>
      </c>
      <c r="D81" s="11">
        <v>15.3</v>
      </c>
      <c r="E81" s="59" t="s">
        <v>2814</v>
      </c>
      <c r="F81" s="59">
        <f>중기기초자료!D43</f>
        <v>1390</v>
      </c>
      <c r="G81" s="35">
        <f>TRUNC(F81*D81, 1)</f>
        <v>21267</v>
      </c>
      <c r="H81" s="11" t="s">
        <v>2859</v>
      </c>
      <c r="I81" s="11" t="s">
        <v>2859</v>
      </c>
      <c r="K81" s="11" t="s">
        <v>1030</v>
      </c>
      <c r="L81" s="11" t="s">
        <v>2859</v>
      </c>
      <c r="M81" s="11" t="s">
        <v>540</v>
      </c>
      <c r="AG81" s="34" t="str">
        <f>HYPERLINK("#40","M9366005 →")</f>
        <v>M9366005 →</v>
      </c>
    </row>
    <row r="82" spans="1:33" ht="18.399999999999999" customHeight="1" x14ac:dyDescent="0.15">
      <c r="B82" s="11" t="s">
        <v>2927</v>
      </c>
      <c r="C82" s="11" t="s">
        <v>2859</v>
      </c>
      <c r="D82" s="11">
        <v>22</v>
      </c>
      <c r="E82" s="59" t="s">
        <v>2928</v>
      </c>
      <c r="F82" s="59">
        <v>0</v>
      </c>
      <c r="G82" s="35">
        <f>TRUNC((G81) * D82/100, 1)</f>
        <v>4678.7</v>
      </c>
      <c r="H82" s="11" t="s">
        <v>2859</v>
      </c>
      <c r="I82" s="11" t="s">
        <v>2859</v>
      </c>
      <c r="K82" s="11" t="s">
        <v>267</v>
      </c>
      <c r="L82" s="11" t="s">
        <v>2859</v>
      </c>
      <c r="M82" s="11" t="s">
        <v>2929</v>
      </c>
      <c r="N82" s="11" t="s">
        <v>2859</v>
      </c>
      <c r="AG82" s="34" t="str">
        <f>HYPERLINK("#40","F/M1 →")</f>
        <v>F/M1 →</v>
      </c>
    </row>
    <row r="83" spans="1:33" ht="18.399999999999999" customHeight="1" x14ac:dyDescent="0.15">
      <c r="B83" s="11" t="s">
        <v>2445</v>
      </c>
      <c r="G83" s="33">
        <f>TRUNC(G81+G82, 0)</f>
        <v>25945</v>
      </c>
    </row>
    <row r="84" spans="1:33" ht="18.399999999999999" customHeight="1" x14ac:dyDescent="0.15">
      <c r="A84" s="11" t="s">
        <v>1175</v>
      </c>
      <c r="B84" s="11" t="s">
        <v>626</v>
      </c>
      <c r="C84" s="11" t="s">
        <v>1620</v>
      </c>
      <c r="D84" s="11">
        <v>1</v>
      </c>
      <c r="E84" s="35" t="s">
        <v>1688</v>
      </c>
      <c r="F84" s="35">
        <f>TRUNC(중기기초자료!E38 * 중기전역변수!C18, 1)</f>
        <v>56874.1</v>
      </c>
      <c r="G84" s="35">
        <f>TRUNC(F84*D84, 1)</f>
        <v>56874.1</v>
      </c>
      <c r="H84" s="11" t="s">
        <v>2859</v>
      </c>
      <c r="I84" s="11" t="s">
        <v>2859</v>
      </c>
      <c r="K84" s="11" t="s">
        <v>1624</v>
      </c>
      <c r="L84" s="11" t="s">
        <v>2859</v>
      </c>
      <c r="M84" s="11" t="s">
        <v>1653</v>
      </c>
      <c r="AG84" s="34" t="str">
        <f>HYPERLINK("#40","L086 →")</f>
        <v>L086 →</v>
      </c>
    </row>
    <row r="85" spans="1:33" ht="18.399999999999999" customHeight="1" x14ac:dyDescent="0.15">
      <c r="B85" s="11" t="s">
        <v>2445</v>
      </c>
      <c r="G85" s="33">
        <f>TRUNC(G84, 0)</f>
        <v>56874</v>
      </c>
    </row>
    <row r="86" spans="1:33" ht="18.399999999999999" customHeight="1" thickBot="1" x14ac:dyDescent="0.2">
      <c r="B86" s="11" t="s">
        <v>261</v>
      </c>
      <c r="G86" s="33">
        <f>TRUNC(G80+G83+G85, 0)</f>
        <v>108276</v>
      </c>
    </row>
    <row r="87" spans="1:33" ht="18.399999999999999" customHeight="1" thickTop="1" thickBot="1" x14ac:dyDescent="0.2">
      <c r="A87" s="6"/>
      <c r="B87" s="6"/>
      <c r="C87" s="6"/>
      <c r="D87" s="6"/>
      <c r="E87" s="6"/>
      <c r="F87" s="6"/>
      <c r="G87" s="6"/>
      <c r="H87" s="6"/>
    </row>
    <row r="88" spans="1:33" ht="18.399999999999999" customHeight="1" thickTop="1" thickBot="1" x14ac:dyDescent="0.2">
      <c r="A88" s="6" t="s">
        <v>2554</v>
      </c>
      <c r="B88" s="6" t="s">
        <v>1640</v>
      </c>
      <c r="C88" s="6"/>
      <c r="D88" s="6"/>
      <c r="E88" s="6"/>
      <c r="F88" s="6"/>
      <c r="G88" s="6"/>
      <c r="H88" s="6"/>
      <c r="I88" s="11" t="s">
        <v>2859</v>
      </c>
      <c r="J88" s="11" t="s">
        <v>1482</v>
      </c>
    </row>
    <row r="89" spans="1:33" ht="18.399999999999999" customHeight="1" thickTop="1" x14ac:dyDescent="0.15">
      <c r="A89" s="6" t="s">
        <v>780</v>
      </c>
      <c r="B89" s="6" t="s">
        <v>2937</v>
      </c>
      <c r="C89" s="6"/>
      <c r="D89" s="6"/>
      <c r="E89" s="6"/>
      <c r="F89" s="6"/>
      <c r="G89" s="6"/>
      <c r="H89" s="6"/>
    </row>
    <row r="90" spans="1:33" ht="18.399999999999999" customHeight="1" x14ac:dyDescent="0.15">
      <c r="A90" s="32" t="s">
        <v>2172</v>
      </c>
      <c r="B90" s="32"/>
      <c r="C90" s="32" t="s">
        <v>1412</v>
      </c>
      <c r="D90" s="32" t="s">
        <v>73</v>
      </c>
      <c r="E90" s="32" t="s">
        <v>2682</v>
      </c>
      <c r="F90" s="32" t="s">
        <v>623</v>
      </c>
      <c r="G90" s="32" t="s">
        <v>352</v>
      </c>
      <c r="H90" s="32" t="s">
        <v>716</v>
      </c>
    </row>
    <row r="91" spans="1:33" ht="18.399999999999999" customHeight="1" x14ac:dyDescent="0.15">
      <c r="A91" s="11" t="s">
        <v>171</v>
      </c>
      <c r="B91" s="11" t="s">
        <v>855</v>
      </c>
      <c r="C91" s="11" t="s">
        <v>981</v>
      </c>
      <c r="D91" s="11">
        <f>(900 + 700 + 679)*10^-4</f>
        <v>0.22790000000000002</v>
      </c>
      <c r="E91" s="33" t="s">
        <v>338</v>
      </c>
      <c r="F91" s="33">
        <f>중기기초자료!F9</f>
        <v>112684</v>
      </c>
      <c r="G91" s="35">
        <f>TRUNC(F91*D91, 1)</f>
        <v>25680.6</v>
      </c>
      <c r="H91" s="11" t="s">
        <v>2859</v>
      </c>
      <c r="I91" s="11" t="s">
        <v>2859</v>
      </c>
      <c r="K91" s="11" t="s">
        <v>322</v>
      </c>
      <c r="L91" s="11" t="s">
        <v>2859</v>
      </c>
      <c r="M91" s="11" t="s">
        <v>888</v>
      </c>
      <c r="N91" s="11" t="s">
        <v>2938</v>
      </c>
      <c r="AG91" s="34" t="str">
        <f>HYPERLINK("#40","G02110060 →")</f>
        <v>G02110060 →</v>
      </c>
    </row>
    <row r="92" spans="1:33" ht="18.399999999999999" customHeight="1" x14ac:dyDescent="0.15">
      <c r="B92" s="11" t="s">
        <v>2445</v>
      </c>
      <c r="G92" s="33">
        <f>TRUNC(G91, 0)</f>
        <v>25680</v>
      </c>
    </row>
    <row r="93" spans="1:33" ht="18.399999999999999" customHeight="1" x14ac:dyDescent="0.15">
      <c r="A93" s="11" t="s">
        <v>1942</v>
      </c>
      <c r="B93" s="11" t="s">
        <v>452</v>
      </c>
      <c r="C93" s="11" t="s">
        <v>2859</v>
      </c>
      <c r="D93" s="11">
        <v>11.6</v>
      </c>
      <c r="E93" s="59" t="s">
        <v>2814</v>
      </c>
      <c r="F93" s="59">
        <f>중기기초자료!D43</f>
        <v>1390</v>
      </c>
      <c r="G93" s="35">
        <f>TRUNC(F93*D93, 1)</f>
        <v>16124</v>
      </c>
      <c r="H93" s="11" t="s">
        <v>2859</v>
      </c>
      <c r="I93" s="11" t="s">
        <v>2859</v>
      </c>
      <c r="K93" s="11" t="s">
        <v>1030</v>
      </c>
      <c r="L93" s="11" t="s">
        <v>2859</v>
      </c>
      <c r="M93" s="11" t="s">
        <v>540</v>
      </c>
      <c r="AG93" s="34" t="str">
        <f>HYPERLINK("#40","M9366005 →")</f>
        <v>M9366005 →</v>
      </c>
    </row>
    <row r="94" spans="1:33" ht="18.399999999999999" customHeight="1" x14ac:dyDescent="0.15">
      <c r="B94" s="11" t="s">
        <v>2927</v>
      </c>
      <c r="C94" s="11" t="s">
        <v>2859</v>
      </c>
      <c r="D94" s="11">
        <v>24</v>
      </c>
      <c r="E94" s="59" t="s">
        <v>2928</v>
      </c>
      <c r="F94" s="59">
        <v>0</v>
      </c>
      <c r="G94" s="35">
        <f>TRUNC((G93) * D94/100, 1)</f>
        <v>3869.7</v>
      </c>
      <c r="H94" s="11" t="s">
        <v>2859</v>
      </c>
      <c r="I94" s="11" t="s">
        <v>2859</v>
      </c>
      <c r="K94" s="11" t="s">
        <v>267</v>
      </c>
      <c r="L94" s="11" t="s">
        <v>2859</v>
      </c>
      <c r="M94" s="11" t="s">
        <v>2929</v>
      </c>
      <c r="N94" s="11" t="s">
        <v>2859</v>
      </c>
      <c r="AG94" s="34" t="str">
        <f>HYPERLINK("#40","F/M1 →")</f>
        <v>F/M1 →</v>
      </c>
    </row>
    <row r="95" spans="1:33" ht="18.399999999999999" customHeight="1" x14ac:dyDescent="0.15">
      <c r="B95" s="11" t="s">
        <v>2445</v>
      </c>
      <c r="G95" s="33">
        <f>TRUNC(G93+G94, 0)</f>
        <v>19993</v>
      </c>
    </row>
    <row r="96" spans="1:33" ht="18.399999999999999" customHeight="1" x14ac:dyDescent="0.15">
      <c r="A96" s="11" t="s">
        <v>1175</v>
      </c>
      <c r="B96" s="11" t="s">
        <v>626</v>
      </c>
      <c r="C96" s="11" t="s">
        <v>1620</v>
      </c>
      <c r="D96" s="11">
        <v>1</v>
      </c>
      <c r="E96" s="35" t="s">
        <v>1688</v>
      </c>
      <c r="F96" s="35">
        <f>TRUNC(중기기초자료!E38 * 중기전역변수!C18, 1)</f>
        <v>56874.1</v>
      </c>
      <c r="G96" s="35">
        <f>TRUNC(F96*D96, 1)</f>
        <v>56874.1</v>
      </c>
      <c r="H96" s="11" t="s">
        <v>2859</v>
      </c>
      <c r="I96" s="11" t="s">
        <v>2859</v>
      </c>
      <c r="K96" s="11" t="s">
        <v>1624</v>
      </c>
      <c r="L96" s="11" t="s">
        <v>2859</v>
      </c>
      <c r="M96" s="11" t="s">
        <v>1653</v>
      </c>
      <c r="AG96" s="34" t="str">
        <f>HYPERLINK("#40","L086 →")</f>
        <v>L086 →</v>
      </c>
    </row>
    <row r="97" spans="1:33" ht="18.399999999999999" customHeight="1" x14ac:dyDescent="0.15">
      <c r="B97" s="11" t="s">
        <v>2445</v>
      </c>
      <c r="G97" s="33">
        <f>TRUNC(G96, 0)</f>
        <v>56874</v>
      </c>
    </row>
    <row r="98" spans="1:33" ht="18.399999999999999" customHeight="1" thickBot="1" x14ac:dyDescent="0.2">
      <c r="B98" s="11" t="s">
        <v>261</v>
      </c>
      <c r="G98" s="33">
        <f>TRUNC(G92+G95+G97, 0)</f>
        <v>102547</v>
      </c>
    </row>
    <row r="99" spans="1:33" ht="18.399999999999999" customHeight="1" thickTop="1" thickBot="1" x14ac:dyDescent="0.2">
      <c r="A99" s="6"/>
      <c r="B99" s="6"/>
      <c r="C99" s="6"/>
      <c r="D99" s="6"/>
      <c r="E99" s="6"/>
      <c r="F99" s="6"/>
      <c r="G99" s="6"/>
      <c r="H99" s="6"/>
    </row>
    <row r="100" spans="1:33" ht="18.399999999999999" customHeight="1" thickTop="1" thickBot="1" x14ac:dyDescent="0.2">
      <c r="A100" s="6" t="s">
        <v>2554</v>
      </c>
      <c r="B100" s="6" t="s">
        <v>1786</v>
      </c>
      <c r="C100" s="6"/>
      <c r="D100" s="6"/>
      <c r="E100" s="6"/>
      <c r="F100" s="6"/>
      <c r="G100" s="6"/>
      <c r="H100" s="6"/>
      <c r="I100" s="11" t="s">
        <v>2859</v>
      </c>
      <c r="J100" s="11" t="s">
        <v>108</v>
      </c>
    </row>
    <row r="101" spans="1:33" ht="18.399999999999999" customHeight="1" thickTop="1" x14ac:dyDescent="0.15">
      <c r="A101" s="6" t="s">
        <v>780</v>
      </c>
      <c r="B101" s="6" t="s">
        <v>2939</v>
      </c>
      <c r="C101" s="6"/>
      <c r="D101" s="6"/>
      <c r="E101" s="6"/>
      <c r="F101" s="6"/>
      <c r="G101" s="6"/>
      <c r="H101" s="6"/>
    </row>
    <row r="102" spans="1:33" ht="18.399999999999999" customHeight="1" x14ac:dyDescent="0.15">
      <c r="A102" s="32" t="s">
        <v>2172</v>
      </c>
      <c r="B102" s="32"/>
      <c r="C102" s="32" t="s">
        <v>1412</v>
      </c>
      <c r="D102" s="32" t="s">
        <v>73</v>
      </c>
      <c r="E102" s="32" t="s">
        <v>2682</v>
      </c>
      <c r="F102" s="32" t="s">
        <v>623</v>
      </c>
      <c r="G102" s="32" t="s">
        <v>352</v>
      </c>
      <c r="H102" s="32" t="s">
        <v>716</v>
      </c>
    </row>
    <row r="103" spans="1:33" ht="18.399999999999999" customHeight="1" x14ac:dyDescent="0.15">
      <c r="A103" s="11" t="s">
        <v>171</v>
      </c>
      <c r="B103" s="11" t="s">
        <v>855</v>
      </c>
      <c r="C103" s="11" t="s">
        <v>1138</v>
      </c>
      <c r="D103" s="11">
        <f>(900 + 700 + 679)*10^-4</f>
        <v>0.22790000000000002</v>
      </c>
      <c r="E103" s="33" t="s">
        <v>338</v>
      </c>
      <c r="F103" s="33">
        <f>중기기초자료!F10</f>
        <v>131171</v>
      </c>
      <c r="G103" s="35">
        <f>TRUNC(F103*D103, 1)</f>
        <v>29893.8</v>
      </c>
      <c r="H103" s="11" t="s">
        <v>2859</v>
      </c>
      <c r="I103" s="11" t="s">
        <v>2859</v>
      </c>
      <c r="K103" s="11" t="s">
        <v>322</v>
      </c>
      <c r="L103" s="11" t="s">
        <v>2859</v>
      </c>
      <c r="M103" s="11" t="s">
        <v>2137</v>
      </c>
      <c r="N103" s="11" t="s">
        <v>2938</v>
      </c>
      <c r="AG103" s="34" t="str">
        <f>HYPERLINK("#40","G02110080 →")</f>
        <v>G02110080 →</v>
      </c>
    </row>
    <row r="104" spans="1:33" ht="18.399999999999999" customHeight="1" x14ac:dyDescent="0.15">
      <c r="B104" s="11" t="s">
        <v>2445</v>
      </c>
      <c r="G104" s="33">
        <f>TRUNC(G103, 0)</f>
        <v>29893</v>
      </c>
    </row>
    <row r="105" spans="1:33" ht="18.399999999999999" customHeight="1" x14ac:dyDescent="0.15">
      <c r="A105" s="11" t="s">
        <v>1942</v>
      </c>
      <c r="B105" s="11" t="s">
        <v>452</v>
      </c>
      <c r="C105" s="11" t="s">
        <v>2859</v>
      </c>
      <c r="D105" s="11">
        <v>16.3</v>
      </c>
      <c r="E105" s="59" t="s">
        <v>2814</v>
      </c>
      <c r="F105" s="59">
        <f>중기기초자료!D43</f>
        <v>1390</v>
      </c>
      <c r="G105" s="35">
        <f>TRUNC(F105*D105, 1)</f>
        <v>22657</v>
      </c>
      <c r="H105" s="11" t="s">
        <v>2859</v>
      </c>
      <c r="I105" s="11" t="s">
        <v>2859</v>
      </c>
      <c r="K105" s="11" t="s">
        <v>1030</v>
      </c>
      <c r="L105" s="11" t="s">
        <v>2859</v>
      </c>
      <c r="M105" s="11" t="s">
        <v>540</v>
      </c>
      <c r="AG105" s="34" t="str">
        <f>HYPERLINK("#40","M9366005 →")</f>
        <v>M9366005 →</v>
      </c>
    </row>
    <row r="106" spans="1:33" ht="18.399999999999999" customHeight="1" x14ac:dyDescent="0.15">
      <c r="B106" s="11" t="s">
        <v>2927</v>
      </c>
      <c r="C106" s="11" t="s">
        <v>2859</v>
      </c>
      <c r="D106" s="11">
        <v>24</v>
      </c>
      <c r="E106" s="59" t="s">
        <v>2928</v>
      </c>
      <c r="F106" s="59">
        <v>0</v>
      </c>
      <c r="G106" s="35">
        <f>TRUNC((G105) * D106/100, 1)</f>
        <v>5437.6</v>
      </c>
      <c r="H106" s="11" t="s">
        <v>2859</v>
      </c>
      <c r="I106" s="11" t="s">
        <v>2859</v>
      </c>
      <c r="K106" s="11" t="s">
        <v>267</v>
      </c>
      <c r="L106" s="11" t="s">
        <v>2859</v>
      </c>
      <c r="M106" s="11" t="s">
        <v>2929</v>
      </c>
      <c r="N106" s="11" t="s">
        <v>2859</v>
      </c>
      <c r="AG106" s="34" t="str">
        <f>HYPERLINK("#40","F/M1 →")</f>
        <v>F/M1 →</v>
      </c>
    </row>
    <row r="107" spans="1:33" ht="18.399999999999999" customHeight="1" x14ac:dyDescent="0.15">
      <c r="B107" s="11" t="s">
        <v>2445</v>
      </c>
      <c r="G107" s="33">
        <f>TRUNC(G105+G106, 0)</f>
        <v>28094</v>
      </c>
    </row>
    <row r="108" spans="1:33" ht="18.399999999999999" customHeight="1" x14ac:dyDescent="0.15">
      <c r="A108" s="11" t="s">
        <v>1175</v>
      </c>
      <c r="B108" s="11" t="s">
        <v>626</v>
      </c>
      <c r="C108" s="11" t="s">
        <v>1620</v>
      </c>
      <c r="D108" s="11">
        <v>1</v>
      </c>
      <c r="E108" s="35" t="s">
        <v>1688</v>
      </c>
      <c r="F108" s="35">
        <f>TRUNC(중기기초자료!E38 * 중기전역변수!C18, 1)</f>
        <v>56874.1</v>
      </c>
      <c r="G108" s="35">
        <f>TRUNC(F108*D108, 1)</f>
        <v>56874.1</v>
      </c>
      <c r="H108" s="11" t="s">
        <v>2859</v>
      </c>
      <c r="I108" s="11" t="s">
        <v>2859</v>
      </c>
      <c r="K108" s="11" t="s">
        <v>1624</v>
      </c>
      <c r="L108" s="11" t="s">
        <v>2859</v>
      </c>
      <c r="M108" s="11" t="s">
        <v>1653</v>
      </c>
      <c r="AG108" s="34" t="str">
        <f>HYPERLINK("#40","L086 →")</f>
        <v>L086 →</v>
      </c>
    </row>
    <row r="109" spans="1:33" ht="18.399999999999999" customHeight="1" x14ac:dyDescent="0.15">
      <c r="B109" s="11" t="s">
        <v>2445</v>
      </c>
      <c r="G109" s="33">
        <f>TRUNC(G108, 0)</f>
        <v>56874</v>
      </c>
    </row>
    <row r="110" spans="1:33" ht="18.399999999999999" customHeight="1" thickBot="1" x14ac:dyDescent="0.2">
      <c r="B110" s="11" t="s">
        <v>261</v>
      </c>
      <c r="G110" s="33">
        <f>TRUNC(G104+G107+G109, 0)</f>
        <v>114861</v>
      </c>
    </row>
    <row r="111" spans="1:33" ht="18.399999999999999" customHeight="1" thickTop="1" thickBot="1" x14ac:dyDescent="0.2">
      <c r="A111" s="6"/>
      <c r="B111" s="6"/>
      <c r="C111" s="6"/>
      <c r="D111" s="6"/>
      <c r="E111" s="6"/>
      <c r="F111" s="6"/>
      <c r="G111" s="6"/>
      <c r="H111" s="6"/>
    </row>
    <row r="112" spans="1:33" ht="18.399999999999999" customHeight="1" thickTop="1" thickBot="1" x14ac:dyDescent="0.2">
      <c r="A112" s="6" t="s">
        <v>2554</v>
      </c>
      <c r="B112" s="6" t="s">
        <v>681</v>
      </c>
      <c r="C112" s="6"/>
      <c r="D112" s="6"/>
      <c r="E112" s="6"/>
      <c r="F112" s="6"/>
      <c r="G112" s="6"/>
      <c r="H112" s="6"/>
      <c r="I112" s="11" t="s">
        <v>2859</v>
      </c>
      <c r="J112" s="11" t="s">
        <v>266</v>
      </c>
    </row>
    <row r="113" spans="1:33" ht="18.399999999999999" customHeight="1" thickTop="1" x14ac:dyDescent="0.15">
      <c r="A113" s="6" t="s">
        <v>780</v>
      </c>
      <c r="B113" s="6" t="s">
        <v>2940</v>
      </c>
      <c r="C113" s="6"/>
      <c r="D113" s="6"/>
      <c r="E113" s="6"/>
      <c r="F113" s="6"/>
      <c r="G113" s="6"/>
      <c r="H113" s="6"/>
    </row>
    <row r="114" spans="1:33" ht="18.399999999999999" customHeight="1" x14ac:dyDescent="0.15">
      <c r="A114" s="32" t="s">
        <v>2172</v>
      </c>
      <c r="B114" s="32"/>
      <c r="C114" s="32" t="s">
        <v>1412</v>
      </c>
      <c r="D114" s="32" t="s">
        <v>73</v>
      </c>
      <c r="E114" s="32" t="s">
        <v>2682</v>
      </c>
      <c r="F114" s="32" t="s">
        <v>623</v>
      </c>
      <c r="G114" s="32" t="s">
        <v>352</v>
      </c>
      <c r="H114" s="32" t="s">
        <v>716</v>
      </c>
    </row>
    <row r="115" spans="1:33" ht="18.399999999999999" customHeight="1" x14ac:dyDescent="0.15">
      <c r="A115" s="11" t="s">
        <v>171</v>
      </c>
      <c r="B115" s="11" t="s">
        <v>833</v>
      </c>
      <c r="C115" s="11" t="s">
        <v>1836</v>
      </c>
      <c r="D115" s="11">
        <f>(3000 + 2833 + 768)*10^-4</f>
        <v>0.66010000000000002</v>
      </c>
      <c r="E115" s="33" t="s">
        <v>338</v>
      </c>
      <c r="F115" s="33">
        <f>중기기초자료!F11</f>
        <v>16315</v>
      </c>
      <c r="G115" s="35">
        <f>TRUNC(F115*D115, 1)</f>
        <v>10769.5</v>
      </c>
      <c r="H115" s="11" t="s">
        <v>2859</v>
      </c>
      <c r="I115" s="11" t="s">
        <v>2859</v>
      </c>
      <c r="K115" s="11" t="s">
        <v>322</v>
      </c>
      <c r="L115" s="11" t="s">
        <v>2859</v>
      </c>
      <c r="M115" s="11" t="s">
        <v>2324</v>
      </c>
      <c r="N115" s="11" t="s">
        <v>2941</v>
      </c>
      <c r="AG115" s="34" t="str">
        <f>HYPERLINK("#40","G02300007 →")</f>
        <v>G02300007 →</v>
      </c>
    </row>
    <row r="116" spans="1:33" ht="18.399999999999999" customHeight="1" x14ac:dyDescent="0.15">
      <c r="B116" s="11" t="s">
        <v>2445</v>
      </c>
      <c r="G116" s="33">
        <f>TRUNC(G115, 0)</f>
        <v>10769</v>
      </c>
    </row>
    <row r="117" spans="1:33" ht="18.399999999999999" customHeight="1" x14ac:dyDescent="0.15">
      <c r="A117" s="11" t="s">
        <v>1942</v>
      </c>
    </row>
    <row r="118" spans="1:33" ht="18.399999999999999" customHeight="1" x14ac:dyDescent="0.15">
      <c r="B118" s="11" t="s">
        <v>2445</v>
      </c>
    </row>
    <row r="119" spans="1:33" ht="18.399999999999999" customHeight="1" x14ac:dyDescent="0.15">
      <c r="A119" s="11" t="s">
        <v>1175</v>
      </c>
    </row>
    <row r="120" spans="1:33" ht="18.399999999999999" customHeight="1" x14ac:dyDescent="0.15">
      <c r="B120" s="11" t="s">
        <v>2445</v>
      </c>
    </row>
    <row r="121" spans="1:33" ht="18.399999999999999" customHeight="1" thickBot="1" x14ac:dyDescent="0.2">
      <c r="B121" s="11" t="s">
        <v>261</v>
      </c>
      <c r="G121" s="33">
        <f>TRUNC(G116+G118+G120, 0)</f>
        <v>10769</v>
      </c>
    </row>
    <row r="122" spans="1:33" ht="18.399999999999999" customHeight="1" thickTop="1" thickBot="1" x14ac:dyDescent="0.2">
      <c r="A122" s="6"/>
      <c r="B122" s="6"/>
      <c r="C122" s="6"/>
      <c r="D122" s="6"/>
      <c r="E122" s="6"/>
      <c r="F122" s="6"/>
      <c r="G122" s="6"/>
      <c r="H122" s="6"/>
    </row>
    <row r="123" spans="1:33" ht="18.399999999999999" customHeight="1" thickTop="1" thickBot="1" x14ac:dyDescent="0.2">
      <c r="A123" s="6" t="s">
        <v>2554</v>
      </c>
      <c r="B123" s="6" t="s">
        <v>282</v>
      </c>
      <c r="C123" s="6"/>
      <c r="D123" s="6"/>
      <c r="E123" s="6"/>
      <c r="F123" s="6"/>
      <c r="G123" s="6"/>
      <c r="H123" s="6"/>
      <c r="I123" s="11" t="s">
        <v>2859</v>
      </c>
      <c r="J123" s="11" t="s">
        <v>1885</v>
      </c>
    </row>
    <row r="124" spans="1:33" ht="18.399999999999999" customHeight="1" thickTop="1" x14ac:dyDescent="0.15">
      <c r="A124" s="6" t="s">
        <v>780</v>
      </c>
      <c r="B124" s="6" t="s">
        <v>2942</v>
      </c>
      <c r="C124" s="6"/>
      <c r="D124" s="6"/>
      <c r="E124" s="6"/>
      <c r="F124" s="6"/>
      <c r="G124" s="6"/>
      <c r="H124" s="6"/>
    </row>
    <row r="125" spans="1:33" ht="18.399999999999999" customHeight="1" x14ac:dyDescent="0.15">
      <c r="A125" s="32" t="s">
        <v>2172</v>
      </c>
      <c r="B125" s="32"/>
      <c r="C125" s="32" t="s">
        <v>1412</v>
      </c>
      <c r="D125" s="32" t="s">
        <v>73</v>
      </c>
      <c r="E125" s="32" t="s">
        <v>2682</v>
      </c>
      <c r="F125" s="32" t="s">
        <v>623</v>
      </c>
      <c r="G125" s="32" t="s">
        <v>352</v>
      </c>
      <c r="H125" s="32" t="s">
        <v>716</v>
      </c>
    </row>
    <row r="126" spans="1:33" ht="18.399999999999999" customHeight="1" x14ac:dyDescent="0.15">
      <c r="A126" s="11" t="s">
        <v>171</v>
      </c>
      <c r="B126" s="11" t="s">
        <v>2481</v>
      </c>
      <c r="C126" s="11" t="s">
        <v>1836</v>
      </c>
      <c r="D126" s="11">
        <v>1</v>
      </c>
      <c r="E126" s="33" t="s">
        <v>2837</v>
      </c>
      <c r="F126" s="33">
        <f>중기기초자료!F12</f>
        <v>223000</v>
      </c>
      <c r="G126" s="35">
        <f>TRUNC(F126*D126, 1)</f>
        <v>223000</v>
      </c>
      <c r="H126" s="11" t="s">
        <v>2859</v>
      </c>
      <c r="I126" s="11" t="s">
        <v>2859</v>
      </c>
      <c r="K126" s="11" t="s">
        <v>322</v>
      </c>
      <c r="L126" s="11" t="s">
        <v>2859</v>
      </c>
      <c r="M126" s="11" t="s">
        <v>1111</v>
      </c>
      <c r="N126" s="11" t="s">
        <v>2859</v>
      </c>
      <c r="AG126" s="34" t="str">
        <f>HYPERLINK("#40","G02310007 →")</f>
        <v>G02310007 →</v>
      </c>
    </row>
    <row r="127" spans="1:33" ht="18.399999999999999" customHeight="1" x14ac:dyDescent="0.15">
      <c r="B127" s="11" t="s">
        <v>2445</v>
      </c>
      <c r="G127" s="33">
        <f>TRUNC(G126, 0)</f>
        <v>223000</v>
      </c>
    </row>
    <row r="128" spans="1:33" ht="18.399999999999999" customHeight="1" x14ac:dyDescent="0.15">
      <c r="A128" s="11" t="s">
        <v>1942</v>
      </c>
    </row>
    <row r="129" spans="1:33" ht="18.399999999999999" customHeight="1" x14ac:dyDescent="0.15">
      <c r="B129" s="11" t="s">
        <v>2445</v>
      </c>
    </row>
    <row r="130" spans="1:33" ht="18.399999999999999" customHeight="1" x14ac:dyDescent="0.15">
      <c r="A130" s="11" t="s">
        <v>1175</v>
      </c>
    </row>
    <row r="131" spans="1:33" ht="18.399999999999999" customHeight="1" x14ac:dyDescent="0.15">
      <c r="B131" s="11" t="s">
        <v>2445</v>
      </c>
    </row>
    <row r="132" spans="1:33" ht="18.399999999999999" customHeight="1" thickBot="1" x14ac:dyDescent="0.2">
      <c r="B132" s="11" t="s">
        <v>261</v>
      </c>
      <c r="G132" s="33">
        <f>TRUNC(G127+G129+G131, 0)</f>
        <v>223000</v>
      </c>
    </row>
    <row r="133" spans="1:33" ht="18.399999999999999" customHeight="1" thickTop="1" thickBot="1" x14ac:dyDescent="0.2">
      <c r="A133" s="6"/>
      <c r="B133" s="6"/>
      <c r="C133" s="6"/>
      <c r="D133" s="6"/>
      <c r="E133" s="6"/>
      <c r="F133" s="6"/>
      <c r="G133" s="6"/>
      <c r="H133" s="6"/>
    </row>
    <row r="134" spans="1:33" ht="18.399999999999999" customHeight="1" thickTop="1" thickBot="1" x14ac:dyDescent="0.2">
      <c r="A134" s="6" t="s">
        <v>2554</v>
      </c>
      <c r="B134" s="6" t="s">
        <v>523</v>
      </c>
      <c r="C134" s="6"/>
      <c r="D134" s="6"/>
      <c r="E134" s="6"/>
      <c r="F134" s="6"/>
      <c r="G134" s="6"/>
      <c r="H134" s="6"/>
      <c r="I134" s="11" t="s">
        <v>2859</v>
      </c>
      <c r="J134" s="11" t="s">
        <v>334</v>
      </c>
    </row>
    <row r="135" spans="1:33" ht="18.399999999999999" customHeight="1" thickTop="1" x14ac:dyDescent="0.15">
      <c r="A135" s="6" t="s">
        <v>780</v>
      </c>
      <c r="B135" s="6" t="s">
        <v>2943</v>
      </c>
      <c r="C135" s="6"/>
      <c r="D135" s="6"/>
      <c r="E135" s="6"/>
      <c r="F135" s="6"/>
      <c r="G135" s="6"/>
      <c r="H135" s="6"/>
    </row>
    <row r="136" spans="1:33" ht="18.399999999999999" customHeight="1" x14ac:dyDescent="0.15">
      <c r="A136" s="32" t="s">
        <v>2172</v>
      </c>
      <c r="B136" s="32"/>
      <c r="C136" s="32" t="s">
        <v>1412</v>
      </c>
      <c r="D136" s="32" t="s">
        <v>73</v>
      </c>
      <c r="E136" s="32" t="s">
        <v>2682</v>
      </c>
      <c r="F136" s="32" t="s">
        <v>623</v>
      </c>
      <c r="G136" s="32" t="s">
        <v>352</v>
      </c>
      <c r="H136" s="32" t="s">
        <v>716</v>
      </c>
    </row>
    <row r="137" spans="1:33" ht="18.399999999999999" customHeight="1" x14ac:dyDescent="0.15">
      <c r="A137" s="11" t="s">
        <v>171</v>
      </c>
      <c r="B137" s="11" t="s">
        <v>2638</v>
      </c>
      <c r="C137" s="11" t="s">
        <v>378</v>
      </c>
      <c r="D137" s="11">
        <f>(900 + 700 + 485)*10^-4</f>
        <v>0.20850000000000002</v>
      </c>
      <c r="E137" s="33" t="s">
        <v>338</v>
      </c>
      <c r="F137" s="33">
        <f>중기기초자료!F13</f>
        <v>111381</v>
      </c>
      <c r="G137" s="35">
        <f>TRUNC(F137*D137, 1)</f>
        <v>23222.9</v>
      </c>
      <c r="H137" s="11" t="s">
        <v>2859</v>
      </c>
      <c r="I137" s="11" t="s">
        <v>2859</v>
      </c>
      <c r="K137" s="11" t="s">
        <v>322</v>
      </c>
      <c r="L137" s="11" t="s">
        <v>2859</v>
      </c>
      <c r="M137" s="11" t="s">
        <v>2370</v>
      </c>
      <c r="N137" s="11" t="s">
        <v>2932</v>
      </c>
      <c r="AG137" s="34" t="str">
        <f>HYPERLINK("#40","G03020172 →")</f>
        <v>G03020172 →</v>
      </c>
    </row>
    <row r="138" spans="1:33" ht="18.399999999999999" customHeight="1" x14ac:dyDescent="0.15">
      <c r="B138" s="11" t="s">
        <v>2445</v>
      </c>
      <c r="G138" s="33">
        <f>TRUNC(G137, 0)</f>
        <v>23222</v>
      </c>
    </row>
    <row r="139" spans="1:33" ht="18.399999999999999" customHeight="1" x14ac:dyDescent="0.15">
      <c r="A139" s="11" t="s">
        <v>1942</v>
      </c>
      <c r="B139" s="11" t="s">
        <v>452</v>
      </c>
      <c r="C139" s="11" t="s">
        <v>2859</v>
      </c>
      <c r="D139" s="11">
        <v>9.8000000000000007</v>
      </c>
      <c r="E139" s="59" t="s">
        <v>2814</v>
      </c>
      <c r="F139" s="59">
        <f>중기기초자료!D43</f>
        <v>1390</v>
      </c>
      <c r="G139" s="35">
        <f>TRUNC(F139*D139, 1)</f>
        <v>13622</v>
      </c>
      <c r="H139" s="11" t="s">
        <v>2859</v>
      </c>
      <c r="I139" s="11" t="s">
        <v>2859</v>
      </c>
      <c r="K139" s="11" t="s">
        <v>1030</v>
      </c>
      <c r="L139" s="11" t="s">
        <v>2859</v>
      </c>
      <c r="M139" s="11" t="s">
        <v>540</v>
      </c>
      <c r="AG139" s="34" t="str">
        <f>HYPERLINK("#40","M9366005 →")</f>
        <v>M9366005 →</v>
      </c>
    </row>
    <row r="140" spans="1:33" ht="18.399999999999999" customHeight="1" x14ac:dyDescent="0.15">
      <c r="B140" s="11" t="s">
        <v>2927</v>
      </c>
      <c r="C140" s="11" t="s">
        <v>2859</v>
      </c>
      <c r="D140" s="11">
        <v>44</v>
      </c>
      <c r="E140" s="59" t="s">
        <v>2928</v>
      </c>
      <c r="F140" s="59">
        <v>0</v>
      </c>
      <c r="G140" s="35">
        <f>TRUNC((G139) * D140/100, 1)</f>
        <v>5993.6</v>
      </c>
      <c r="H140" s="11" t="s">
        <v>2859</v>
      </c>
      <c r="I140" s="11" t="s">
        <v>2859</v>
      </c>
      <c r="K140" s="11" t="s">
        <v>267</v>
      </c>
      <c r="L140" s="11" t="s">
        <v>2859</v>
      </c>
      <c r="M140" s="11" t="s">
        <v>2929</v>
      </c>
      <c r="N140" s="11" t="s">
        <v>2859</v>
      </c>
      <c r="AG140" s="34" t="str">
        <f>HYPERLINK("#40","F/M1 →")</f>
        <v>F/M1 →</v>
      </c>
    </row>
    <row r="141" spans="1:33" ht="18.399999999999999" customHeight="1" x14ac:dyDescent="0.15">
      <c r="B141" s="11" t="s">
        <v>2445</v>
      </c>
      <c r="G141" s="33">
        <f>TRUNC(G139+G140, 0)</f>
        <v>19615</v>
      </c>
    </row>
    <row r="142" spans="1:33" ht="18.399999999999999" customHeight="1" x14ac:dyDescent="0.15">
      <c r="A142" s="11" t="s">
        <v>1175</v>
      </c>
      <c r="B142" s="11" t="s">
        <v>626</v>
      </c>
      <c r="C142" s="11" t="s">
        <v>1620</v>
      </c>
      <c r="D142" s="11">
        <v>1</v>
      </c>
      <c r="E142" s="35" t="s">
        <v>1688</v>
      </c>
      <c r="F142" s="35">
        <f>TRUNC(중기기초자료!E38 * 중기전역변수!C18, 1)</f>
        <v>56874.1</v>
      </c>
      <c r="G142" s="35">
        <f>TRUNC(F142*D142, 1)</f>
        <v>56874.1</v>
      </c>
      <c r="H142" s="11" t="s">
        <v>2859</v>
      </c>
      <c r="I142" s="11" t="s">
        <v>2859</v>
      </c>
      <c r="K142" s="11" t="s">
        <v>1624</v>
      </c>
      <c r="L142" s="11" t="s">
        <v>2859</v>
      </c>
      <c r="M142" s="11" t="s">
        <v>1653</v>
      </c>
      <c r="AG142" s="34" t="str">
        <f>HYPERLINK("#40","L086 →")</f>
        <v>L086 →</v>
      </c>
    </row>
    <row r="143" spans="1:33" ht="18.399999999999999" customHeight="1" x14ac:dyDescent="0.15">
      <c r="B143" s="11" t="s">
        <v>2445</v>
      </c>
      <c r="G143" s="33">
        <f>TRUNC(G142, 0)</f>
        <v>56874</v>
      </c>
    </row>
    <row r="144" spans="1:33" ht="18.399999999999999" customHeight="1" thickBot="1" x14ac:dyDescent="0.2">
      <c r="B144" s="11" t="s">
        <v>261</v>
      </c>
      <c r="G144" s="33">
        <f>TRUNC(G138+G141+G143, 0)</f>
        <v>99711</v>
      </c>
    </row>
    <row r="145" spans="1:33" ht="18.399999999999999" customHeight="1" thickTop="1" thickBot="1" x14ac:dyDescent="0.2">
      <c r="A145" s="6"/>
      <c r="B145" s="6"/>
      <c r="C145" s="6"/>
      <c r="D145" s="6"/>
      <c r="E145" s="6"/>
      <c r="F145" s="6"/>
      <c r="G145" s="6"/>
      <c r="H145" s="6"/>
    </row>
    <row r="146" spans="1:33" ht="18.399999999999999" customHeight="1" thickTop="1" thickBot="1" x14ac:dyDescent="0.2">
      <c r="A146" s="6" t="s">
        <v>2554</v>
      </c>
      <c r="B146" s="6" t="s">
        <v>2156</v>
      </c>
      <c r="C146" s="6"/>
      <c r="D146" s="6"/>
      <c r="E146" s="6"/>
      <c r="F146" s="6"/>
      <c r="G146" s="6"/>
      <c r="H146" s="6"/>
      <c r="I146" s="11" t="s">
        <v>2859</v>
      </c>
      <c r="J146" s="11" t="s">
        <v>1203</v>
      </c>
    </row>
    <row r="147" spans="1:33" ht="18.399999999999999" customHeight="1" thickTop="1" x14ac:dyDescent="0.15">
      <c r="A147" s="6" t="s">
        <v>780</v>
      </c>
      <c r="B147" s="6" t="s">
        <v>2944</v>
      </c>
      <c r="C147" s="6"/>
      <c r="D147" s="6"/>
      <c r="E147" s="6"/>
      <c r="F147" s="6"/>
      <c r="G147" s="6"/>
      <c r="H147" s="6"/>
    </row>
    <row r="148" spans="1:33" ht="18.399999999999999" customHeight="1" x14ac:dyDescent="0.15">
      <c r="A148" s="32" t="s">
        <v>2172</v>
      </c>
      <c r="B148" s="32"/>
      <c r="C148" s="32" t="s">
        <v>1412</v>
      </c>
      <c r="D148" s="32" t="s">
        <v>73</v>
      </c>
      <c r="E148" s="32" t="s">
        <v>2682</v>
      </c>
      <c r="F148" s="32" t="s">
        <v>623</v>
      </c>
      <c r="G148" s="32" t="s">
        <v>352</v>
      </c>
      <c r="H148" s="32" t="s">
        <v>716</v>
      </c>
    </row>
    <row r="149" spans="1:33" ht="18.399999999999999" customHeight="1" x14ac:dyDescent="0.15">
      <c r="A149" s="11" t="s">
        <v>171</v>
      </c>
      <c r="B149" s="11" t="s">
        <v>1272</v>
      </c>
      <c r="C149" s="11" t="s">
        <v>1174</v>
      </c>
      <c r="D149" s="11">
        <f>(1200 + 1067 + 700)*10^-4</f>
        <v>0.29670000000000002</v>
      </c>
      <c r="E149" s="33" t="s">
        <v>338</v>
      </c>
      <c r="F149" s="33">
        <f>중기기초자료!F14</f>
        <v>20793</v>
      </c>
      <c r="G149" s="35">
        <f>TRUNC(F149*D149, 1)</f>
        <v>6169.2</v>
      </c>
      <c r="H149" s="11" t="s">
        <v>2859</v>
      </c>
      <c r="I149" s="11" t="s">
        <v>2859</v>
      </c>
      <c r="K149" s="11" t="s">
        <v>322</v>
      </c>
      <c r="L149" s="11" t="s">
        <v>2859</v>
      </c>
      <c r="M149" s="11" t="s">
        <v>1801</v>
      </c>
      <c r="N149" s="11" t="s">
        <v>2945</v>
      </c>
      <c r="AG149" s="34" t="str">
        <f>HYPERLINK("#40","G06020025 →")</f>
        <v>G06020025 →</v>
      </c>
    </row>
    <row r="150" spans="1:33" ht="18.399999999999999" customHeight="1" x14ac:dyDescent="0.15">
      <c r="B150" s="11" t="s">
        <v>2445</v>
      </c>
      <c r="G150" s="33">
        <f>TRUNC(G149, 0)</f>
        <v>6169</v>
      </c>
    </row>
    <row r="151" spans="1:33" ht="18.399999999999999" customHeight="1" x14ac:dyDescent="0.15">
      <c r="A151" s="11" t="s">
        <v>1942</v>
      </c>
      <c r="B151" s="11" t="s">
        <v>452</v>
      </c>
      <c r="C151" s="11" t="s">
        <v>2859</v>
      </c>
      <c r="D151" s="11">
        <v>2.9</v>
      </c>
      <c r="E151" s="59" t="s">
        <v>2814</v>
      </c>
      <c r="F151" s="59">
        <f>중기기초자료!D43</f>
        <v>1390</v>
      </c>
      <c r="G151" s="35">
        <f>TRUNC(F151*D151, 1)</f>
        <v>4031</v>
      </c>
      <c r="H151" s="11" t="s">
        <v>2859</v>
      </c>
      <c r="I151" s="11" t="s">
        <v>2859</v>
      </c>
      <c r="K151" s="11" t="s">
        <v>1030</v>
      </c>
      <c r="L151" s="11" t="s">
        <v>2859</v>
      </c>
      <c r="M151" s="11" t="s">
        <v>540</v>
      </c>
      <c r="AG151" s="34" t="str">
        <f>HYPERLINK("#40","M9366005 →")</f>
        <v>M9366005 →</v>
      </c>
    </row>
    <row r="152" spans="1:33" ht="18.399999999999999" customHeight="1" x14ac:dyDescent="0.15">
      <c r="B152" s="11" t="s">
        <v>2927</v>
      </c>
      <c r="C152" s="11" t="s">
        <v>2859</v>
      </c>
      <c r="D152" s="11">
        <v>38</v>
      </c>
      <c r="E152" s="59" t="s">
        <v>2928</v>
      </c>
      <c r="F152" s="59">
        <v>0</v>
      </c>
      <c r="G152" s="35">
        <f>TRUNC((G151) * D152/100, 1)</f>
        <v>1531.7</v>
      </c>
      <c r="H152" s="11" t="s">
        <v>2859</v>
      </c>
      <c r="I152" s="11" t="s">
        <v>2859</v>
      </c>
      <c r="K152" s="11" t="s">
        <v>267</v>
      </c>
      <c r="L152" s="11" t="s">
        <v>2859</v>
      </c>
      <c r="M152" s="11" t="s">
        <v>2929</v>
      </c>
      <c r="N152" s="11" t="s">
        <v>2859</v>
      </c>
      <c r="AG152" s="34" t="str">
        <f>HYPERLINK("#40","F/M1 →")</f>
        <v>F/M1 →</v>
      </c>
    </row>
    <row r="153" spans="1:33" ht="18.399999999999999" customHeight="1" x14ac:dyDescent="0.15">
      <c r="B153" s="11" t="s">
        <v>2445</v>
      </c>
      <c r="G153" s="33">
        <f>TRUNC(G151+G152, 0)</f>
        <v>5562</v>
      </c>
    </row>
    <row r="154" spans="1:33" ht="18.399999999999999" customHeight="1" x14ac:dyDescent="0.15">
      <c r="A154" s="11" t="s">
        <v>1175</v>
      </c>
      <c r="B154" s="11" t="s">
        <v>197</v>
      </c>
      <c r="C154" s="11" t="s">
        <v>1611</v>
      </c>
      <c r="D154" s="11">
        <v>1</v>
      </c>
      <c r="E154" s="35" t="s">
        <v>1688</v>
      </c>
      <c r="F154" s="35">
        <f>TRUNC(중기기초자료!E39 * 중기전역변수!C18, 1)</f>
        <v>48741.599999999999</v>
      </c>
      <c r="G154" s="35">
        <f>TRUNC(F154*D154, 1)</f>
        <v>48741.599999999999</v>
      </c>
      <c r="H154" s="11" t="s">
        <v>2859</v>
      </c>
      <c r="I154" s="11" t="s">
        <v>615</v>
      </c>
      <c r="K154" s="11" t="s">
        <v>1624</v>
      </c>
      <c r="L154" s="11" t="s">
        <v>2859</v>
      </c>
      <c r="M154" s="11" t="s">
        <v>26</v>
      </c>
      <c r="AG154" s="34" t="str">
        <f>HYPERLINK("#40","L087 →")</f>
        <v>L087 →</v>
      </c>
    </row>
    <row r="155" spans="1:33" ht="18.399999999999999" customHeight="1" x14ac:dyDescent="0.15">
      <c r="B155" s="11" t="s">
        <v>2445</v>
      </c>
      <c r="G155" s="33">
        <f>TRUNC(G154, 0)</f>
        <v>48741</v>
      </c>
    </row>
    <row r="156" spans="1:33" ht="18.399999999999999" customHeight="1" thickBot="1" x14ac:dyDescent="0.2">
      <c r="B156" s="11" t="s">
        <v>261</v>
      </c>
      <c r="G156" s="33">
        <f>TRUNC(G150+G153+G155, 0)</f>
        <v>60472</v>
      </c>
    </row>
    <row r="157" spans="1:33" ht="18.399999999999999" customHeight="1" thickTop="1" thickBot="1" x14ac:dyDescent="0.2">
      <c r="A157" s="6"/>
      <c r="B157" s="6"/>
      <c r="C157" s="6"/>
      <c r="D157" s="6"/>
      <c r="E157" s="6"/>
      <c r="F157" s="6"/>
      <c r="G157" s="6"/>
      <c r="H157" s="6"/>
    </row>
    <row r="158" spans="1:33" ht="18.399999999999999" customHeight="1" thickTop="1" thickBot="1" x14ac:dyDescent="0.2">
      <c r="A158" s="6" t="s">
        <v>2554</v>
      </c>
      <c r="B158" s="6" t="s">
        <v>1481</v>
      </c>
      <c r="C158" s="6"/>
      <c r="D158" s="6"/>
      <c r="E158" s="6"/>
      <c r="F158" s="6"/>
      <c r="G158" s="6"/>
      <c r="H158" s="6"/>
      <c r="I158" s="11" t="s">
        <v>2859</v>
      </c>
      <c r="J158" s="11" t="s">
        <v>2699</v>
      </c>
    </row>
    <row r="159" spans="1:33" ht="18.399999999999999" customHeight="1" thickTop="1" x14ac:dyDescent="0.15">
      <c r="A159" s="6" t="s">
        <v>780</v>
      </c>
      <c r="B159" s="6" t="s">
        <v>2946</v>
      </c>
      <c r="C159" s="6"/>
      <c r="D159" s="6"/>
      <c r="E159" s="6"/>
      <c r="F159" s="6"/>
      <c r="G159" s="6"/>
      <c r="H159" s="6"/>
    </row>
    <row r="160" spans="1:33" ht="18.399999999999999" customHeight="1" x14ac:dyDescent="0.15">
      <c r="A160" s="32" t="s">
        <v>2172</v>
      </c>
      <c r="B160" s="32"/>
      <c r="C160" s="32" t="s">
        <v>1412</v>
      </c>
      <c r="D160" s="32" t="s">
        <v>73</v>
      </c>
      <c r="E160" s="32" t="s">
        <v>2682</v>
      </c>
      <c r="F160" s="32" t="s">
        <v>623</v>
      </c>
      <c r="G160" s="32" t="s">
        <v>352</v>
      </c>
      <c r="H160" s="32" t="s">
        <v>716</v>
      </c>
    </row>
    <row r="161" spans="1:33" ht="18.399999999999999" customHeight="1" x14ac:dyDescent="0.15">
      <c r="A161" s="11" t="s">
        <v>171</v>
      </c>
      <c r="B161" s="11" t="s">
        <v>1272</v>
      </c>
      <c r="C161" s="11" t="s">
        <v>346</v>
      </c>
      <c r="D161" s="11">
        <f>(1200 + 1067 + 700)*10^-4</f>
        <v>0.29670000000000002</v>
      </c>
      <c r="E161" s="33" t="s">
        <v>338</v>
      </c>
      <c r="F161" s="33">
        <f>중기기초자료!F15</f>
        <v>24274</v>
      </c>
      <c r="G161" s="35">
        <f>TRUNC(F161*D161, 1)</f>
        <v>7202</v>
      </c>
      <c r="H161" s="11" t="s">
        <v>2859</v>
      </c>
      <c r="I161" s="11" t="s">
        <v>2859</v>
      </c>
      <c r="K161" s="11" t="s">
        <v>322</v>
      </c>
      <c r="L161" s="11" t="s">
        <v>2859</v>
      </c>
      <c r="M161" s="11" t="s">
        <v>390</v>
      </c>
      <c r="N161" s="11" t="s">
        <v>2945</v>
      </c>
      <c r="AG161" s="34" t="str">
        <f>HYPERLINK("#40","G06020045 →")</f>
        <v>G06020045 →</v>
      </c>
    </row>
    <row r="162" spans="1:33" ht="18.399999999999999" customHeight="1" x14ac:dyDescent="0.15">
      <c r="B162" s="11" t="s">
        <v>2445</v>
      </c>
      <c r="G162" s="33">
        <f>TRUNC(G161, 0)</f>
        <v>7202</v>
      </c>
    </row>
    <row r="163" spans="1:33" ht="18.399999999999999" customHeight="1" x14ac:dyDescent="0.15">
      <c r="A163" s="11" t="s">
        <v>1942</v>
      </c>
      <c r="B163" s="11" t="s">
        <v>452</v>
      </c>
      <c r="C163" s="11" t="s">
        <v>2859</v>
      </c>
      <c r="D163" s="11">
        <v>5</v>
      </c>
      <c r="E163" s="59" t="s">
        <v>2814</v>
      </c>
      <c r="F163" s="59">
        <f>중기기초자료!D43</f>
        <v>1390</v>
      </c>
      <c r="G163" s="35">
        <f>TRUNC(F163*D163, 1)</f>
        <v>6950</v>
      </c>
      <c r="H163" s="11" t="s">
        <v>2859</v>
      </c>
      <c r="I163" s="11" t="s">
        <v>2859</v>
      </c>
      <c r="K163" s="11" t="s">
        <v>1030</v>
      </c>
      <c r="L163" s="11" t="s">
        <v>2859</v>
      </c>
      <c r="M163" s="11" t="s">
        <v>540</v>
      </c>
      <c r="AG163" s="34" t="str">
        <f>HYPERLINK("#40","M9366005 →")</f>
        <v>M9366005 →</v>
      </c>
    </row>
    <row r="164" spans="1:33" ht="18.399999999999999" customHeight="1" x14ac:dyDescent="0.15">
      <c r="B164" s="11" t="s">
        <v>2927</v>
      </c>
      <c r="C164" s="11" t="s">
        <v>2859</v>
      </c>
      <c r="D164" s="11">
        <v>38</v>
      </c>
      <c r="E164" s="59" t="s">
        <v>2928</v>
      </c>
      <c r="F164" s="59">
        <v>0</v>
      </c>
      <c r="G164" s="35">
        <f>TRUNC((G163) * D164/100, 1)</f>
        <v>2641</v>
      </c>
      <c r="H164" s="11" t="s">
        <v>2859</v>
      </c>
      <c r="I164" s="11" t="s">
        <v>2859</v>
      </c>
      <c r="K164" s="11" t="s">
        <v>267</v>
      </c>
      <c r="L164" s="11" t="s">
        <v>2859</v>
      </c>
      <c r="M164" s="11" t="s">
        <v>2929</v>
      </c>
      <c r="N164" s="11" t="s">
        <v>2859</v>
      </c>
      <c r="AG164" s="34" t="str">
        <f>HYPERLINK("#40","F/M1 →")</f>
        <v>F/M1 →</v>
      </c>
    </row>
    <row r="165" spans="1:33" ht="18.399999999999999" customHeight="1" x14ac:dyDescent="0.15">
      <c r="B165" s="11" t="s">
        <v>2445</v>
      </c>
      <c r="G165" s="33">
        <f>TRUNC(G163+G164, 0)</f>
        <v>9591</v>
      </c>
    </row>
    <row r="166" spans="1:33" ht="18.399999999999999" customHeight="1" x14ac:dyDescent="0.15">
      <c r="A166" s="11" t="s">
        <v>1175</v>
      </c>
      <c r="B166" s="11" t="s">
        <v>197</v>
      </c>
      <c r="C166" s="11" t="s">
        <v>1611</v>
      </c>
      <c r="D166" s="11">
        <v>1</v>
      </c>
      <c r="E166" s="35" t="s">
        <v>1688</v>
      </c>
      <c r="F166" s="35">
        <f>TRUNC(중기기초자료!E39 * 중기전역변수!C18, 1)</f>
        <v>48741.599999999999</v>
      </c>
      <c r="G166" s="35">
        <f>TRUNC(F166*D166, 1)</f>
        <v>48741.599999999999</v>
      </c>
      <c r="H166" s="11" t="s">
        <v>2859</v>
      </c>
      <c r="I166" s="11" t="s">
        <v>2859</v>
      </c>
      <c r="K166" s="11" t="s">
        <v>1624</v>
      </c>
      <c r="L166" s="11" t="s">
        <v>2859</v>
      </c>
      <c r="M166" s="11" t="s">
        <v>26</v>
      </c>
      <c r="AG166" s="34" t="str">
        <f>HYPERLINK("#40","L087 →")</f>
        <v>L087 →</v>
      </c>
    </row>
    <row r="167" spans="1:33" ht="18.399999999999999" customHeight="1" x14ac:dyDescent="0.15">
      <c r="B167" s="11" t="s">
        <v>2445</v>
      </c>
      <c r="G167" s="33">
        <f>TRUNC(G166, 0)</f>
        <v>48741</v>
      </c>
    </row>
    <row r="168" spans="1:33" ht="18.399999999999999" customHeight="1" thickBot="1" x14ac:dyDescent="0.2">
      <c r="B168" s="11" t="s">
        <v>261</v>
      </c>
      <c r="G168" s="33">
        <f>TRUNC(G162+G165+G167, 0)</f>
        <v>65534</v>
      </c>
    </row>
    <row r="169" spans="1:33" ht="18.399999999999999" customHeight="1" thickTop="1" thickBot="1" x14ac:dyDescent="0.2">
      <c r="A169" s="6"/>
      <c r="B169" s="6"/>
      <c r="C169" s="6"/>
      <c r="D169" s="6"/>
      <c r="E169" s="6"/>
      <c r="F169" s="6"/>
      <c r="G169" s="6"/>
      <c r="H169" s="6"/>
    </row>
    <row r="170" spans="1:33" ht="18.399999999999999" customHeight="1" thickTop="1" thickBot="1" x14ac:dyDescent="0.2">
      <c r="A170" s="6" t="s">
        <v>2554</v>
      </c>
      <c r="B170" s="6" t="s">
        <v>219</v>
      </c>
      <c r="C170" s="6"/>
      <c r="D170" s="6"/>
      <c r="E170" s="6"/>
      <c r="F170" s="6"/>
      <c r="G170" s="6"/>
      <c r="H170" s="6"/>
      <c r="I170" s="11" t="s">
        <v>2859</v>
      </c>
      <c r="J170" s="11" t="s">
        <v>221</v>
      </c>
    </row>
    <row r="171" spans="1:33" ht="18.399999999999999" customHeight="1" thickTop="1" x14ac:dyDescent="0.15">
      <c r="A171" s="6" t="s">
        <v>780</v>
      </c>
      <c r="B171" s="6" t="s">
        <v>2947</v>
      </c>
      <c r="C171" s="6"/>
      <c r="D171" s="6"/>
      <c r="E171" s="6"/>
      <c r="F171" s="6"/>
      <c r="G171" s="6"/>
      <c r="H171" s="6"/>
    </row>
    <row r="172" spans="1:33" ht="18.399999999999999" customHeight="1" x14ac:dyDescent="0.15">
      <c r="A172" s="32" t="s">
        <v>2172</v>
      </c>
      <c r="B172" s="32"/>
      <c r="C172" s="32" t="s">
        <v>1412</v>
      </c>
      <c r="D172" s="32" t="s">
        <v>73</v>
      </c>
      <c r="E172" s="32" t="s">
        <v>2682</v>
      </c>
      <c r="F172" s="32" t="s">
        <v>623</v>
      </c>
      <c r="G172" s="32" t="s">
        <v>352</v>
      </c>
      <c r="H172" s="32" t="s">
        <v>716</v>
      </c>
    </row>
    <row r="173" spans="1:33" ht="18.399999999999999" customHeight="1" x14ac:dyDescent="0.15">
      <c r="A173" s="11" t="s">
        <v>171</v>
      </c>
      <c r="B173" s="11" t="s">
        <v>1272</v>
      </c>
      <c r="C173" s="11" t="s">
        <v>1921</v>
      </c>
      <c r="D173" s="11">
        <f>(900 + 700 + 679)*10^-4</f>
        <v>0.22790000000000002</v>
      </c>
      <c r="E173" s="33" t="s">
        <v>338</v>
      </c>
      <c r="F173" s="33">
        <f>중기기초자료!F16</f>
        <v>86142</v>
      </c>
      <c r="G173" s="35">
        <f>TRUNC(F173*D173, 1)</f>
        <v>19631.7</v>
      </c>
      <c r="H173" s="11" t="s">
        <v>2859</v>
      </c>
      <c r="I173" s="11" t="s">
        <v>2859</v>
      </c>
      <c r="K173" s="11" t="s">
        <v>322</v>
      </c>
      <c r="L173" s="11" t="s">
        <v>2859</v>
      </c>
      <c r="M173" s="11" t="s">
        <v>2489</v>
      </c>
      <c r="N173" s="11" t="s">
        <v>2948</v>
      </c>
      <c r="AG173" s="34" t="str">
        <f>HYPERLINK("#40","G06020150 →")</f>
        <v>G06020150 →</v>
      </c>
    </row>
    <row r="174" spans="1:33" ht="18.399999999999999" customHeight="1" x14ac:dyDescent="0.15">
      <c r="B174" s="11" t="s">
        <v>2445</v>
      </c>
      <c r="G174" s="33">
        <f>TRUNC(G173, 0)</f>
        <v>19631</v>
      </c>
    </row>
    <row r="175" spans="1:33" ht="18.399999999999999" customHeight="1" x14ac:dyDescent="0.15">
      <c r="A175" s="11" t="s">
        <v>1942</v>
      </c>
      <c r="B175" s="11" t="s">
        <v>452</v>
      </c>
      <c r="C175" s="11" t="s">
        <v>2859</v>
      </c>
      <c r="D175" s="11">
        <v>15.9</v>
      </c>
      <c r="E175" s="59" t="s">
        <v>2814</v>
      </c>
      <c r="F175" s="59">
        <f>중기기초자료!D43</f>
        <v>1390</v>
      </c>
      <c r="G175" s="35">
        <f>TRUNC(F175*D175, 1)</f>
        <v>22101</v>
      </c>
      <c r="H175" s="11" t="s">
        <v>2859</v>
      </c>
      <c r="I175" s="11" t="s">
        <v>2859</v>
      </c>
      <c r="K175" s="11" t="s">
        <v>1030</v>
      </c>
      <c r="L175" s="11" t="s">
        <v>2859</v>
      </c>
      <c r="M175" s="11" t="s">
        <v>540</v>
      </c>
      <c r="AG175" s="34" t="str">
        <f>HYPERLINK("#40","M9366005 →")</f>
        <v>M9366005 →</v>
      </c>
    </row>
    <row r="176" spans="1:33" ht="18.399999999999999" customHeight="1" x14ac:dyDescent="0.15">
      <c r="B176" s="11" t="s">
        <v>2927</v>
      </c>
      <c r="C176" s="11" t="s">
        <v>2859</v>
      </c>
      <c r="D176" s="11">
        <v>38</v>
      </c>
      <c r="E176" s="59" t="s">
        <v>2928</v>
      </c>
      <c r="F176" s="59">
        <v>0</v>
      </c>
      <c r="G176" s="35">
        <f>TRUNC((G175) * D176/100, 1)</f>
        <v>8398.2999999999993</v>
      </c>
      <c r="H176" s="11" t="s">
        <v>2859</v>
      </c>
      <c r="I176" s="11" t="s">
        <v>2859</v>
      </c>
      <c r="K176" s="11" t="s">
        <v>267</v>
      </c>
      <c r="L176" s="11" t="s">
        <v>2859</v>
      </c>
      <c r="M176" s="11" t="s">
        <v>2929</v>
      </c>
      <c r="N176" s="11" t="s">
        <v>2859</v>
      </c>
      <c r="AG176" s="34" t="str">
        <f>HYPERLINK("#40","F/M1 →")</f>
        <v>F/M1 →</v>
      </c>
    </row>
    <row r="177" spans="1:33" ht="18.399999999999999" customHeight="1" x14ac:dyDescent="0.15">
      <c r="B177" s="11" t="s">
        <v>2445</v>
      </c>
      <c r="G177" s="33">
        <f>TRUNC(G175+G176, 0)</f>
        <v>30499</v>
      </c>
    </row>
    <row r="178" spans="1:33" ht="18.399999999999999" customHeight="1" x14ac:dyDescent="0.15">
      <c r="A178" s="11" t="s">
        <v>1175</v>
      </c>
      <c r="B178" s="11" t="s">
        <v>626</v>
      </c>
      <c r="C178" s="11" t="s">
        <v>1620</v>
      </c>
      <c r="D178" s="11">
        <v>1</v>
      </c>
      <c r="E178" s="35" t="s">
        <v>1688</v>
      </c>
      <c r="F178" s="35">
        <f>TRUNC(중기기초자료!E38 * 중기전역변수!C18, 1)</f>
        <v>56874.1</v>
      </c>
      <c r="G178" s="35">
        <f>TRUNC(F178*D178, 1)</f>
        <v>56874.1</v>
      </c>
      <c r="H178" s="11" t="s">
        <v>2859</v>
      </c>
      <c r="I178" s="11" t="s">
        <v>2859</v>
      </c>
      <c r="K178" s="11" t="s">
        <v>1624</v>
      </c>
      <c r="L178" s="11" t="s">
        <v>2859</v>
      </c>
      <c r="M178" s="11" t="s">
        <v>1653</v>
      </c>
      <c r="AG178" s="34" t="str">
        <f>HYPERLINK("#40","L086 →")</f>
        <v>L086 →</v>
      </c>
    </row>
    <row r="179" spans="1:33" ht="18.399999999999999" customHeight="1" x14ac:dyDescent="0.15">
      <c r="B179" s="11" t="s">
        <v>2445</v>
      </c>
      <c r="G179" s="33">
        <f>TRUNC(G178, 0)</f>
        <v>56874</v>
      </c>
    </row>
    <row r="180" spans="1:33" ht="18.399999999999999" customHeight="1" thickBot="1" x14ac:dyDescent="0.2">
      <c r="B180" s="11" t="s">
        <v>261</v>
      </c>
      <c r="G180" s="33">
        <f>TRUNC(G174+G177+G179, 0)</f>
        <v>107004</v>
      </c>
    </row>
    <row r="181" spans="1:33" ht="18.399999999999999" customHeight="1" thickTop="1" thickBot="1" x14ac:dyDescent="0.2">
      <c r="A181" s="6"/>
      <c r="B181" s="6"/>
      <c r="C181" s="6"/>
      <c r="D181" s="6"/>
      <c r="E181" s="6"/>
      <c r="F181" s="6"/>
      <c r="G181" s="6"/>
      <c r="H181" s="6"/>
    </row>
    <row r="182" spans="1:33" ht="18.399999999999999" customHeight="1" thickTop="1" thickBot="1" x14ac:dyDescent="0.2">
      <c r="A182" s="6" t="s">
        <v>2554</v>
      </c>
      <c r="B182" s="6" t="s">
        <v>2839</v>
      </c>
      <c r="C182" s="6"/>
      <c r="D182" s="6"/>
      <c r="E182" s="6"/>
      <c r="F182" s="6"/>
      <c r="G182" s="6"/>
      <c r="H182" s="6"/>
      <c r="I182" s="11" t="s">
        <v>2859</v>
      </c>
      <c r="J182" s="11" t="s">
        <v>2434</v>
      </c>
    </row>
    <row r="183" spans="1:33" ht="18.399999999999999" customHeight="1" thickTop="1" x14ac:dyDescent="0.15">
      <c r="A183" s="6" t="s">
        <v>780</v>
      </c>
      <c r="B183" s="6" t="s">
        <v>2949</v>
      </c>
      <c r="C183" s="6"/>
      <c r="D183" s="6"/>
      <c r="E183" s="6"/>
      <c r="F183" s="6"/>
      <c r="G183" s="6"/>
      <c r="H183" s="6"/>
    </row>
    <row r="184" spans="1:33" ht="18.399999999999999" customHeight="1" x14ac:dyDescent="0.15">
      <c r="A184" s="32" t="s">
        <v>2172</v>
      </c>
      <c r="B184" s="32"/>
      <c r="C184" s="32" t="s">
        <v>1412</v>
      </c>
      <c r="D184" s="32" t="s">
        <v>73</v>
      </c>
      <c r="E184" s="32" t="s">
        <v>2682</v>
      </c>
      <c r="F184" s="32" t="s">
        <v>623</v>
      </c>
      <c r="G184" s="32" t="s">
        <v>352</v>
      </c>
      <c r="H184" s="32" t="s">
        <v>716</v>
      </c>
    </row>
    <row r="185" spans="1:33" ht="18.399999999999999" customHeight="1" x14ac:dyDescent="0.15">
      <c r="A185" s="11" t="s">
        <v>171</v>
      </c>
      <c r="B185" s="11" t="s">
        <v>1904</v>
      </c>
      <c r="C185" s="11" t="s">
        <v>1</v>
      </c>
      <c r="D185" s="11">
        <f>(750 + 500 + 552)*10^-4</f>
        <v>0.1802</v>
      </c>
      <c r="E185" s="33" t="s">
        <v>338</v>
      </c>
      <c r="F185" s="33">
        <f>중기기초자료!F17</f>
        <v>67161</v>
      </c>
      <c r="G185" s="35">
        <f>TRUNC(F185*D185, 1)</f>
        <v>12102.4</v>
      </c>
      <c r="H185" s="11" t="s">
        <v>2859</v>
      </c>
      <c r="I185" s="11" t="s">
        <v>2859</v>
      </c>
      <c r="K185" s="11" t="s">
        <v>322</v>
      </c>
      <c r="L185" s="11" t="s">
        <v>2859</v>
      </c>
      <c r="M185" s="11" t="s">
        <v>187</v>
      </c>
      <c r="N185" s="11" t="s">
        <v>2950</v>
      </c>
      <c r="AG185" s="34" t="str">
        <f>HYPERLINK("#40","G11060012 →")</f>
        <v>G11060012 →</v>
      </c>
    </row>
    <row r="186" spans="1:33" ht="18.399999999999999" customHeight="1" x14ac:dyDescent="0.15">
      <c r="B186" s="11" t="s">
        <v>2445</v>
      </c>
      <c r="G186" s="33">
        <f>TRUNC(G185, 0)</f>
        <v>12102</v>
      </c>
    </row>
    <row r="187" spans="1:33" ht="18.399999999999999" customHeight="1" x14ac:dyDescent="0.15">
      <c r="A187" s="11" t="s">
        <v>1942</v>
      </c>
      <c r="B187" s="11" t="s">
        <v>452</v>
      </c>
      <c r="C187" s="11" t="s">
        <v>2859</v>
      </c>
      <c r="D187" s="11">
        <v>9.3000000000000007</v>
      </c>
      <c r="E187" s="59" t="s">
        <v>2814</v>
      </c>
      <c r="F187" s="59">
        <f>중기기초자료!D43</f>
        <v>1390</v>
      </c>
      <c r="G187" s="35">
        <f>TRUNC(F187*D187, 1)</f>
        <v>12927</v>
      </c>
      <c r="H187" s="11" t="s">
        <v>2859</v>
      </c>
      <c r="I187" s="11" t="s">
        <v>2859</v>
      </c>
      <c r="K187" s="11" t="s">
        <v>1030</v>
      </c>
      <c r="L187" s="11" t="s">
        <v>2859</v>
      </c>
      <c r="M187" s="11" t="s">
        <v>540</v>
      </c>
      <c r="AG187" s="34" t="str">
        <f>HYPERLINK("#40","M9366005 →")</f>
        <v>M9366005 →</v>
      </c>
    </row>
    <row r="188" spans="1:33" ht="18.399999999999999" customHeight="1" x14ac:dyDescent="0.15">
      <c r="B188" s="11" t="s">
        <v>2927</v>
      </c>
      <c r="C188" s="11" t="s">
        <v>2859</v>
      </c>
      <c r="D188" s="11">
        <v>18</v>
      </c>
      <c r="E188" s="59" t="s">
        <v>2928</v>
      </c>
      <c r="F188" s="59">
        <v>0</v>
      </c>
      <c r="G188" s="35">
        <f>TRUNC((G187) * D188/100, 1)</f>
        <v>2326.8000000000002</v>
      </c>
      <c r="H188" s="11" t="s">
        <v>2859</v>
      </c>
      <c r="I188" s="11" t="s">
        <v>2859</v>
      </c>
      <c r="K188" s="11" t="s">
        <v>267</v>
      </c>
      <c r="L188" s="11" t="s">
        <v>2859</v>
      </c>
      <c r="M188" s="11" t="s">
        <v>2929</v>
      </c>
      <c r="N188" s="11" t="s">
        <v>2859</v>
      </c>
      <c r="AG188" s="34" t="str">
        <f>HYPERLINK("#40","F/M1 →")</f>
        <v>F/M1 →</v>
      </c>
    </row>
    <row r="189" spans="1:33" ht="18.399999999999999" customHeight="1" x14ac:dyDescent="0.15">
      <c r="B189" s="11" t="s">
        <v>2445</v>
      </c>
      <c r="G189" s="33">
        <f>TRUNC(G187+G188, 0)</f>
        <v>15253</v>
      </c>
    </row>
    <row r="190" spans="1:33" ht="18.399999999999999" customHeight="1" x14ac:dyDescent="0.15">
      <c r="A190" s="11" t="s">
        <v>1175</v>
      </c>
      <c r="B190" s="11" t="s">
        <v>626</v>
      </c>
      <c r="C190" s="11" t="s">
        <v>1620</v>
      </c>
      <c r="D190" s="11">
        <v>1</v>
      </c>
      <c r="E190" s="35" t="s">
        <v>1688</v>
      </c>
      <c r="F190" s="35">
        <f>TRUNC(중기기초자료!E38 * 중기전역변수!C18, 1)</f>
        <v>56874.1</v>
      </c>
      <c r="G190" s="35">
        <f>TRUNC(F190*D190, 1)</f>
        <v>56874.1</v>
      </c>
      <c r="H190" s="11" t="s">
        <v>2859</v>
      </c>
      <c r="I190" s="11" t="s">
        <v>2859</v>
      </c>
      <c r="K190" s="11" t="s">
        <v>1624</v>
      </c>
      <c r="L190" s="11" t="s">
        <v>2859</v>
      </c>
      <c r="M190" s="11" t="s">
        <v>1653</v>
      </c>
      <c r="AG190" s="34" t="str">
        <f>HYPERLINK("#40","L086 →")</f>
        <v>L086 →</v>
      </c>
    </row>
    <row r="191" spans="1:33" ht="18.399999999999999" customHeight="1" x14ac:dyDescent="0.15">
      <c r="B191" s="11" t="s">
        <v>2445</v>
      </c>
      <c r="G191" s="33">
        <f>TRUNC(G190, 0)</f>
        <v>56874</v>
      </c>
    </row>
    <row r="192" spans="1:33" ht="18.399999999999999" customHeight="1" thickBot="1" x14ac:dyDescent="0.2">
      <c r="B192" s="11" t="s">
        <v>261</v>
      </c>
      <c r="G192" s="33">
        <f>TRUNC(G186+G189+G191, 0)</f>
        <v>84229</v>
      </c>
    </row>
    <row r="193" spans="1:33" ht="18.399999999999999" customHeight="1" thickTop="1" thickBot="1" x14ac:dyDescent="0.2">
      <c r="A193" s="6"/>
      <c r="B193" s="6"/>
      <c r="C193" s="6"/>
      <c r="D193" s="6"/>
      <c r="E193" s="6"/>
      <c r="F193" s="6"/>
      <c r="G193" s="6"/>
      <c r="H193" s="6"/>
    </row>
    <row r="194" spans="1:33" ht="18.399999999999999" customHeight="1" thickTop="1" thickBot="1" x14ac:dyDescent="0.2">
      <c r="A194" s="6" t="s">
        <v>2554</v>
      </c>
      <c r="B194" s="6" t="s">
        <v>1554</v>
      </c>
      <c r="C194" s="6"/>
      <c r="D194" s="6"/>
      <c r="E194" s="6"/>
      <c r="F194" s="6"/>
      <c r="G194" s="6"/>
      <c r="H194" s="6"/>
      <c r="I194" s="11" t="s">
        <v>2859</v>
      </c>
      <c r="J194" s="11" t="s">
        <v>291</v>
      </c>
    </row>
    <row r="195" spans="1:33" ht="18.399999999999999" customHeight="1" thickTop="1" x14ac:dyDescent="0.15">
      <c r="A195" s="6" t="s">
        <v>780</v>
      </c>
      <c r="B195" s="6" t="s">
        <v>2951</v>
      </c>
      <c r="C195" s="6"/>
      <c r="D195" s="6"/>
      <c r="E195" s="6"/>
      <c r="F195" s="6"/>
      <c r="G195" s="6"/>
      <c r="H195" s="6"/>
    </row>
    <row r="196" spans="1:33" ht="18.399999999999999" customHeight="1" x14ac:dyDescent="0.15">
      <c r="A196" s="32" t="s">
        <v>2172</v>
      </c>
      <c r="B196" s="32"/>
      <c r="C196" s="32" t="s">
        <v>1412</v>
      </c>
      <c r="D196" s="32" t="s">
        <v>73</v>
      </c>
      <c r="E196" s="32" t="s">
        <v>2682</v>
      </c>
      <c r="F196" s="32" t="s">
        <v>623</v>
      </c>
      <c r="G196" s="32" t="s">
        <v>352</v>
      </c>
      <c r="H196" s="32" t="s">
        <v>716</v>
      </c>
    </row>
    <row r="197" spans="1:33" ht="18.399999999999999" customHeight="1" x14ac:dyDescent="0.15">
      <c r="A197" s="11" t="s">
        <v>171</v>
      </c>
      <c r="B197" s="11" t="s">
        <v>570</v>
      </c>
      <c r="C197" s="11" t="s">
        <v>2036</v>
      </c>
      <c r="D197" s="11">
        <f>(750 + 458 + 655)*10^-4</f>
        <v>0.18630000000000002</v>
      </c>
      <c r="E197" s="33" t="s">
        <v>338</v>
      </c>
      <c r="F197" s="33">
        <f>중기기초자료!F18</f>
        <v>45760</v>
      </c>
      <c r="G197" s="35">
        <f>TRUNC(F197*D197, 1)</f>
        <v>8525</v>
      </c>
      <c r="H197" s="11" t="s">
        <v>2859</v>
      </c>
      <c r="I197" s="11" t="s">
        <v>2859</v>
      </c>
      <c r="K197" s="11" t="s">
        <v>322</v>
      </c>
      <c r="L197" s="11" t="s">
        <v>2859</v>
      </c>
      <c r="M197" s="11" t="s">
        <v>2310</v>
      </c>
      <c r="N197" s="11" t="s">
        <v>2952</v>
      </c>
      <c r="AG197" s="34" t="str">
        <f>HYPERLINK("#40","G12060008 →")</f>
        <v>G12060008 →</v>
      </c>
    </row>
    <row r="198" spans="1:33" ht="18.399999999999999" customHeight="1" x14ac:dyDescent="0.15">
      <c r="B198" s="11" t="s">
        <v>2445</v>
      </c>
      <c r="G198" s="33">
        <f>TRUNC(G197, 0)</f>
        <v>8525</v>
      </c>
    </row>
    <row r="199" spans="1:33" ht="18.399999999999999" customHeight="1" x14ac:dyDescent="0.15">
      <c r="A199" s="11" t="s">
        <v>1942</v>
      </c>
      <c r="B199" s="11" t="s">
        <v>452</v>
      </c>
      <c r="C199" s="11" t="s">
        <v>2859</v>
      </c>
      <c r="D199" s="11">
        <v>5</v>
      </c>
      <c r="E199" s="59" t="s">
        <v>2814</v>
      </c>
      <c r="F199" s="59">
        <f>중기기초자료!D43</f>
        <v>1390</v>
      </c>
      <c r="G199" s="35">
        <f>TRUNC(F199*D199, 1)</f>
        <v>6950</v>
      </c>
      <c r="H199" s="11" t="s">
        <v>2859</v>
      </c>
      <c r="I199" s="11" t="s">
        <v>2859</v>
      </c>
      <c r="K199" s="11" t="s">
        <v>1030</v>
      </c>
      <c r="L199" s="11" t="s">
        <v>2859</v>
      </c>
      <c r="M199" s="11" t="s">
        <v>540</v>
      </c>
      <c r="AG199" s="34" t="str">
        <f>HYPERLINK("#40","M9366005 →")</f>
        <v>M9366005 →</v>
      </c>
    </row>
    <row r="200" spans="1:33" ht="18.399999999999999" customHeight="1" x14ac:dyDescent="0.15">
      <c r="B200" s="11" t="s">
        <v>2927</v>
      </c>
      <c r="C200" s="11" t="s">
        <v>2859</v>
      </c>
      <c r="D200" s="11">
        <v>18</v>
      </c>
      <c r="E200" s="59" t="s">
        <v>2928</v>
      </c>
      <c r="F200" s="59">
        <v>0</v>
      </c>
      <c r="G200" s="35">
        <f>TRUNC((G199) * D200/100, 1)</f>
        <v>1251</v>
      </c>
      <c r="H200" s="11" t="s">
        <v>2859</v>
      </c>
      <c r="I200" s="11" t="s">
        <v>2859</v>
      </c>
      <c r="K200" s="11" t="s">
        <v>267</v>
      </c>
      <c r="L200" s="11" t="s">
        <v>2859</v>
      </c>
      <c r="M200" s="11" t="s">
        <v>2929</v>
      </c>
      <c r="N200" s="11" t="s">
        <v>2859</v>
      </c>
      <c r="AG200" s="34" t="str">
        <f>HYPERLINK("#40","F/M1 →")</f>
        <v>F/M1 →</v>
      </c>
    </row>
    <row r="201" spans="1:33" ht="18.399999999999999" customHeight="1" x14ac:dyDescent="0.15">
      <c r="B201" s="11" t="s">
        <v>2445</v>
      </c>
      <c r="G201" s="33">
        <f>TRUNC(G199+G200, 0)</f>
        <v>8201</v>
      </c>
    </row>
    <row r="202" spans="1:33" ht="18.399999999999999" customHeight="1" x14ac:dyDescent="0.15">
      <c r="A202" s="11" t="s">
        <v>1175</v>
      </c>
      <c r="B202" s="11" t="s">
        <v>626</v>
      </c>
      <c r="C202" s="11" t="s">
        <v>1620</v>
      </c>
      <c r="D202" s="11">
        <v>1</v>
      </c>
      <c r="E202" s="35" t="s">
        <v>1688</v>
      </c>
      <c r="F202" s="35">
        <f>TRUNC(중기기초자료!E38 * 중기전역변수!C18, 1)</f>
        <v>56874.1</v>
      </c>
      <c r="G202" s="35">
        <f>TRUNC(F202*D202, 1)</f>
        <v>56874.1</v>
      </c>
      <c r="H202" s="11" t="s">
        <v>2859</v>
      </c>
      <c r="I202" s="11" t="s">
        <v>2859</v>
      </c>
      <c r="K202" s="11" t="s">
        <v>1624</v>
      </c>
      <c r="L202" s="11" t="s">
        <v>2859</v>
      </c>
      <c r="M202" s="11" t="s">
        <v>1653</v>
      </c>
      <c r="AG202" s="34" t="str">
        <f>HYPERLINK("#40","L086 →")</f>
        <v>L086 →</v>
      </c>
    </row>
    <row r="203" spans="1:33" ht="18.399999999999999" customHeight="1" x14ac:dyDescent="0.15">
      <c r="B203" s="11" t="s">
        <v>2445</v>
      </c>
      <c r="G203" s="33">
        <f>TRUNC(G202, 0)</f>
        <v>56874</v>
      </c>
    </row>
    <row r="204" spans="1:33" ht="18.399999999999999" customHeight="1" thickBot="1" x14ac:dyDescent="0.2">
      <c r="B204" s="11" t="s">
        <v>261</v>
      </c>
      <c r="G204" s="33">
        <f>TRUNC(G198+G201+G203, 0)</f>
        <v>73600</v>
      </c>
    </row>
    <row r="205" spans="1:33" ht="18.399999999999999" customHeight="1" thickTop="1" thickBot="1" x14ac:dyDescent="0.2">
      <c r="A205" s="6"/>
      <c r="B205" s="6"/>
      <c r="C205" s="6"/>
      <c r="D205" s="6"/>
      <c r="E205" s="6"/>
      <c r="F205" s="6"/>
      <c r="G205" s="6"/>
      <c r="H205" s="6"/>
    </row>
    <row r="206" spans="1:33" ht="18.399999999999999" customHeight="1" thickTop="1" thickBot="1" x14ac:dyDescent="0.2">
      <c r="A206" s="6" t="s">
        <v>2554</v>
      </c>
      <c r="B206" s="6" t="s">
        <v>1577</v>
      </c>
      <c r="C206" s="6"/>
      <c r="D206" s="6"/>
      <c r="E206" s="6"/>
      <c r="F206" s="6"/>
      <c r="G206" s="6"/>
      <c r="H206" s="6"/>
      <c r="I206" s="11" t="s">
        <v>2859</v>
      </c>
      <c r="J206" s="11" t="s">
        <v>2688</v>
      </c>
    </row>
    <row r="207" spans="1:33" ht="18.399999999999999" customHeight="1" thickTop="1" x14ac:dyDescent="0.15">
      <c r="A207" s="6" t="s">
        <v>780</v>
      </c>
      <c r="B207" s="6" t="s">
        <v>2953</v>
      </c>
      <c r="C207" s="6"/>
      <c r="D207" s="6"/>
      <c r="E207" s="6"/>
      <c r="F207" s="6"/>
      <c r="G207" s="6"/>
      <c r="H207" s="6"/>
    </row>
    <row r="208" spans="1:33" ht="18.399999999999999" customHeight="1" x14ac:dyDescent="0.15">
      <c r="A208" s="32" t="s">
        <v>2172</v>
      </c>
      <c r="B208" s="32"/>
      <c r="C208" s="32" t="s">
        <v>1412</v>
      </c>
      <c r="D208" s="32" t="s">
        <v>73</v>
      </c>
      <c r="E208" s="32" t="s">
        <v>2682</v>
      </c>
      <c r="F208" s="32" t="s">
        <v>623</v>
      </c>
      <c r="G208" s="32" t="s">
        <v>352</v>
      </c>
      <c r="H208" s="32" t="s">
        <v>716</v>
      </c>
    </row>
    <row r="209" spans="1:33" ht="18.399999999999999" customHeight="1" x14ac:dyDescent="0.15">
      <c r="A209" s="11" t="s">
        <v>171</v>
      </c>
      <c r="B209" s="11" t="s">
        <v>1586</v>
      </c>
      <c r="C209" s="11" t="s">
        <v>912</v>
      </c>
      <c r="D209" s="11">
        <f>(1286 + 857 + 682)*10^-4</f>
        <v>0.28250000000000003</v>
      </c>
      <c r="E209" s="33" t="s">
        <v>338</v>
      </c>
      <c r="F209" s="33">
        <f>중기기초자료!F19</f>
        <v>6537</v>
      </c>
      <c r="G209" s="35">
        <f>TRUNC(F209*D209, 1)</f>
        <v>1846.7</v>
      </c>
      <c r="H209" s="11" t="s">
        <v>2859</v>
      </c>
      <c r="I209" s="11" t="s">
        <v>2859</v>
      </c>
      <c r="K209" s="11" t="s">
        <v>322</v>
      </c>
      <c r="L209" s="11" t="s">
        <v>2859</v>
      </c>
      <c r="M209" s="11" t="s">
        <v>402</v>
      </c>
      <c r="N209" s="11" t="s">
        <v>2954</v>
      </c>
      <c r="AG209" s="34" t="str">
        <f>HYPERLINK("#40","G13050007 →")</f>
        <v>G13050007 →</v>
      </c>
    </row>
    <row r="210" spans="1:33" ht="18.399999999999999" customHeight="1" x14ac:dyDescent="0.15">
      <c r="B210" s="11" t="s">
        <v>2445</v>
      </c>
      <c r="G210" s="33">
        <f>TRUNC(G209, 0)</f>
        <v>1846</v>
      </c>
    </row>
    <row r="211" spans="1:33" ht="18.399999999999999" customHeight="1" x14ac:dyDescent="0.15">
      <c r="A211" s="11" t="s">
        <v>1942</v>
      </c>
      <c r="B211" s="11" t="s">
        <v>452</v>
      </c>
      <c r="C211" s="11" t="s">
        <v>2859</v>
      </c>
      <c r="D211" s="11">
        <v>2.2000000000000002</v>
      </c>
      <c r="E211" s="59" t="s">
        <v>2814</v>
      </c>
      <c r="F211" s="59">
        <f>중기기초자료!D43</f>
        <v>1390</v>
      </c>
      <c r="G211" s="35">
        <f>TRUNC(F211*D211, 1)</f>
        <v>3058</v>
      </c>
      <c r="H211" s="11" t="s">
        <v>2859</v>
      </c>
      <c r="I211" s="11" t="s">
        <v>2859</v>
      </c>
      <c r="K211" s="11" t="s">
        <v>1030</v>
      </c>
      <c r="L211" s="11" t="s">
        <v>2859</v>
      </c>
      <c r="M211" s="11" t="s">
        <v>540</v>
      </c>
      <c r="AG211" s="34" t="str">
        <f>HYPERLINK("#40","M9366005 →")</f>
        <v>M9366005 →</v>
      </c>
    </row>
    <row r="212" spans="1:33" ht="18.399999999999999" customHeight="1" x14ac:dyDescent="0.15">
      <c r="B212" s="11" t="s">
        <v>2927</v>
      </c>
      <c r="C212" s="11" t="s">
        <v>2859</v>
      </c>
      <c r="D212" s="11">
        <v>13</v>
      </c>
      <c r="E212" s="59" t="s">
        <v>2928</v>
      </c>
      <c r="F212" s="59">
        <v>0</v>
      </c>
      <c r="G212" s="35">
        <f>TRUNC((G211) * D212/100, 1)</f>
        <v>397.5</v>
      </c>
      <c r="H212" s="11" t="s">
        <v>2859</v>
      </c>
      <c r="I212" s="11" t="s">
        <v>2859</v>
      </c>
      <c r="K212" s="11" t="s">
        <v>267</v>
      </c>
      <c r="L212" s="11" t="s">
        <v>2859</v>
      </c>
      <c r="M212" s="11" t="s">
        <v>2929</v>
      </c>
      <c r="N212" s="11" t="s">
        <v>2859</v>
      </c>
      <c r="AG212" s="34" t="str">
        <f>HYPERLINK("#40","F/M1 →")</f>
        <v>F/M1 →</v>
      </c>
    </row>
    <row r="213" spans="1:33" ht="18.399999999999999" customHeight="1" x14ac:dyDescent="0.15">
      <c r="B213" s="11" t="s">
        <v>2445</v>
      </c>
      <c r="G213" s="33">
        <f>TRUNC(G211+G212, 0)</f>
        <v>3455</v>
      </c>
    </row>
    <row r="214" spans="1:33" ht="18.399999999999999" customHeight="1" x14ac:dyDescent="0.15">
      <c r="A214" s="11" t="s">
        <v>1175</v>
      </c>
      <c r="B214" s="11" t="s">
        <v>1458</v>
      </c>
      <c r="C214" s="11" t="s">
        <v>1536</v>
      </c>
      <c r="D214" s="11">
        <v>1</v>
      </c>
      <c r="E214" s="35" t="s">
        <v>1688</v>
      </c>
      <c r="F214" s="35">
        <f>TRUNC(중기기초자료!E40 * 중기전역변수!C18, 1)</f>
        <v>34803.9</v>
      </c>
      <c r="G214" s="35">
        <f>TRUNC(F214*D214, 1)</f>
        <v>34803.9</v>
      </c>
      <c r="H214" s="11" t="s">
        <v>2859</v>
      </c>
      <c r="I214" s="11" t="s">
        <v>1949</v>
      </c>
      <c r="K214" s="11" t="s">
        <v>1624</v>
      </c>
      <c r="L214" s="11" t="s">
        <v>2859</v>
      </c>
      <c r="M214" s="11" t="s">
        <v>1651</v>
      </c>
      <c r="AG214" s="34" t="str">
        <f>HYPERLINK("#40","L088 →")</f>
        <v>L088 →</v>
      </c>
    </row>
    <row r="215" spans="1:33" ht="18.399999999999999" customHeight="1" x14ac:dyDescent="0.15">
      <c r="B215" s="11" t="s">
        <v>2445</v>
      </c>
      <c r="G215" s="33">
        <f>TRUNC(G214, 0)</f>
        <v>34803</v>
      </c>
    </row>
    <row r="216" spans="1:33" ht="18.399999999999999" customHeight="1" thickBot="1" x14ac:dyDescent="0.2">
      <c r="B216" s="11" t="s">
        <v>261</v>
      </c>
      <c r="G216" s="33">
        <f>TRUNC(G210+G213+G215, 0)</f>
        <v>40104</v>
      </c>
    </row>
    <row r="217" spans="1:33" ht="18.399999999999999" customHeight="1" thickTop="1" thickBot="1" x14ac:dyDescent="0.2">
      <c r="A217" s="6"/>
      <c r="B217" s="6"/>
      <c r="C217" s="6"/>
      <c r="D217" s="6"/>
      <c r="E217" s="6"/>
      <c r="F217" s="6"/>
      <c r="G217" s="6"/>
      <c r="H217" s="6"/>
    </row>
    <row r="218" spans="1:33" ht="18.399999999999999" customHeight="1" thickTop="1" thickBot="1" x14ac:dyDescent="0.2">
      <c r="A218" s="6" t="s">
        <v>2554</v>
      </c>
      <c r="B218" s="6" t="s">
        <v>240</v>
      </c>
      <c r="C218" s="6"/>
      <c r="D218" s="6"/>
      <c r="E218" s="6"/>
      <c r="F218" s="6"/>
      <c r="G218" s="6"/>
      <c r="H218" s="6"/>
      <c r="I218" s="11" t="s">
        <v>2859</v>
      </c>
      <c r="J218" s="11" t="s">
        <v>1617</v>
      </c>
    </row>
    <row r="219" spans="1:33" ht="18.399999999999999" customHeight="1" thickTop="1" x14ac:dyDescent="0.15">
      <c r="A219" s="6" t="s">
        <v>780</v>
      </c>
      <c r="B219" s="6" t="s">
        <v>2955</v>
      </c>
      <c r="C219" s="6"/>
      <c r="D219" s="6"/>
      <c r="E219" s="6"/>
      <c r="F219" s="6"/>
      <c r="G219" s="6"/>
      <c r="H219" s="6"/>
    </row>
    <row r="220" spans="1:33" ht="18.399999999999999" customHeight="1" x14ac:dyDescent="0.15">
      <c r="A220" s="32" t="s">
        <v>2172</v>
      </c>
      <c r="B220" s="32"/>
      <c r="C220" s="32" t="s">
        <v>1412</v>
      </c>
      <c r="D220" s="32" t="s">
        <v>73</v>
      </c>
      <c r="E220" s="32" t="s">
        <v>2682</v>
      </c>
      <c r="F220" s="32" t="s">
        <v>623</v>
      </c>
      <c r="G220" s="32" t="s">
        <v>352</v>
      </c>
      <c r="H220" s="32" t="s">
        <v>716</v>
      </c>
    </row>
    <row r="221" spans="1:33" ht="18.399999999999999" customHeight="1" x14ac:dyDescent="0.15">
      <c r="A221" s="11" t="s">
        <v>171</v>
      </c>
      <c r="B221" s="11" t="s">
        <v>2685</v>
      </c>
      <c r="C221" s="11" t="s">
        <v>763</v>
      </c>
      <c r="D221" s="11">
        <f>(1286 + 857 + 682)*10^-4</f>
        <v>0.28250000000000003</v>
      </c>
      <c r="E221" s="33" t="s">
        <v>338</v>
      </c>
      <c r="F221" s="33">
        <f>중기기초자료!F20</f>
        <v>17252</v>
      </c>
      <c r="G221" s="35">
        <f>TRUNC(F221*D221, 1)</f>
        <v>4873.6000000000004</v>
      </c>
      <c r="H221" s="11" t="s">
        <v>2859</v>
      </c>
      <c r="I221" s="11" t="s">
        <v>2859</v>
      </c>
      <c r="K221" s="11" t="s">
        <v>322</v>
      </c>
      <c r="L221" s="11" t="s">
        <v>2859</v>
      </c>
      <c r="M221" s="11" t="s">
        <v>1034</v>
      </c>
      <c r="N221" s="11" t="s">
        <v>2954</v>
      </c>
      <c r="AG221" s="34" t="str">
        <f>HYPERLINK("#40","G13060025 →")</f>
        <v>G13060025 →</v>
      </c>
    </row>
    <row r="222" spans="1:33" ht="18.399999999999999" customHeight="1" x14ac:dyDescent="0.15">
      <c r="B222" s="11" t="s">
        <v>2445</v>
      </c>
      <c r="G222" s="33">
        <f>TRUNC(G221, 0)</f>
        <v>4873</v>
      </c>
    </row>
    <row r="223" spans="1:33" ht="18.399999999999999" customHeight="1" x14ac:dyDescent="0.15">
      <c r="A223" s="11" t="s">
        <v>1942</v>
      </c>
      <c r="B223" s="11" t="s">
        <v>452</v>
      </c>
      <c r="C223" s="11" t="s">
        <v>2859</v>
      </c>
      <c r="D223" s="11">
        <v>2.2999999999999998</v>
      </c>
      <c r="E223" s="59" t="s">
        <v>2814</v>
      </c>
      <c r="F223" s="59">
        <f>중기기초자료!D43</f>
        <v>1390</v>
      </c>
      <c r="G223" s="35">
        <f>TRUNC(F223*D223, 1)</f>
        <v>3197</v>
      </c>
      <c r="H223" s="11" t="s">
        <v>2859</v>
      </c>
      <c r="I223" s="11" t="s">
        <v>2859</v>
      </c>
      <c r="K223" s="11" t="s">
        <v>1030</v>
      </c>
      <c r="L223" s="11" t="s">
        <v>2859</v>
      </c>
      <c r="M223" s="11" t="s">
        <v>540</v>
      </c>
      <c r="AG223" s="34" t="str">
        <f>HYPERLINK("#40","M9366005 →")</f>
        <v>M9366005 →</v>
      </c>
    </row>
    <row r="224" spans="1:33" ht="18.399999999999999" customHeight="1" x14ac:dyDescent="0.15">
      <c r="B224" s="11" t="s">
        <v>2927</v>
      </c>
      <c r="C224" s="11" t="s">
        <v>2859</v>
      </c>
      <c r="D224" s="11">
        <v>13</v>
      </c>
      <c r="E224" s="59" t="s">
        <v>2928</v>
      </c>
      <c r="F224" s="59">
        <v>0</v>
      </c>
      <c r="G224" s="35">
        <f>TRUNC((G223) * D224/100, 1)</f>
        <v>415.6</v>
      </c>
      <c r="H224" s="11" t="s">
        <v>2859</v>
      </c>
      <c r="I224" s="11" t="s">
        <v>2859</v>
      </c>
      <c r="K224" s="11" t="s">
        <v>267</v>
      </c>
      <c r="L224" s="11" t="s">
        <v>2859</v>
      </c>
      <c r="M224" s="11" t="s">
        <v>2929</v>
      </c>
      <c r="N224" s="11" t="s">
        <v>2859</v>
      </c>
      <c r="AG224" s="34" t="str">
        <f>HYPERLINK("#40","F/M1 →")</f>
        <v>F/M1 →</v>
      </c>
    </row>
    <row r="225" spans="1:33" ht="18.399999999999999" customHeight="1" x14ac:dyDescent="0.15">
      <c r="B225" s="11" t="s">
        <v>2445</v>
      </c>
      <c r="G225" s="33">
        <f>TRUNC(G223+G224, 0)</f>
        <v>3612</v>
      </c>
    </row>
    <row r="226" spans="1:33" ht="18.399999999999999" customHeight="1" x14ac:dyDescent="0.15">
      <c r="A226" s="11" t="s">
        <v>1175</v>
      </c>
      <c r="B226" s="11" t="s">
        <v>626</v>
      </c>
      <c r="C226" s="11" t="s">
        <v>1620</v>
      </c>
      <c r="D226" s="11">
        <v>1</v>
      </c>
      <c r="E226" s="35" t="s">
        <v>1688</v>
      </c>
      <c r="F226" s="35">
        <f>TRUNC(중기기초자료!E38 * 중기전역변수!C18, 1)</f>
        <v>56874.1</v>
      </c>
      <c r="G226" s="35">
        <f>TRUNC(F226*D226, 1)</f>
        <v>56874.1</v>
      </c>
      <c r="H226" s="11" t="s">
        <v>2859</v>
      </c>
      <c r="I226" s="11" t="s">
        <v>2859</v>
      </c>
      <c r="K226" s="11" t="s">
        <v>1624</v>
      </c>
      <c r="L226" s="11" t="s">
        <v>2859</v>
      </c>
      <c r="M226" s="11" t="s">
        <v>1653</v>
      </c>
      <c r="AG226" s="34" t="str">
        <f>HYPERLINK("#40","L086 →")</f>
        <v>L086 →</v>
      </c>
    </row>
    <row r="227" spans="1:33" ht="18.399999999999999" customHeight="1" x14ac:dyDescent="0.15">
      <c r="B227" s="11" t="s">
        <v>2445</v>
      </c>
      <c r="G227" s="33">
        <f>TRUNC(G226, 0)</f>
        <v>56874</v>
      </c>
    </row>
    <row r="228" spans="1:33" ht="18.399999999999999" customHeight="1" thickBot="1" x14ac:dyDescent="0.2">
      <c r="B228" s="11" t="s">
        <v>261</v>
      </c>
      <c r="G228" s="33">
        <f>TRUNC(G222+G225+G227, 0)</f>
        <v>65359</v>
      </c>
    </row>
    <row r="229" spans="1:33" ht="18.399999999999999" customHeight="1" thickTop="1" thickBot="1" x14ac:dyDescent="0.2">
      <c r="A229" s="6"/>
      <c r="B229" s="6"/>
      <c r="C229" s="6"/>
      <c r="D229" s="6"/>
      <c r="E229" s="6"/>
      <c r="F229" s="6"/>
      <c r="G229" s="6"/>
      <c r="H229" s="6"/>
    </row>
    <row r="230" spans="1:33" ht="18.399999999999999" customHeight="1" thickTop="1" thickBot="1" x14ac:dyDescent="0.2">
      <c r="A230" s="6" t="s">
        <v>2554</v>
      </c>
      <c r="B230" s="6" t="s">
        <v>2584</v>
      </c>
      <c r="C230" s="6"/>
      <c r="D230" s="6"/>
      <c r="E230" s="6"/>
      <c r="F230" s="6"/>
      <c r="G230" s="6"/>
      <c r="H230" s="6"/>
      <c r="I230" s="11" t="s">
        <v>2859</v>
      </c>
      <c r="J230" s="11" t="s">
        <v>1889</v>
      </c>
    </row>
    <row r="231" spans="1:33" ht="18.399999999999999" customHeight="1" thickTop="1" x14ac:dyDescent="0.15">
      <c r="A231" s="6" t="s">
        <v>780</v>
      </c>
      <c r="B231" s="6" t="s">
        <v>2956</v>
      </c>
      <c r="C231" s="6"/>
      <c r="D231" s="6"/>
      <c r="E231" s="6"/>
      <c r="F231" s="6"/>
      <c r="G231" s="6"/>
      <c r="H231" s="6"/>
    </row>
    <row r="232" spans="1:33" ht="18.399999999999999" customHeight="1" x14ac:dyDescent="0.15">
      <c r="A232" s="32" t="s">
        <v>2172</v>
      </c>
      <c r="B232" s="32"/>
      <c r="C232" s="32" t="s">
        <v>1412</v>
      </c>
      <c r="D232" s="32" t="s">
        <v>73</v>
      </c>
      <c r="E232" s="32" t="s">
        <v>2682</v>
      </c>
      <c r="F232" s="32" t="s">
        <v>623</v>
      </c>
      <c r="G232" s="32" t="s">
        <v>352</v>
      </c>
      <c r="H232" s="32" t="s">
        <v>716</v>
      </c>
    </row>
    <row r="233" spans="1:33" ht="18.399999999999999" customHeight="1" x14ac:dyDescent="0.15">
      <c r="A233" s="11" t="s">
        <v>171</v>
      </c>
      <c r="B233" s="11" t="s">
        <v>2685</v>
      </c>
      <c r="C233" s="11" t="s">
        <v>2483</v>
      </c>
      <c r="D233" s="11">
        <f>(1286 + 857 + 682)*10^-4</f>
        <v>0.28250000000000003</v>
      </c>
      <c r="E233" s="33" t="s">
        <v>338</v>
      </c>
      <c r="F233" s="33">
        <f>TRUNC(중기기초자료!F21 * 중기전역변수!C4/1000,0)</f>
        <v>116171</v>
      </c>
      <c r="G233" s="35">
        <f>TRUNC(F233*D233, 1)</f>
        <v>32818.300000000003</v>
      </c>
      <c r="H233" s="11" t="s">
        <v>2859</v>
      </c>
      <c r="I233" s="11" t="s">
        <v>2859</v>
      </c>
      <c r="K233" s="11" t="s">
        <v>322</v>
      </c>
      <c r="L233" s="11" t="s">
        <v>2859</v>
      </c>
      <c r="M233" s="11" t="s">
        <v>1112</v>
      </c>
      <c r="N233" s="11" t="s">
        <v>2954</v>
      </c>
      <c r="AG233" s="34" t="str">
        <f>HYPERLINK("#40","G13060100 →")</f>
        <v>G13060100 →</v>
      </c>
    </row>
    <row r="234" spans="1:33" ht="18.399999999999999" customHeight="1" x14ac:dyDescent="0.15">
      <c r="B234" s="11" t="s">
        <v>2445</v>
      </c>
      <c r="G234" s="33">
        <f>TRUNC(G233, 0)</f>
        <v>32818</v>
      </c>
    </row>
    <row r="235" spans="1:33" ht="18.399999999999999" customHeight="1" x14ac:dyDescent="0.15">
      <c r="A235" s="11" t="s">
        <v>1942</v>
      </c>
      <c r="B235" s="11" t="s">
        <v>452</v>
      </c>
      <c r="C235" s="11" t="s">
        <v>2859</v>
      </c>
      <c r="D235" s="11">
        <v>14.4</v>
      </c>
      <c r="E235" s="59" t="s">
        <v>2814</v>
      </c>
      <c r="F235" s="59">
        <f>중기기초자료!D43</f>
        <v>1390</v>
      </c>
      <c r="G235" s="35">
        <f>TRUNC(F235*D235, 1)</f>
        <v>20016</v>
      </c>
      <c r="H235" s="11" t="s">
        <v>2859</v>
      </c>
      <c r="I235" s="11" t="s">
        <v>2859</v>
      </c>
      <c r="K235" s="11" t="s">
        <v>1030</v>
      </c>
      <c r="L235" s="11" t="s">
        <v>2859</v>
      </c>
      <c r="M235" s="11" t="s">
        <v>540</v>
      </c>
      <c r="AG235" s="34" t="str">
        <f>HYPERLINK("#40","M9366005 →")</f>
        <v>M9366005 →</v>
      </c>
    </row>
    <row r="236" spans="1:33" ht="18.399999999999999" customHeight="1" x14ac:dyDescent="0.15">
      <c r="B236" s="11" t="s">
        <v>2927</v>
      </c>
      <c r="C236" s="11" t="s">
        <v>2859</v>
      </c>
      <c r="D236" s="11">
        <v>30</v>
      </c>
      <c r="E236" s="59" t="s">
        <v>2928</v>
      </c>
      <c r="F236" s="59">
        <v>0</v>
      </c>
      <c r="G236" s="35">
        <f>TRUNC((G235) * D236/100, 1)</f>
        <v>6004.8</v>
      </c>
      <c r="H236" s="11" t="s">
        <v>2859</v>
      </c>
      <c r="I236" s="11" t="s">
        <v>2859</v>
      </c>
      <c r="K236" s="11" t="s">
        <v>267</v>
      </c>
      <c r="L236" s="11" t="s">
        <v>2859</v>
      </c>
      <c r="M236" s="11" t="s">
        <v>2929</v>
      </c>
      <c r="N236" s="11" t="s">
        <v>2859</v>
      </c>
      <c r="AG236" s="34" t="str">
        <f>HYPERLINK("#40","F/M1 →")</f>
        <v>F/M1 →</v>
      </c>
    </row>
    <row r="237" spans="1:33" ht="18.399999999999999" customHeight="1" x14ac:dyDescent="0.15">
      <c r="B237" s="11" t="s">
        <v>2445</v>
      </c>
      <c r="G237" s="33">
        <f>TRUNC(G235+G236, 0)</f>
        <v>26020</v>
      </c>
    </row>
    <row r="238" spans="1:33" ht="18.399999999999999" customHeight="1" x14ac:dyDescent="0.15">
      <c r="A238" s="11" t="s">
        <v>1175</v>
      </c>
      <c r="B238" s="11" t="s">
        <v>626</v>
      </c>
      <c r="C238" s="11" t="s">
        <v>1620</v>
      </c>
      <c r="D238" s="11">
        <v>1</v>
      </c>
      <c r="E238" s="35" t="s">
        <v>1688</v>
      </c>
      <c r="F238" s="35">
        <f>TRUNC(중기기초자료!E38 * 중기전역변수!C18, 1)</f>
        <v>56874.1</v>
      </c>
      <c r="G238" s="35">
        <f>TRUNC(F238*D238, 1)</f>
        <v>56874.1</v>
      </c>
      <c r="H238" s="11" t="s">
        <v>2859</v>
      </c>
      <c r="I238" s="11" t="s">
        <v>2859</v>
      </c>
      <c r="K238" s="11" t="s">
        <v>1624</v>
      </c>
      <c r="L238" s="11" t="s">
        <v>2859</v>
      </c>
      <c r="M238" s="11" t="s">
        <v>1653</v>
      </c>
      <c r="AG238" s="34" t="str">
        <f>HYPERLINK("#40","L086 →")</f>
        <v>L086 →</v>
      </c>
    </row>
    <row r="239" spans="1:33" ht="18.399999999999999" customHeight="1" x14ac:dyDescent="0.15">
      <c r="B239" s="11" t="s">
        <v>2445</v>
      </c>
      <c r="G239" s="33">
        <f>TRUNC(G238, 0)</f>
        <v>56874</v>
      </c>
    </row>
    <row r="240" spans="1:33" ht="18.399999999999999" customHeight="1" thickBot="1" x14ac:dyDescent="0.2">
      <c r="B240" s="11" t="s">
        <v>261</v>
      </c>
      <c r="G240" s="33">
        <f>TRUNC(G234+G237+G239, 0)</f>
        <v>115712</v>
      </c>
    </row>
    <row r="241" spans="1:33" ht="18.399999999999999" customHeight="1" thickTop="1" thickBot="1" x14ac:dyDescent="0.2">
      <c r="A241" s="6"/>
      <c r="B241" s="6"/>
      <c r="C241" s="6"/>
      <c r="D241" s="6"/>
      <c r="E241" s="6"/>
      <c r="F241" s="6"/>
      <c r="G241" s="6"/>
      <c r="H241" s="6"/>
    </row>
    <row r="242" spans="1:33" ht="18.399999999999999" customHeight="1" thickTop="1" thickBot="1" x14ac:dyDescent="0.2">
      <c r="A242" s="6" t="s">
        <v>2554</v>
      </c>
      <c r="B242" s="6" t="s">
        <v>694</v>
      </c>
      <c r="C242" s="6"/>
      <c r="D242" s="6"/>
      <c r="E242" s="6"/>
      <c r="F242" s="6"/>
      <c r="G242" s="6"/>
      <c r="H242" s="6"/>
      <c r="I242" s="11" t="s">
        <v>2859</v>
      </c>
      <c r="J242" s="11" t="s">
        <v>2495</v>
      </c>
    </row>
    <row r="243" spans="1:33" ht="18.399999999999999" customHeight="1" thickTop="1" x14ac:dyDescent="0.15">
      <c r="A243" s="6" t="s">
        <v>780</v>
      </c>
      <c r="B243" s="6" t="s">
        <v>2957</v>
      </c>
      <c r="C243" s="6"/>
      <c r="D243" s="6"/>
      <c r="E243" s="6"/>
      <c r="F243" s="6"/>
      <c r="G243" s="6"/>
      <c r="H243" s="6"/>
    </row>
    <row r="244" spans="1:33" ht="18.399999999999999" customHeight="1" x14ac:dyDescent="0.15">
      <c r="A244" s="32" t="s">
        <v>2172</v>
      </c>
      <c r="B244" s="32"/>
      <c r="C244" s="32" t="s">
        <v>1412</v>
      </c>
      <c r="D244" s="32" t="s">
        <v>73</v>
      </c>
      <c r="E244" s="32" t="s">
        <v>2682</v>
      </c>
      <c r="F244" s="32" t="s">
        <v>623</v>
      </c>
      <c r="G244" s="32" t="s">
        <v>352</v>
      </c>
      <c r="H244" s="32" t="s">
        <v>716</v>
      </c>
    </row>
    <row r="245" spans="1:33" ht="18.399999999999999" customHeight="1" x14ac:dyDescent="0.15">
      <c r="A245" s="11" t="s">
        <v>171</v>
      </c>
      <c r="B245" s="11" t="s">
        <v>2432</v>
      </c>
      <c r="C245" s="11" t="s">
        <v>130</v>
      </c>
      <c r="D245" s="11">
        <f>(833 + 556 + 556)*10^-4</f>
        <v>0.19450000000000001</v>
      </c>
      <c r="E245" s="33" t="s">
        <v>338</v>
      </c>
      <c r="F245" s="33">
        <f>TRUNC(중기기초자료!F22 * 중기전역변수!C4/1000,0)</f>
        <v>118822</v>
      </c>
      <c r="G245" s="35">
        <f>TRUNC(F245*D245, 1)</f>
        <v>23110.799999999999</v>
      </c>
      <c r="H245" s="11" t="s">
        <v>2859</v>
      </c>
      <c r="I245" s="11" t="s">
        <v>2859</v>
      </c>
      <c r="K245" s="11" t="s">
        <v>322</v>
      </c>
      <c r="L245" s="11" t="s">
        <v>2859</v>
      </c>
      <c r="M245" s="11" t="s">
        <v>225</v>
      </c>
      <c r="N245" s="11" t="s">
        <v>2958</v>
      </c>
      <c r="AG245" s="34" t="str">
        <f>HYPERLINK("#40","G14060015 →")</f>
        <v>G14060015 →</v>
      </c>
    </row>
    <row r="246" spans="1:33" ht="18.399999999999999" customHeight="1" x14ac:dyDescent="0.15">
      <c r="B246" s="11" t="s">
        <v>2445</v>
      </c>
      <c r="G246" s="33">
        <f>TRUNC(G245, 0)</f>
        <v>23110</v>
      </c>
    </row>
    <row r="247" spans="1:33" ht="18.399999999999999" customHeight="1" x14ac:dyDescent="0.15">
      <c r="A247" s="11" t="s">
        <v>1942</v>
      </c>
      <c r="B247" s="11" t="s">
        <v>452</v>
      </c>
      <c r="C247" s="11" t="s">
        <v>2859</v>
      </c>
      <c r="D247" s="11">
        <v>8</v>
      </c>
      <c r="E247" s="59" t="s">
        <v>2814</v>
      </c>
      <c r="F247" s="59">
        <f>중기기초자료!D43</f>
        <v>1390</v>
      </c>
      <c r="G247" s="35">
        <f>TRUNC(F247*D247, 1)</f>
        <v>11120</v>
      </c>
      <c r="H247" s="11" t="s">
        <v>2859</v>
      </c>
      <c r="I247" s="11" t="s">
        <v>2859</v>
      </c>
      <c r="K247" s="11" t="s">
        <v>1030</v>
      </c>
      <c r="L247" s="11" t="s">
        <v>2859</v>
      </c>
      <c r="M247" s="11" t="s">
        <v>540</v>
      </c>
      <c r="AG247" s="34" t="str">
        <f>HYPERLINK("#40","M9366005 →")</f>
        <v>M9366005 →</v>
      </c>
    </row>
    <row r="248" spans="1:33" ht="18.399999999999999" customHeight="1" x14ac:dyDescent="0.15">
      <c r="B248" s="11" t="s">
        <v>2927</v>
      </c>
      <c r="C248" s="11" t="s">
        <v>2859</v>
      </c>
      <c r="D248" s="11">
        <v>23</v>
      </c>
      <c r="E248" s="59" t="s">
        <v>2928</v>
      </c>
      <c r="F248" s="59">
        <v>0</v>
      </c>
      <c r="G248" s="35">
        <f>TRUNC((G247) * D248/100, 1)</f>
        <v>2557.6</v>
      </c>
      <c r="H248" s="11" t="s">
        <v>2859</v>
      </c>
      <c r="I248" s="11" t="s">
        <v>2859</v>
      </c>
      <c r="K248" s="11" t="s">
        <v>267</v>
      </c>
      <c r="L248" s="11" t="s">
        <v>2859</v>
      </c>
      <c r="M248" s="11" t="s">
        <v>2929</v>
      </c>
      <c r="N248" s="11" t="s">
        <v>2859</v>
      </c>
      <c r="AG248" s="34" t="str">
        <f>HYPERLINK("#40","F/M1 →")</f>
        <v>F/M1 →</v>
      </c>
    </row>
    <row r="249" spans="1:33" ht="18.399999999999999" customHeight="1" x14ac:dyDescent="0.15">
      <c r="B249" s="11" t="s">
        <v>2445</v>
      </c>
      <c r="G249" s="33">
        <f>TRUNC(G247+G248, 0)</f>
        <v>13677</v>
      </c>
    </row>
    <row r="250" spans="1:33" ht="18.399999999999999" customHeight="1" x14ac:dyDescent="0.15">
      <c r="A250" s="11" t="s">
        <v>1175</v>
      </c>
      <c r="B250" s="11" t="s">
        <v>626</v>
      </c>
      <c r="C250" s="11" t="s">
        <v>1620</v>
      </c>
      <c r="D250" s="11">
        <v>1</v>
      </c>
      <c r="E250" s="35" t="s">
        <v>1688</v>
      </c>
      <c r="F250" s="35">
        <f>TRUNC(중기기초자료!E38 * 중기전역변수!C18, 1)</f>
        <v>56874.1</v>
      </c>
      <c r="G250" s="35">
        <f>TRUNC(F250*D250, 1)</f>
        <v>56874.1</v>
      </c>
      <c r="H250" s="11" t="s">
        <v>2859</v>
      </c>
      <c r="I250" s="11" t="s">
        <v>2859</v>
      </c>
      <c r="K250" s="11" t="s">
        <v>1624</v>
      </c>
      <c r="L250" s="11" t="s">
        <v>2859</v>
      </c>
      <c r="M250" s="11" t="s">
        <v>1653</v>
      </c>
      <c r="AG250" s="34" t="str">
        <f>HYPERLINK("#40","L086 →")</f>
        <v>L086 →</v>
      </c>
    </row>
    <row r="251" spans="1:33" ht="18.399999999999999" customHeight="1" x14ac:dyDescent="0.15">
      <c r="B251" s="11" t="s">
        <v>2445</v>
      </c>
      <c r="G251" s="33">
        <f>TRUNC(G250, 0)</f>
        <v>56874</v>
      </c>
    </row>
    <row r="252" spans="1:33" ht="18.399999999999999" customHeight="1" thickBot="1" x14ac:dyDescent="0.2">
      <c r="B252" s="11" t="s">
        <v>261</v>
      </c>
      <c r="G252" s="33">
        <f>TRUNC(G246+G249+G251, 0)</f>
        <v>93661</v>
      </c>
    </row>
    <row r="253" spans="1:33" ht="18.399999999999999" customHeight="1" thickTop="1" thickBot="1" x14ac:dyDescent="0.2">
      <c r="A253" s="6"/>
      <c r="B253" s="6"/>
      <c r="C253" s="6"/>
      <c r="D253" s="6"/>
      <c r="E253" s="6"/>
      <c r="F253" s="6"/>
      <c r="G253" s="6"/>
      <c r="H253" s="6"/>
    </row>
    <row r="254" spans="1:33" ht="18.399999999999999" customHeight="1" thickTop="1" thickBot="1" x14ac:dyDescent="0.2">
      <c r="A254" s="6" t="s">
        <v>2554</v>
      </c>
      <c r="B254" s="6" t="s">
        <v>2458</v>
      </c>
      <c r="C254" s="6"/>
      <c r="D254" s="6"/>
      <c r="E254" s="6"/>
      <c r="F254" s="6"/>
      <c r="G254" s="6"/>
      <c r="H254" s="6"/>
      <c r="I254" s="11" t="s">
        <v>2859</v>
      </c>
      <c r="J254" s="11" t="s">
        <v>871</v>
      </c>
    </row>
    <row r="255" spans="1:33" ht="18.399999999999999" customHeight="1" thickTop="1" x14ac:dyDescent="0.15">
      <c r="A255" s="6" t="s">
        <v>780</v>
      </c>
      <c r="B255" s="6" t="s">
        <v>2959</v>
      </c>
      <c r="C255" s="6"/>
      <c r="D255" s="6"/>
      <c r="E255" s="6"/>
      <c r="F255" s="6"/>
      <c r="G255" s="6"/>
      <c r="H255" s="6"/>
    </row>
    <row r="256" spans="1:33" ht="18.399999999999999" customHeight="1" x14ac:dyDescent="0.15">
      <c r="A256" s="32" t="s">
        <v>2172</v>
      </c>
      <c r="B256" s="32"/>
      <c r="C256" s="32" t="s">
        <v>1412</v>
      </c>
      <c r="D256" s="32" t="s">
        <v>73</v>
      </c>
      <c r="E256" s="32" t="s">
        <v>2682</v>
      </c>
      <c r="F256" s="32" t="s">
        <v>623</v>
      </c>
      <c r="G256" s="32" t="s">
        <v>352</v>
      </c>
      <c r="H256" s="32" t="s">
        <v>716</v>
      </c>
    </row>
    <row r="257" spans="1:33" ht="18.399999999999999" customHeight="1" x14ac:dyDescent="0.15">
      <c r="A257" s="11" t="s">
        <v>171</v>
      </c>
      <c r="B257" s="11" t="s">
        <v>1331</v>
      </c>
      <c r="C257" s="11" t="s">
        <v>2425</v>
      </c>
      <c r="D257" s="11">
        <f>(1800 + 1200 + 708)*10^-4</f>
        <v>0.37080000000000002</v>
      </c>
      <c r="E257" s="33" t="s">
        <v>338</v>
      </c>
      <c r="F257" s="33">
        <f>TRUNC(중기기초자료!F23 * 중기전역변수!C4/1000,0)</f>
        <v>2023</v>
      </c>
      <c r="G257" s="35">
        <f>TRUNC(F257*D257, 1)</f>
        <v>750.1</v>
      </c>
      <c r="H257" s="11" t="s">
        <v>2859</v>
      </c>
      <c r="I257" s="11" t="s">
        <v>2859</v>
      </c>
      <c r="K257" s="11" t="s">
        <v>322</v>
      </c>
      <c r="L257" s="11" t="s">
        <v>2859</v>
      </c>
      <c r="M257" s="11" t="s">
        <v>1489</v>
      </c>
      <c r="N257" s="11" t="s">
        <v>2960</v>
      </c>
      <c r="AG257" s="34" t="str">
        <f>HYPERLINK("#40","G17300015 →")</f>
        <v>G17300015 →</v>
      </c>
    </row>
    <row r="258" spans="1:33" ht="18.399999999999999" customHeight="1" x14ac:dyDescent="0.15">
      <c r="B258" s="11" t="s">
        <v>2445</v>
      </c>
      <c r="G258" s="33">
        <f>TRUNC(G257, 0)</f>
        <v>750</v>
      </c>
    </row>
    <row r="259" spans="1:33" ht="18.399999999999999" customHeight="1" x14ac:dyDescent="0.15">
      <c r="A259" s="11" t="s">
        <v>1942</v>
      </c>
      <c r="B259" s="11" t="s">
        <v>810</v>
      </c>
      <c r="C259" s="11" t="s">
        <v>2859</v>
      </c>
      <c r="D259" s="11">
        <v>1</v>
      </c>
      <c r="E259" s="59" t="s">
        <v>2814</v>
      </c>
      <c r="F259" s="59">
        <f>중기기초자료!D42</f>
        <v>1538</v>
      </c>
      <c r="G259" s="35">
        <f>TRUNC(F259*D259, 1)</f>
        <v>1538</v>
      </c>
      <c r="H259" s="11" t="s">
        <v>2859</v>
      </c>
      <c r="I259" s="11" t="s">
        <v>2859</v>
      </c>
      <c r="K259" s="11" t="s">
        <v>1030</v>
      </c>
      <c r="L259" s="11" t="s">
        <v>2859</v>
      </c>
      <c r="M259" s="11" t="s">
        <v>2444</v>
      </c>
      <c r="AG259" s="34" t="str">
        <f>HYPERLINK("#40","M9360003 →")</f>
        <v>M9360003 →</v>
      </c>
    </row>
    <row r="260" spans="1:33" ht="18.399999999999999" customHeight="1" x14ac:dyDescent="0.15">
      <c r="B260" s="11" t="s">
        <v>2927</v>
      </c>
      <c r="C260" s="11" t="s">
        <v>2859</v>
      </c>
      <c r="D260" s="11">
        <v>20</v>
      </c>
      <c r="E260" s="59" t="s">
        <v>2928</v>
      </c>
      <c r="F260" s="59">
        <v>0</v>
      </c>
      <c r="G260" s="35">
        <f>TRUNC((G259) * D260/100, 1)</f>
        <v>307.60000000000002</v>
      </c>
      <c r="H260" s="11" t="s">
        <v>2859</v>
      </c>
      <c r="I260" s="11" t="s">
        <v>2859</v>
      </c>
      <c r="K260" s="11" t="s">
        <v>267</v>
      </c>
      <c r="L260" s="11" t="s">
        <v>2859</v>
      </c>
      <c r="M260" s="11" t="s">
        <v>2929</v>
      </c>
      <c r="N260" s="11" t="s">
        <v>2859</v>
      </c>
      <c r="AG260" s="34" t="str">
        <f>HYPERLINK("#40","F/M1 →")</f>
        <v>F/M1 →</v>
      </c>
    </row>
    <row r="261" spans="1:33" ht="18.399999999999999" customHeight="1" x14ac:dyDescent="0.15">
      <c r="B261" s="11" t="s">
        <v>2445</v>
      </c>
      <c r="G261" s="33">
        <f>TRUNC(G259+G260, 0)</f>
        <v>1845</v>
      </c>
    </row>
    <row r="262" spans="1:33" ht="18.399999999999999" customHeight="1" x14ac:dyDescent="0.15">
      <c r="A262" s="11" t="s">
        <v>1175</v>
      </c>
      <c r="B262" s="11" t="s">
        <v>1458</v>
      </c>
      <c r="C262" s="11" t="s">
        <v>2961</v>
      </c>
      <c r="D262" s="11">
        <v>1</v>
      </c>
      <c r="E262" s="35" t="s">
        <v>1688</v>
      </c>
      <c r="F262" s="35">
        <f>TRUNC(중기기초자료!E40 * 중기전역변수!C18, 1)</f>
        <v>34803.9</v>
      </c>
      <c r="G262" s="35">
        <f>TRUNC(F262*D262, 1)</f>
        <v>34803.9</v>
      </c>
      <c r="H262" s="11" t="s">
        <v>2859</v>
      </c>
      <c r="I262" s="11" t="s">
        <v>2859</v>
      </c>
      <c r="K262" s="11" t="s">
        <v>1624</v>
      </c>
      <c r="L262" s="11" t="s">
        <v>2859</v>
      </c>
      <c r="M262" s="11" t="s">
        <v>1651</v>
      </c>
      <c r="AG262" s="34" t="str">
        <f>HYPERLINK("#40","L088 →")</f>
        <v>L088 →</v>
      </c>
    </row>
    <row r="263" spans="1:33" ht="18.399999999999999" customHeight="1" x14ac:dyDescent="0.15">
      <c r="B263" s="11" t="s">
        <v>2445</v>
      </c>
      <c r="G263" s="33">
        <f>TRUNC(G262, 0)</f>
        <v>34803</v>
      </c>
    </row>
    <row r="264" spans="1:33" ht="18.399999999999999" customHeight="1" thickBot="1" x14ac:dyDescent="0.2">
      <c r="B264" s="11" t="s">
        <v>261</v>
      </c>
      <c r="G264" s="33">
        <f>TRUNC(G258+G261+G263, 0)</f>
        <v>37398</v>
      </c>
    </row>
    <row r="265" spans="1:33" ht="18.399999999999999" customHeight="1" thickTop="1" thickBot="1" x14ac:dyDescent="0.2">
      <c r="A265" s="6"/>
      <c r="B265" s="6"/>
      <c r="C265" s="6"/>
      <c r="D265" s="6"/>
      <c r="E265" s="6"/>
      <c r="F265" s="6"/>
      <c r="G265" s="6"/>
      <c r="H265" s="6"/>
    </row>
    <row r="266" spans="1:33" ht="18.399999999999999" customHeight="1" thickTop="1" thickBot="1" x14ac:dyDescent="0.2">
      <c r="A266" s="6" t="s">
        <v>2554</v>
      </c>
      <c r="B266" s="6" t="s">
        <v>2785</v>
      </c>
      <c r="C266" s="6"/>
      <c r="D266" s="6"/>
      <c r="E266" s="6"/>
      <c r="F266" s="6"/>
      <c r="G266" s="6"/>
      <c r="H266" s="6"/>
      <c r="I266" s="11" t="s">
        <v>2859</v>
      </c>
      <c r="J266" s="11" t="s">
        <v>1339</v>
      </c>
    </row>
    <row r="267" spans="1:33" ht="18.399999999999999" customHeight="1" thickTop="1" x14ac:dyDescent="0.15">
      <c r="A267" s="6" t="s">
        <v>780</v>
      </c>
      <c r="B267" s="6" t="s">
        <v>2962</v>
      </c>
      <c r="C267" s="6"/>
      <c r="D267" s="6"/>
      <c r="E267" s="6"/>
      <c r="F267" s="6"/>
      <c r="G267" s="6"/>
      <c r="H267" s="6"/>
    </row>
    <row r="268" spans="1:33" ht="18.399999999999999" customHeight="1" x14ac:dyDescent="0.15">
      <c r="A268" s="32" t="s">
        <v>2172</v>
      </c>
      <c r="B268" s="32"/>
      <c r="C268" s="32" t="s">
        <v>1412</v>
      </c>
      <c r="D268" s="32" t="s">
        <v>73</v>
      </c>
      <c r="E268" s="32" t="s">
        <v>2682</v>
      </c>
      <c r="F268" s="32" t="s">
        <v>623</v>
      </c>
      <c r="G268" s="32" t="s">
        <v>352</v>
      </c>
      <c r="H268" s="32" t="s">
        <v>716</v>
      </c>
    </row>
    <row r="269" spans="1:33" ht="18.399999999999999" customHeight="1" x14ac:dyDescent="0.15">
      <c r="A269" s="11" t="s">
        <v>171</v>
      </c>
      <c r="B269" s="11" t="s">
        <v>521</v>
      </c>
      <c r="C269" s="11" t="s">
        <v>2483</v>
      </c>
      <c r="D269" s="11">
        <f>(1071 + 536 + 691)*10^-4</f>
        <v>0.2298</v>
      </c>
      <c r="E269" s="33" t="s">
        <v>338</v>
      </c>
      <c r="F269" s="33">
        <f>중기기초자료!F24</f>
        <v>131000</v>
      </c>
      <c r="G269" s="35">
        <f>TRUNC(F269*D269, 1)</f>
        <v>30103.8</v>
      </c>
      <c r="H269" s="11" t="s">
        <v>2859</v>
      </c>
      <c r="I269" s="11" t="s">
        <v>2859</v>
      </c>
      <c r="K269" s="11" t="s">
        <v>322</v>
      </c>
      <c r="L269" s="11" t="s">
        <v>2859</v>
      </c>
      <c r="M269" s="11" t="s">
        <v>2101</v>
      </c>
      <c r="N269" s="11" t="s">
        <v>2963</v>
      </c>
      <c r="AG269" s="34" t="str">
        <f>HYPERLINK("#40","G21040010 →")</f>
        <v>G21040010 →</v>
      </c>
    </row>
    <row r="270" spans="1:33" ht="18.399999999999999" customHeight="1" x14ac:dyDescent="0.15">
      <c r="B270" s="11" t="s">
        <v>2445</v>
      </c>
      <c r="G270" s="33">
        <f>TRUNC(G269, 0)</f>
        <v>30103</v>
      </c>
    </row>
    <row r="271" spans="1:33" ht="18.399999999999999" customHeight="1" x14ac:dyDescent="0.15">
      <c r="A271" s="11" t="s">
        <v>1942</v>
      </c>
      <c r="B271" s="11" t="s">
        <v>452</v>
      </c>
      <c r="C271" s="11" t="s">
        <v>2859</v>
      </c>
      <c r="D271" s="11">
        <v>3.8</v>
      </c>
      <c r="E271" s="59" t="s">
        <v>2814</v>
      </c>
      <c r="F271" s="59">
        <f>중기기초자료!D43</f>
        <v>1390</v>
      </c>
      <c r="G271" s="35">
        <f>TRUNC(F271*D271, 1)</f>
        <v>5282</v>
      </c>
      <c r="H271" s="11" t="s">
        <v>2859</v>
      </c>
      <c r="I271" s="11" t="s">
        <v>2859</v>
      </c>
      <c r="K271" s="11" t="s">
        <v>1030</v>
      </c>
      <c r="L271" s="11" t="s">
        <v>2859</v>
      </c>
      <c r="M271" s="11" t="s">
        <v>540</v>
      </c>
      <c r="AG271" s="34" t="str">
        <f>HYPERLINK("#40","M9366005 →")</f>
        <v>M9366005 →</v>
      </c>
    </row>
    <row r="272" spans="1:33" ht="18.399999999999999" customHeight="1" x14ac:dyDescent="0.15">
      <c r="B272" s="11" t="s">
        <v>2927</v>
      </c>
      <c r="C272" s="11" t="s">
        <v>2859</v>
      </c>
      <c r="D272" s="11">
        <v>39</v>
      </c>
      <c r="E272" s="59" t="s">
        <v>2928</v>
      </c>
      <c r="F272" s="59">
        <v>0</v>
      </c>
      <c r="G272" s="35">
        <f>TRUNC((G271) * D272/100, 1)</f>
        <v>2059.9</v>
      </c>
      <c r="H272" s="11" t="s">
        <v>2859</v>
      </c>
      <c r="I272" s="11" t="s">
        <v>2859</v>
      </c>
      <c r="K272" s="11" t="s">
        <v>267</v>
      </c>
      <c r="L272" s="11" t="s">
        <v>2859</v>
      </c>
      <c r="M272" s="11" t="s">
        <v>2929</v>
      </c>
      <c r="N272" s="11" t="s">
        <v>2859</v>
      </c>
      <c r="AG272" s="34" t="str">
        <f>HYPERLINK("#40","F/M1 →")</f>
        <v>F/M1 →</v>
      </c>
    </row>
    <row r="273" spans="1:33" ht="18.399999999999999" customHeight="1" x14ac:dyDescent="0.15">
      <c r="B273" s="11" t="s">
        <v>2445</v>
      </c>
      <c r="G273" s="33">
        <f>TRUNC(G271+G272, 0)</f>
        <v>7341</v>
      </c>
    </row>
    <row r="274" spans="1:33" ht="18.399999999999999" customHeight="1" x14ac:dyDescent="0.15">
      <c r="A274" s="11" t="s">
        <v>1175</v>
      </c>
      <c r="B274" s="11" t="s">
        <v>626</v>
      </c>
      <c r="C274" s="11" t="s">
        <v>1620</v>
      </c>
      <c r="D274" s="11">
        <v>1</v>
      </c>
      <c r="E274" s="35" t="s">
        <v>1688</v>
      </c>
      <c r="F274" s="35">
        <f>TRUNC(중기기초자료!E38 * 중기전역변수!C18, 1)</f>
        <v>56874.1</v>
      </c>
      <c r="G274" s="35">
        <f>TRUNC(F274*D274, 1)</f>
        <v>56874.1</v>
      </c>
      <c r="H274" s="11" t="s">
        <v>2859</v>
      </c>
      <c r="I274" s="11" t="s">
        <v>2859</v>
      </c>
      <c r="K274" s="11" t="s">
        <v>1624</v>
      </c>
      <c r="L274" s="11" t="s">
        <v>2859</v>
      </c>
      <c r="M274" s="11" t="s">
        <v>1653</v>
      </c>
      <c r="AG274" s="34" t="str">
        <f>HYPERLINK("#40","L086 →")</f>
        <v>L086 →</v>
      </c>
    </row>
    <row r="275" spans="1:33" ht="18.399999999999999" customHeight="1" x14ac:dyDescent="0.15">
      <c r="B275" s="11" t="s">
        <v>2445</v>
      </c>
      <c r="G275" s="33">
        <f>TRUNC(G274, 0)</f>
        <v>56874</v>
      </c>
    </row>
    <row r="276" spans="1:33" ht="18.399999999999999" customHeight="1" thickBot="1" x14ac:dyDescent="0.2">
      <c r="B276" s="11" t="s">
        <v>261</v>
      </c>
      <c r="G276" s="33">
        <f>TRUNC(G270+G273+G275, 0)</f>
        <v>94318</v>
      </c>
    </row>
    <row r="277" spans="1:33" ht="18.399999999999999" customHeight="1" thickTop="1" thickBot="1" x14ac:dyDescent="0.2">
      <c r="A277" s="6"/>
      <c r="B277" s="6"/>
      <c r="C277" s="6"/>
      <c r="D277" s="6"/>
      <c r="E277" s="6"/>
      <c r="F277" s="6"/>
      <c r="G277" s="6"/>
      <c r="H277" s="6"/>
    </row>
    <row r="278" spans="1:33" ht="18.399999999999999" customHeight="1" thickTop="1" thickBot="1" x14ac:dyDescent="0.2">
      <c r="A278" s="6" t="s">
        <v>2554</v>
      </c>
      <c r="B278" s="6" t="s">
        <v>1028</v>
      </c>
      <c r="C278" s="6"/>
      <c r="D278" s="6"/>
      <c r="E278" s="6"/>
      <c r="F278" s="6"/>
      <c r="G278" s="6"/>
      <c r="H278" s="6"/>
      <c r="I278" s="11" t="s">
        <v>2859</v>
      </c>
      <c r="J278" s="11" t="s">
        <v>2539</v>
      </c>
    </row>
    <row r="279" spans="1:33" ht="18.399999999999999" customHeight="1" thickTop="1" x14ac:dyDescent="0.15">
      <c r="A279" s="6" t="s">
        <v>780</v>
      </c>
      <c r="B279" s="6"/>
      <c r="C279" s="6"/>
      <c r="D279" s="6"/>
      <c r="E279" s="6"/>
      <c r="F279" s="6"/>
      <c r="G279" s="6"/>
      <c r="H279" s="6"/>
    </row>
    <row r="280" spans="1:33" ht="18.399999999999999" customHeight="1" x14ac:dyDescent="0.15">
      <c r="A280" s="32" t="s">
        <v>2172</v>
      </c>
      <c r="B280" s="32"/>
      <c r="C280" s="32" t="s">
        <v>1412</v>
      </c>
      <c r="D280" s="32" t="s">
        <v>73</v>
      </c>
      <c r="E280" s="32" t="s">
        <v>2682</v>
      </c>
      <c r="F280" s="32" t="s">
        <v>623</v>
      </c>
      <c r="G280" s="32" t="s">
        <v>352</v>
      </c>
      <c r="H280" s="32" t="s">
        <v>716</v>
      </c>
    </row>
    <row r="281" spans="1:33" ht="18.399999999999999" customHeight="1" x14ac:dyDescent="0.15">
      <c r="A281" s="11" t="s">
        <v>171</v>
      </c>
    </row>
    <row r="282" spans="1:33" ht="18.399999999999999" customHeight="1" x14ac:dyDescent="0.15">
      <c r="B282" s="11" t="s">
        <v>2445</v>
      </c>
    </row>
    <row r="283" spans="1:33" ht="18.399999999999999" customHeight="1" x14ac:dyDescent="0.15">
      <c r="A283" s="11" t="s">
        <v>1942</v>
      </c>
      <c r="B283" s="11" t="s">
        <v>452</v>
      </c>
      <c r="C283" s="11" t="s">
        <v>2859</v>
      </c>
      <c r="D283" s="11">
        <v>3.8</v>
      </c>
      <c r="E283" s="59" t="s">
        <v>2814</v>
      </c>
      <c r="F283" s="59">
        <f>중기기초자료!D43</f>
        <v>1390</v>
      </c>
      <c r="G283" s="35">
        <f>TRUNC(F283*D283, 1)</f>
        <v>5282</v>
      </c>
      <c r="H283" s="11" t="s">
        <v>2859</v>
      </c>
      <c r="I283" s="11" t="s">
        <v>2859</v>
      </c>
      <c r="K283" s="11" t="s">
        <v>1030</v>
      </c>
      <c r="L283" s="11" t="s">
        <v>2859</v>
      </c>
      <c r="M283" s="11" t="s">
        <v>540</v>
      </c>
      <c r="AG283" s="34" t="str">
        <f>HYPERLINK("#40","M9366005 →")</f>
        <v>M9366005 →</v>
      </c>
    </row>
    <row r="284" spans="1:33" ht="18.399999999999999" customHeight="1" x14ac:dyDescent="0.15">
      <c r="B284" s="11" t="s">
        <v>2927</v>
      </c>
      <c r="C284" s="11" t="s">
        <v>2859</v>
      </c>
      <c r="D284" s="11">
        <v>39</v>
      </c>
      <c r="E284" s="59" t="s">
        <v>2928</v>
      </c>
      <c r="F284" s="59">
        <v>0</v>
      </c>
      <c r="G284" s="35">
        <f>TRUNC((G283) * D284/100, 1)</f>
        <v>2059.9</v>
      </c>
      <c r="H284" s="11" t="s">
        <v>2859</v>
      </c>
      <c r="I284" s="11" t="s">
        <v>2859</v>
      </c>
      <c r="K284" s="11" t="s">
        <v>267</v>
      </c>
      <c r="L284" s="11" t="s">
        <v>2859</v>
      </c>
      <c r="M284" s="11" t="s">
        <v>2929</v>
      </c>
      <c r="N284" s="11" t="s">
        <v>2859</v>
      </c>
      <c r="AG284" s="34" t="str">
        <f>HYPERLINK("#40","F/M1 →")</f>
        <v>F/M1 →</v>
      </c>
    </row>
    <row r="285" spans="1:33" ht="18.399999999999999" customHeight="1" x14ac:dyDescent="0.15">
      <c r="B285" s="11" t="s">
        <v>2445</v>
      </c>
      <c r="G285" s="33">
        <f>TRUNC(G283+G284, 0)</f>
        <v>7341</v>
      </c>
    </row>
    <row r="286" spans="1:33" ht="18.399999999999999" customHeight="1" x14ac:dyDescent="0.15">
      <c r="A286" s="11" t="s">
        <v>1175</v>
      </c>
    </row>
    <row r="287" spans="1:33" ht="18.399999999999999" customHeight="1" x14ac:dyDescent="0.15">
      <c r="B287" s="11" t="s">
        <v>2445</v>
      </c>
    </row>
    <row r="288" spans="1:33" ht="18.399999999999999" customHeight="1" thickBot="1" x14ac:dyDescent="0.2">
      <c r="B288" s="11" t="s">
        <v>261</v>
      </c>
      <c r="G288" s="33">
        <f>TRUNC(G282+G285+G287, 0)</f>
        <v>7341</v>
      </c>
    </row>
    <row r="289" spans="1:33" ht="18.399999999999999" customHeight="1" thickTop="1" thickBot="1" x14ac:dyDescent="0.2">
      <c r="A289" s="6"/>
      <c r="B289" s="6"/>
      <c r="C289" s="6"/>
      <c r="D289" s="6"/>
      <c r="E289" s="6"/>
      <c r="F289" s="6"/>
      <c r="G289" s="6"/>
      <c r="H289" s="6"/>
    </row>
    <row r="290" spans="1:33" ht="18.399999999999999" customHeight="1" thickTop="1" thickBot="1" x14ac:dyDescent="0.2">
      <c r="A290" s="6" t="s">
        <v>2554</v>
      </c>
      <c r="B290" s="6" t="s">
        <v>384</v>
      </c>
      <c r="C290" s="6"/>
      <c r="D290" s="6"/>
      <c r="E290" s="6"/>
      <c r="F290" s="6"/>
      <c r="G290" s="6"/>
      <c r="H290" s="6"/>
      <c r="I290" s="11" t="s">
        <v>2859</v>
      </c>
      <c r="J290" s="11" t="s">
        <v>1023</v>
      </c>
    </row>
    <row r="291" spans="1:33" ht="18.399999999999999" customHeight="1" thickTop="1" x14ac:dyDescent="0.15">
      <c r="A291" s="6" t="s">
        <v>780</v>
      </c>
      <c r="B291" s="6" t="s">
        <v>2962</v>
      </c>
      <c r="C291" s="6"/>
      <c r="D291" s="6"/>
      <c r="E291" s="6"/>
      <c r="F291" s="6"/>
      <c r="G291" s="6"/>
      <c r="H291" s="6"/>
    </row>
    <row r="292" spans="1:33" ht="18.399999999999999" customHeight="1" x14ac:dyDescent="0.15">
      <c r="A292" s="32" t="s">
        <v>2172</v>
      </c>
      <c r="B292" s="32"/>
      <c r="C292" s="32" t="s">
        <v>1412</v>
      </c>
      <c r="D292" s="32" t="s">
        <v>73</v>
      </c>
      <c r="E292" s="32" t="s">
        <v>2682</v>
      </c>
      <c r="F292" s="32" t="s">
        <v>623</v>
      </c>
      <c r="G292" s="32" t="s">
        <v>352</v>
      </c>
      <c r="H292" s="32" t="s">
        <v>716</v>
      </c>
    </row>
    <row r="293" spans="1:33" ht="18.399999999999999" customHeight="1" x14ac:dyDescent="0.15">
      <c r="A293" s="11" t="s">
        <v>171</v>
      </c>
      <c r="B293" s="11" t="s">
        <v>521</v>
      </c>
      <c r="C293" s="11" t="s">
        <v>2483</v>
      </c>
      <c r="D293" s="11">
        <f>(1071 + 536 + 691)*10^-4</f>
        <v>0.2298</v>
      </c>
      <c r="E293" s="33" t="s">
        <v>338</v>
      </c>
      <c r="F293" s="33">
        <f>중기기초자료!F24</f>
        <v>131000</v>
      </c>
      <c r="G293" s="35">
        <f>TRUNC(F293*D293, 1)</f>
        <v>30103.8</v>
      </c>
      <c r="H293" s="11" t="s">
        <v>2859</v>
      </c>
      <c r="I293" s="11" t="s">
        <v>2859</v>
      </c>
      <c r="K293" s="11" t="s">
        <v>322</v>
      </c>
      <c r="L293" s="11" t="s">
        <v>2859</v>
      </c>
      <c r="M293" s="11" t="s">
        <v>2101</v>
      </c>
      <c r="N293" s="11" t="s">
        <v>2963</v>
      </c>
      <c r="AG293" s="34" t="str">
        <f>HYPERLINK("#40","G21040010 →")</f>
        <v>G21040010 →</v>
      </c>
    </row>
    <row r="294" spans="1:33" ht="18.399999999999999" customHeight="1" x14ac:dyDescent="0.15">
      <c r="B294" s="11" t="s">
        <v>2445</v>
      </c>
      <c r="G294" s="33">
        <f>TRUNC(G293, 0)</f>
        <v>30103</v>
      </c>
    </row>
    <row r="295" spans="1:33" ht="18.399999999999999" customHeight="1" x14ac:dyDescent="0.15">
      <c r="A295" s="11" t="s">
        <v>1942</v>
      </c>
    </row>
    <row r="296" spans="1:33" ht="18.399999999999999" customHeight="1" x14ac:dyDescent="0.15">
      <c r="B296" s="11" t="s">
        <v>2445</v>
      </c>
    </row>
    <row r="297" spans="1:33" ht="18.399999999999999" customHeight="1" x14ac:dyDescent="0.15">
      <c r="A297" s="11" t="s">
        <v>1175</v>
      </c>
      <c r="B297" s="11" t="s">
        <v>626</v>
      </c>
      <c r="C297" s="11" t="s">
        <v>1620</v>
      </c>
      <c r="D297" s="11">
        <v>1</v>
      </c>
      <c r="E297" s="35" t="s">
        <v>1688</v>
      </c>
      <c r="F297" s="35">
        <f>TRUNC(중기기초자료!E38 * 중기전역변수!C18, 1)</f>
        <v>56874.1</v>
      </c>
      <c r="G297" s="35">
        <f>TRUNC(F297*D297, 1)</f>
        <v>56874.1</v>
      </c>
      <c r="H297" s="11" t="s">
        <v>2859</v>
      </c>
      <c r="I297" s="11" t="s">
        <v>2762</v>
      </c>
      <c r="K297" s="11" t="s">
        <v>1624</v>
      </c>
      <c r="L297" s="11" t="s">
        <v>2859</v>
      </c>
      <c r="M297" s="11" t="s">
        <v>1653</v>
      </c>
      <c r="AG297" s="34" t="str">
        <f>HYPERLINK("#40","L086 →")</f>
        <v>L086 →</v>
      </c>
    </row>
    <row r="298" spans="1:33" ht="18.399999999999999" customHeight="1" x14ac:dyDescent="0.15">
      <c r="B298" s="11" t="s">
        <v>2445</v>
      </c>
      <c r="G298" s="33">
        <f>TRUNC(G297, 0)</f>
        <v>56874</v>
      </c>
    </row>
    <row r="299" spans="1:33" ht="18.399999999999999" customHeight="1" thickBot="1" x14ac:dyDescent="0.2">
      <c r="B299" s="11" t="s">
        <v>261</v>
      </c>
      <c r="G299" s="33">
        <f>TRUNC(G294+G296+G298, 0)</f>
        <v>86977</v>
      </c>
    </row>
    <row r="300" spans="1:33" ht="18.399999999999999" customHeight="1" thickTop="1" thickBot="1" x14ac:dyDescent="0.2">
      <c r="A300" s="6"/>
      <c r="B300" s="6"/>
      <c r="C300" s="6"/>
      <c r="D300" s="6"/>
      <c r="E300" s="6"/>
      <c r="F300" s="6"/>
      <c r="G300" s="6"/>
      <c r="H300" s="6"/>
    </row>
    <row r="301" spans="1:33" ht="18.399999999999999" customHeight="1" thickTop="1" thickBot="1" x14ac:dyDescent="0.2">
      <c r="A301" s="6" t="s">
        <v>2554</v>
      </c>
      <c r="B301" s="6" t="s">
        <v>20</v>
      </c>
      <c r="C301" s="6"/>
      <c r="D301" s="6"/>
      <c r="E301" s="6"/>
      <c r="F301" s="6"/>
      <c r="G301" s="6"/>
      <c r="H301" s="6"/>
      <c r="I301" s="11" t="s">
        <v>2859</v>
      </c>
      <c r="J301" s="11" t="s">
        <v>84</v>
      </c>
    </row>
    <row r="302" spans="1:33" ht="18.399999999999999" customHeight="1" thickTop="1" x14ac:dyDescent="0.15">
      <c r="A302" s="6" t="s">
        <v>780</v>
      </c>
      <c r="B302" s="6" t="s">
        <v>2964</v>
      </c>
      <c r="C302" s="6"/>
      <c r="D302" s="6"/>
      <c r="E302" s="6"/>
      <c r="F302" s="6"/>
      <c r="G302" s="6"/>
      <c r="H302" s="6"/>
    </row>
    <row r="303" spans="1:33" ht="18.399999999999999" customHeight="1" x14ac:dyDescent="0.15">
      <c r="A303" s="32" t="s">
        <v>2172</v>
      </c>
      <c r="B303" s="32"/>
      <c r="C303" s="32" t="s">
        <v>1412</v>
      </c>
      <c r="D303" s="32" t="s">
        <v>73</v>
      </c>
      <c r="E303" s="32" t="s">
        <v>2682</v>
      </c>
      <c r="F303" s="32" t="s">
        <v>623</v>
      </c>
      <c r="G303" s="32" t="s">
        <v>352</v>
      </c>
      <c r="H303" s="32" t="s">
        <v>716</v>
      </c>
    </row>
    <row r="304" spans="1:33" ht="18.399999999999999" customHeight="1" x14ac:dyDescent="0.15">
      <c r="A304" s="11" t="s">
        <v>171</v>
      </c>
      <c r="B304" s="11" t="s">
        <v>978</v>
      </c>
      <c r="C304" s="11" t="s">
        <v>288</v>
      </c>
      <c r="D304" s="11">
        <f>(1286 + 357 + 955)*10^-4</f>
        <v>0.25980000000000003</v>
      </c>
      <c r="E304" s="33" t="s">
        <v>338</v>
      </c>
      <c r="F304" s="33">
        <f>중기기초자료!F25</f>
        <v>38469</v>
      </c>
      <c r="G304" s="35">
        <f>TRUNC(F304*D304, 1)</f>
        <v>9994.2000000000007</v>
      </c>
      <c r="H304" s="11" t="s">
        <v>2859</v>
      </c>
      <c r="I304" s="11" t="s">
        <v>2859</v>
      </c>
      <c r="K304" s="11" t="s">
        <v>322</v>
      </c>
      <c r="L304" s="11" t="s">
        <v>2859</v>
      </c>
      <c r="M304" s="11" t="s">
        <v>2155</v>
      </c>
      <c r="N304" s="11" t="s">
        <v>2965</v>
      </c>
      <c r="AG304" s="34" t="str">
        <f>HYPERLINK("#40","G21050005 →")</f>
        <v>G21050005 →</v>
      </c>
    </row>
    <row r="305" spans="1:33" ht="18.399999999999999" customHeight="1" x14ac:dyDescent="0.15">
      <c r="B305" s="11" t="s">
        <v>2445</v>
      </c>
      <c r="G305" s="33">
        <f>TRUNC(G304, 0)</f>
        <v>9994</v>
      </c>
    </row>
    <row r="306" spans="1:33" ht="18.399999999999999" customHeight="1" x14ac:dyDescent="0.15">
      <c r="A306" s="11" t="s">
        <v>1942</v>
      </c>
      <c r="B306" s="11" t="s">
        <v>452</v>
      </c>
      <c r="C306" s="11" t="s">
        <v>2859</v>
      </c>
      <c r="D306" s="11">
        <v>5.0999999999999996</v>
      </c>
      <c r="E306" s="59" t="s">
        <v>2814</v>
      </c>
      <c r="F306" s="59">
        <f>중기기초자료!D43</f>
        <v>1390</v>
      </c>
      <c r="G306" s="35">
        <f>TRUNC(F306*D306, 1)</f>
        <v>7089</v>
      </c>
      <c r="H306" s="11" t="s">
        <v>2859</v>
      </c>
      <c r="I306" s="11" t="s">
        <v>2859</v>
      </c>
      <c r="K306" s="11" t="s">
        <v>1030</v>
      </c>
      <c r="L306" s="11" t="s">
        <v>2859</v>
      </c>
      <c r="M306" s="11" t="s">
        <v>540</v>
      </c>
      <c r="AG306" s="34" t="str">
        <f>HYPERLINK("#40","M9366005 →")</f>
        <v>M9366005 →</v>
      </c>
    </row>
    <row r="307" spans="1:33" ht="18.399999999999999" customHeight="1" x14ac:dyDescent="0.15">
      <c r="B307" s="11" t="s">
        <v>2927</v>
      </c>
      <c r="C307" s="11" t="s">
        <v>2859</v>
      </c>
      <c r="D307" s="11">
        <v>20</v>
      </c>
      <c r="E307" s="59" t="s">
        <v>2928</v>
      </c>
      <c r="F307" s="59">
        <v>0</v>
      </c>
      <c r="G307" s="35">
        <f>TRUNC((G306) * D307/100, 1)</f>
        <v>1417.8</v>
      </c>
      <c r="H307" s="11" t="s">
        <v>2859</v>
      </c>
      <c r="I307" s="11" t="s">
        <v>2859</v>
      </c>
      <c r="K307" s="11" t="s">
        <v>267</v>
      </c>
      <c r="L307" s="11" t="s">
        <v>2859</v>
      </c>
      <c r="M307" s="11" t="s">
        <v>2929</v>
      </c>
      <c r="N307" s="11" t="s">
        <v>2859</v>
      </c>
      <c r="AG307" s="34" t="str">
        <f>HYPERLINK("#40","F/M1 →")</f>
        <v>F/M1 →</v>
      </c>
    </row>
    <row r="308" spans="1:33" ht="18.399999999999999" customHeight="1" x14ac:dyDescent="0.15">
      <c r="B308" s="11" t="s">
        <v>2445</v>
      </c>
      <c r="G308" s="33">
        <f>TRUNC(G306+G307, 0)</f>
        <v>8506</v>
      </c>
    </row>
    <row r="309" spans="1:33" ht="18.399999999999999" customHeight="1" x14ac:dyDescent="0.15">
      <c r="A309" s="11" t="s">
        <v>1175</v>
      </c>
      <c r="B309" s="11" t="s">
        <v>197</v>
      </c>
      <c r="C309" s="11" t="s">
        <v>1611</v>
      </c>
      <c r="D309" s="11">
        <v>1</v>
      </c>
      <c r="E309" s="35" t="s">
        <v>1688</v>
      </c>
      <c r="F309" s="35">
        <f>TRUNC(중기기초자료!E39 * 중기전역변수!C18, 1)</f>
        <v>48741.599999999999</v>
      </c>
      <c r="G309" s="35">
        <f>TRUNC(F309*D309, 1)</f>
        <v>48741.599999999999</v>
      </c>
      <c r="H309" s="11" t="s">
        <v>2859</v>
      </c>
      <c r="I309" s="11" t="s">
        <v>2859</v>
      </c>
      <c r="K309" s="11" t="s">
        <v>1624</v>
      </c>
      <c r="L309" s="11" t="s">
        <v>2859</v>
      </c>
      <c r="M309" s="11" t="s">
        <v>26</v>
      </c>
      <c r="AG309" s="34" t="str">
        <f>HYPERLINK("#40","L087 →")</f>
        <v>L087 →</v>
      </c>
    </row>
    <row r="310" spans="1:33" ht="18.399999999999999" customHeight="1" x14ac:dyDescent="0.15">
      <c r="B310" s="11" t="s">
        <v>2445</v>
      </c>
      <c r="G310" s="33">
        <f>TRUNC(G309, 0)</f>
        <v>48741</v>
      </c>
    </row>
    <row r="311" spans="1:33" ht="18.399999999999999" customHeight="1" thickBot="1" x14ac:dyDescent="0.2">
      <c r="B311" s="11" t="s">
        <v>261</v>
      </c>
      <c r="G311" s="33">
        <f>TRUNC(G305+G308+G310, 0)</f>
        <v>67241</v>
      </c>
    </row>
    <row r="312" spans="1:33" ht="18.399999999999999" customHeight="1" thickTop="1" thickBot="1" x14ac:dyDescent="0.2">
      <c r="A312" s="6"/>
      <c r="B312" s="6"/>
      <c r="C312" s="6"/>
      <c r="D312" s="6"/>
      <c r="E312" s="6"/>
      <c r="F312" s="6"/>
      <c r="G312" s="6"/>
      <c r="H312" s="6"/>
    </row>
    <row r="313" spans="1:33" ht="18.399999999999999" customHeight="1" thickTop="1" thickBot="1" x14ac:dyDescent="0.2">
      <c r="A313" s="6" t="s">
        <v>2554</v>
      </c>
      <c r="B313" s="6" t="s">
        <v>350</v>
      </c>
      <c r="C313" s="6"/>
      <c r="D313" s="6"/>
      <c r="E313" s="6"/>
      <c r="F313" s="6"/>
      <c r="G313" s="6"/>
      <c r="H313" s="6"/>
      <c r="I313" s="11" t="s">
        <v>2859</v>
      </c>
      <c r="J313" s="11" t="s">
        <v>2191</v>
      </c>
    </row>
    <row r="314" spans="1:33" ht="18.399999999999999" customHeight="1" thickTop="1" x14ac:dyDescent="0.15">
      <c r="A314" s="6" t="s">
        <v>780</v>
      </c>
      <c r="B314" s="6" t="s">
        <v>2966</v>
      </c>
      <c r="C314" s="6"/>
      <c r="D314" s="6"/>
      <c r="E314" s="6"/>
      <c r="F314" s="6"/>
      <c r="G314" s="6"/>
      <c r="H314" s="6"/>
    </row>
    <row r="315" spans="1:33" ht="18.399999999999999" customHeight="1" x14ac:dyDescent="0.15">
      <c r="A315" s="32" t="s">
        <v>2172</v>
      </c>
      <c r="B315" s="32"/>
      <c r="C315" s="32" t="s">
        <v>1412</v>
      </c>
      <c r="D315" s="32" t="s">
        <v>73</v>
      </c>
      <c r="E315" s="32" t="s">
        <v>2682</v>
      </c>
      <c r="F315" s="32" t="s">
        <v>623</v>
      </c>
      <c r="G315" s="32" t="s">
        <v>352</v>
      </c>
      <c r="H315" s="32" t="s">
        <v>716</v>
      </c>
    </row>
    <row r="316" spans="1:33" ht="18.399999999999999" customHeight="1" x14ac:dyDescent="0.15">
      <c r="A316" s="11" t="s">
        <v>171</v>
      </c>
      <c r="B316" s="11" t="s">
        <v>1327</v>
      </c>
      <c r="C316" s="11" t="s">
        <v>2483</v>
      </c>
      <c r="D316" s="11">
        <f>(1286 + 357 + 955)*10^-4</f>
        <v>0.25980000000000003</v>
      </c>
      <c r="E316" s="33" t="s">
        <v>338</v>
      </c>
      <c r="F316" s="33">
        <f>중기기초자료!F26</f>
        <v>83693</v>
      </c>
      <c r="G316" s="35">
        <f>TRUNC(F316*D316, 1)</f>
        <v>21743.4</v>
      </c>
      <c r="H316" s="11" t="s">
        <v>2859</v>
      </c>
      <c r="I316" s="11" t="s">
        <v>2859</v>
      </c>
      <c r="K316" s="11" t="s">
        <v>322</v>
      </c>
      <c r="L316" s="11" t="s">
        <v>2859</v>
      </c>
      <c r="M316" s="11" t="s">
        <v>136</v>
      </c>
      <c r="N316" s="11" t="s">
        <v>2965</v>
      </c>
      <c r="AG316" s="34" t="str">
        <f>HYPERLINK("#40","G21050010 →")</f>
        <v>G21050010 →</v>
      </c>
    </row>
    <row r="317" spans="1:33" ht="18.399999999999999" customHeight="1" x14ac:dyDescent="0.15">
      <c r="B317" s="11" t="s">
        <v>2445</v>
      </c>
      <c r="G317" s="33">
        <f>TRUNC(G316, 0)</f>
        <v>21743</v>
      </c>
    </row>
    <row r="318" spans="1:33" ht="18.399999999999999" customHeight="1" x14ac:dyDescent="0.15">
      <c r="A318" s="11" t="s">
        <v>1942</v>
      </c>
      <c r="B318" s="11" t="s">
        <v>452</v>
      </c>
      <c r="C318" s="11" t="s">
        <v>2859</v>
      </c>
      <c r="D318" s="11">
        <v>10.3</v>
      </c>
      <c r="E318" s="59" t="s">
        <v>2814</v>
      </c>
      <c r="F318" s="59">
        <f>중기기초자료!D43</f>
        <v>1390</v>
      </c>
      <c r="G318" s="35">
        <f>TRUNC(F318*D318, 1)</f>
        <v>14317</v>
      </c>
      <c r="H318" s="11" t="s">
        <v>2859</v>
      </c>
      <c r="I318" s="11" t="s">
        <v>2859</v>
      </c>
      <c r="K318" s="11" t="s">
        <v>1030</v>
      </c>
      <c r="L318" s="11" t="s">
        <v>2859</v>
      </c>
      <c r="M318" s="11" t="s">
        <v>540</v>
      </c>
      <c r="AG318" s="34" t="str">
        <f>HYPERLINK("#40","M9366005 →")</f>
        <v>M9366005 →</v>
      </c>
    </row>
    <row r="319" spans="1:33" ht="18.399999999999999" customHeight="1" x14ac:dyDescent="0.15">
      <c r="B319" s="11" t="s">
        <v>2927</v>
      </c>
      <c r="C319" s="11" t="s">
        <v>2859</v>
      </c>
      <c r="D319" s="11">
        <v>20</v>
      </c>
      <c r="E319" s="59" t="s">
        <v>2928</v>
      </c>
      <c r="F319" s="59">
        <v>0</v>
      </c>
      <c r="G319" s="35">
        <f>TRUNC((G318) * D319/100, 1)</f>
        <v>2863.4</v>
      </c>
      <c r="H319" s="11" t="s">
        <v>2859</v>
      </c>
      <c r="I319" s="11" t="s">
        <v>2859</v>
      </c>
      <c r="K319" s="11" t="s">
        <v>267</v>
      </c>
      <c r="L319" s="11" t="s">
        <v>2859</v>
      </c>
      <c r="M319" s="11" t="s">
        <v>2929</v>
      </c>
      <c r="N319" s="11" t="s">
        <v>2859</v>
      </c>
      <c r="AG319" s="34" t="str">
        <f>HYPERLINK("#40","F/M1 →")</f>
        <v>F/M1 →</v>
      </c>
    </row>
    <row r="320" spans="1:33" ht="18.399999999999999" customHeight="1" x14ac:dyDescent="0.15">
      <c r="B320" s="11" t="s">
        <v>2445</v>
      </c>
      <c r="G320" s="33">
        <f>TRUNC(G318+G319, 0)</f>
        <v>17180</v>
      </c>
    </row>
    <row r="321" spans="1:33" ht="18.399999999999999" customHeight="1" x14ac:dyDescent="0.15">
      <c r="A321" s="11" t="s">
        <v>1175</v>
      </c>
      <c r="B321" s="11" t="s">
        <v>197</v>
      </c>
      <c r="C321" s="11" t="s">
        <v>1611</v>
      </c>
      <c r="D321" s="11">
        <v>1</v>
      </c>
      <c r="E321" s="35" t="s">
        <v>1688</v>
      </c>
      <c r="F321" s="35">
        <f>TRUNC(중기기초자료!E39 * 중기전역변수!C18, 1)</f>
        <v>48741.599999999999</v>
      </c>
      <c r="G321" s="35">
        <f>TRUNC(F321*D321, 1)</f>
        <v>48741.599999999999</v>
      </c>
      <c r="H321" s="11" t="s">
        <v>2859</v>
      </c>
      <c r="I321" s="11" t="s">
        <v>2859</v>
      </c>
      <c r="K321" s="11" t="s">
        <v>1624</v>
      </c>
      <c r="L321" s="11" t="s">
        <v>2859</v>
      </c>
      <c r="M321" s="11" t="s">
        <v>26</v>
      </c>
      <c r="AG321" s="34" t="str">
        <f>HYPERLINK("#40","L087 →")</f>
        <v>L087 →</v>
      </c>
    </row>
    <row r="322" spans="1:33" ht="18.399999999999999" customHeight="1" x14ac:dyDescent="0.15">
      <c r="B322" s="11" t="s">
        <v>2445</v>
      </c>
      <c r="G322" s="33">
        <f>TRUNC(G321, 0)</f>
        <v>48741</v>
      </c>
    </row>
    <row r="323" spans="1:33" ht="18.399999999999999" customHeight="1" thickBot="1" x14ac:dyDescent="0.2">
      <c r="B323" s="11" t="s">
        <v>261</v>
      </c>
      <c r="G323" s="33">
        <f>TRUNC(G317+G320+G322, 0)</f>
        <v>87664</v>
      </c>
    </row>
    <row r="324" spans="1:33" ht="18.399999999999999" customHeight="1" thickTop="1" thickBot="1" x14ac:dyDescent="0.2">
      <c r="A324" s="6"/>
      <c r="B324" s="6"/>
      <c r="C324" s="6"/>
      <c r="D324" s="6"/>
      <c r="E324" s="6"/>
      <c r="F324" s="6"/>
      <c r="G324" s="6"/>
      <c r="H324" s="6"/>
    </row>
    <row r="325" spans="1:33" ht="18.399999999999999" customHeight="1" thickTop="1" thickBot="1" x14ac:dyDescent="0.2">
      <c r="A325" s="6" t="s">
        <v>2554</v>
      </c>
      <c r="B325" s="6" t="s">
        <v>1139</v>
      </c>
      <c r="C325" s="6"/>
      <c r="D325" s="6"/>
      <c r="E325" s="6"/>
      <c r="F325" s="6"/>
      <c r="G325" s="6"/>
      <c r="H325" s="6"/>
      <c r="I325" s="11" t="s">
        <v>2859</v>
      </c>
      <c r="J325" s="11" t="s">
        <v>811</v>
      </c>
    </row>
    <row r="326" spans="1:33" ht="18.399999999999999" customHeight="1" thickTop="1" x14ac:dyDescent="0.15">
      <c r="A326" s="6" t="s">
        <v>780</v>
      </c>
      <c r="B326" s="6" t="s">
        <v>2967</v>
      </c>
      <c r="C326" s="6"/>
      <c r="D326" s="6"/>
      <c r="E326" s="6"/>
      <c r="F326" s="6"/>
      <c r="G326" s="6"/>
      <c r="H326" s="6"/>
    </row>
    <row r="327" spans="1:33" ht="18.399999999999999" customHeight="1" x14ac:dyDescent="0.15">
      <c r="A327" s="32" t="s">
        <v>2172</v>
      </c>
      <c r="B327" s="32"/>
      <c r="C327" s="32" t="s">
        <v>1412</v>
      </c>
      <c r="D327" s="32" t="s">
        <v>73</v>
      </c>
      <c r="E327" s="32" t="s">
        <v>2682</v>
      </c>
      <c r="F327" s="32" t="s">
        <v>623</v>
      </c>
      <c r="G327" s="32" t="s">
        <v>352</v>
      </c>
      <c r="H327" s="32" t="s">
        <v>716</v>
      </c>
    </row>
    <row r="328" spans="1:33" ht="18.399999999999999" customHeight="1" x14ac:dyDescent="0.15">
      <c r="A328" s="11" t="s">
        <v>171</v>
      </c>
      <c r="B328" s="11" t="s">
        <v>1327</v>
      </c>
      <c r="C328" s="11" t="s">
        <v>1921</v>
      </c>
      <c r="D328" s="11">
        <f>(1286 + 357 + 955)*10^-4</f>
        <v>0.25980000000000003</v>
      </c>
      <c r="E328" s="33" t="s">
        <v>338</v>
      </c>
      <c r="F328" s="33">
        <f>중기기초자료!F27</f>
        <v>108264</v>
      </c>
      <c r="G328" s="35">
        <f>TRUNC(F328*D328, 1)</f>
        <v>28126.9</v>
      </c>
      <c r="H328" s="11" t="s">
        <v>2859</v>
      </c>
      <c r="I328" s="11" t="s">
        <v>2859</v>
      </c>
      <c r="K328" s="11" t="s">
        <v>322</v>
      </c>
      <c r="L328" s="11" t="s">
        <v>2859</v>
      </c>
      <c r="M328" s="11" t="s">
        <v>1465</v>
      </c>
      <c r="N328" s="11" t="s">
        <v>2965</v>
      </c>
      <c r="AG328" s="34" t="str">
        <f>HYPERLINK("#40","G21050015 →")</f>
        <v>G21050015 →</v>
      </c>
    </row>
    <row r="329" spans="1:33" ht="18.399999999999999" customHeight="1" x14ac:dyDescent="0.15">
      <c r="B329" s="11" t="s">
        <v>2445</v>
      </c>
      <c r="G329" s="33">
        <f>TRUNC(G328, 0)</f>
        <v>28126</v>
      </c>
    </row>
    <row r="330" spans="1:33" ht="18.399999999999999" customHeight="1" x14ac:dyDescent="0.15">
      <c r="A330" s="11" t="s">
        <v>1942</v>
      </c>
      <c r="B330" s="11" t="s">
        <v>452</v>
      </c>
      <c r="C330" s="11" t="s">
        <v>2859</v>
      </c>
      <c r="D330" s="11">
        <v>11</v>
      </c>
      <c r="E330" s="59" t="s">
        <v>2814</v>
      </c>
      <c r="F330" s="59">
        <f>중기기초자료!D43</f>
        <v>1390</v>
      </c>
      <c r="G330" s="35">
        <f>TRUNC(F330*D330, 1)</f>
        <v>15290</v>
      </c>
      <c r="H330" s="11" t="s">
        <v>2859</v>
      </c>
      <c r="I330" s="11" t="s">
        <v>2859</v>
      </c>
      <c r="K330" s="11" t="s">
        <v>1030</v>
      </c>
      <c r="L330" s="11" t="s">
        <v>2859</v>
      </c>
      <c r="M330" s="11" t="s">
        <v>540</v>
      </c>
      <c r="AG330" s="34" t="str">
        <f>HYPERLINK("#40","M9366005 →")</f>
        <v>M9366005 →</v>
      </c>
    </row>
    <row r="331" spans="1:33" ht="18.399999999999999" customHeight="1" x14ac:dyDescent="0.15">
      <c r="B331" s="11" t="s">
        <v>2927</v>
      </c>
      <c r="C331" s="11" t="s">
        <v>2859</v>
      </c>
      <c r="D331" s="11">
        <v>20</v>
      </c>
      <c r="E331" s="59" t="s">
        <v>2928</v>
      </c>
      <c r="F331" s="59">
        <v>0</v>
      </c>
      <c r="G331" s="35">
        <f>TRUNC((G330) * D331/100, 1)</f>
        <v>3058</v>
      </c>
      <c r="H331" s="11" t="s">
        <v>2859</v>
      </c>
      <c r="I331" s="11" t="s">
        <v>2859</v>
      </c>
      <c r="K331" s="11" t="s">
        <v>267</v>
      </c>
      <c r="L331" s="11" t="s">
        <v>2859</v>
      </c>
      <c r="M331" s="11" t="s">
        <v>2929</v>
      </c>
      <c r="N331" s="11" t="s">
        <v>2859</v>
      </c>
      <c r="AG331" s="34" t="str">
        <f>HYPERLINK("#40","F/M1 →")</f>
        <v>F/M1 →</v>
      </c>
    </row>
    <row r="332" spans="1:33" ht="18.399999999999999" customHeight="1" x14ac:dyDescent="0.15">
      <c r="B332" s="11" t="s">
        <v>2445</v>
      </c>
      <c r="G332" s="33">
        <f>TRUNC(G330+G331, 0)</f>
        <v>18348</v>
      </c>
    </row>
    <row r="333" spans="1:33" ht="18.399999999999999" customHeight="1" x14ac:dyDescent="0.15">
      <c r="A333" s="11" t="s">
        <v>1175</v>
      </c>
      <c r="B333" s="11" t="s">
        <v>197</v>
      </c>
      <c r="C333" s="11" t="s">
        <v>1611</v>
      </c>
      <c r="D333" s="11">
        <v>1</v>
      </c>
      <c r="E333" s="35" t="s">
        <v>1688</v>
      </c>
      <c r="F333" s="35">
        <f>TRUNC(중기기초자료!E39 * 중기전역변수!C18, 1)</f>
        <v>48741.599999999999</v>
      </c>
      <c r="G333" s="35">
        <f>TRUNC(F333*D333, 1)</f>
        <v>48741.599999999999</v>
      </c>
      <c r="H333" s="11" t="s">
        <v>2859</v>
      </c>
      <c r="I333" s="11" t="s">
        <v>2859</v>
      </c>
      <c r="K333" s="11" t="s">
        <v>1624</v>
      </c>
      <c r="L333" s="11" t="s">
        <v>2859</v>
      </c>
      <c r="M333" s="11" t="s">
        <v>26</v>
      </c>
      <c r="AG333" s="34" t="str">
        <f>HYPERLINK("#40","L087 →")</f>
        <v>L087 →</v>
      </c>
    </row>
    <row r="334" spans="1:33" ht="18.399999999999999" customHeight="1" x14ac:dyDescent="0.15">
      <c r="B334" s="11" t="s">
        <v>2445</v>
      </c>
      <c r="G334" s="33">
        <f>TRUNC(G333, 0)</f>
        <v>48741</v>
      </c>
    </row>
    <row r="335" spans="1:33" ht="18.399999999999999" customHeight="1" thickBot="1" x14ac:dyDescent="0.2">
      <c r="B335" s="11" t="s">
        <v>261</v>
      </c>
      <c r="G335" s="33">
        <f>TRUNC(G329+G332+G334, 0)</f>
        <v>95215</v>
      </c>
    </row>
    <row r="336" spans="1:33" ht="18.399999999999999" customHeight="1" thickTop="1" thickBot="1" x14ac:dyDescent="0.2">
      <c r="A336" s="6"/>
      <c r="B336" s="6"/>
      <c r="C336" s="6"/>
      <c r="D336" s="6"/>
      <c r="E336" s="6"/>
      <c r="F336" s="6"/>
      <c r="G336" s="6"/>
      <c r="H336" s="6"/>
    </row>
    <row r="337" spans="1:33" ht="18.399999999999999" customHeight="1" thickTop="1" thickBot="1" x14ac:dyDescent="0.2">
      <c r="A337" s="6" t="s">
        <v>2554</v>
      </c>
      <c r="B337" s="6" t="s">
        <v>1216</v>
      </c>
      <c r="C337" s="6"/>
      <c r="D337" s="6"/>
      <c r="E337" s="6"/>
      <c r="F337" s="6"/>
      <c r="G337" s="6"/>
      <c r="H337" s="6"/>
      <c r="I337" s="11" t="s">
        <v>2859</v>
      </c>
      <c r="J337" s="11" t="s">
        <v>2060</v>
      </c>
    </row>
    <row r="338" spans="1:33" ht="18.399999999999999" customHeight="1" thickTop="1" x14ac:dyDescent="0.15">
      <c r="A338" s="6" t="s">
        <v>780</v>
      </c>
      <c r="B338" s="6"/>
      <c r="C338" s="6"/>
      <c r="D338" s="6"/>
      <c r="E338" s="6"/>
      <c r="F338" s="6"/>
      <c r="G338" s="6"/>
      <c r="H338" s="6"/>
    </row>
    <row r="339" spans="1:33" ht="18.399999999999999" customHeight="1" x14ac:dyDescent="0.15">
      <c r="A339" s="32" t="s">
        <v>2172</v>
      </c>
      <c r="B339" s="32"/>
      <c r="C339" s="32" t="s">
        <v>1412</v>
      </c>
      <c r="D339" s="32" t="s">
        <v>73</v>
      </c>
      <c r="E339" s="32" t="s">
        <v>2682</v>
      </c>
      <c r="F339" s="32" t="s">
        <v>623</v>
      </c>
      <c r="G339" s="32" t="s">
        <v>352</v>
      </c>
      <c r="H339" s="32" t="s">
        <v>716</v>
      </c>
    </row>
    <row r="340" spans="1:33" ht="18.399999999999999" customHeight="1" x14ac:dyDescent="0.15">
      <c r="A340" s="11" t="s">
        <v>171</v>
      </c>
    </row>
    <row r="341" spans="1:33" ht="18.399999999999999" customHeight="1" x14ac:dyDescent="0.15">
      <c r="B341" s="11" t="s">
        <v>2445</v>
      </c>
    </row>
    <row r="342" spans="1:33" ht="18.399999999999999" customHeight="1" x14ac:dyDescent="0.15">
      <c r="A342" s="11" t="s">
        <v>1942</v>
      </c>
      <c r="B342" s="11" t="s">
        <v>452</v>
      </c>
      <c r="C342" s="11" t="s">
        <v>2859</v>
      </c>
      <c r="D342" s="11">
        <v>16.5</v>
      </c>
      <c r="E342" s="59" t="s">
        <v>2814</v>
      </c>
      <c r="F342" s="59">
        <f>중기기초자료!D43</f>
        <v>1390</v>
      </c>
      <c r="G342" s="35">
        <f>TRUNC(F342*D342, 1)</f>
        <v>22935</v>
      </c>
      <c r="H342" s="11" t="s">
        <v>2859</v>
      </c>
      <c r="I342" s="11" t="s">
        <v>2859</v>
      </c>
      <c r="K342" s="11" t="s">
        <v>1030</v>
      </c>
      <c r="L342" s="11" t="s">
        <v>2859</v>
      </c>
      <c r="M342" s="11" t="s">
        <v>540</v>
      </c>
      <c r="AG342" s="34" t="str">
        <f>HYPERLINK("#40","M9366005 →")</f>
        <v>M9366005 →</v>
      </c>
    </row>
    <row r="343" spans="1:33" ht="18.399999999999999" customHeight="1" x14ac:dyDescent="0.15">
      <c r="B343" s="11" t="s">
        <v>2927</v>
      </c>
      <c r="C343" s="11" t="s">
        <v>2859</v>
      </c>
      <c r="D343" s="11">
        <v>39</v>
      </c>
      <c r="E343" s="59" t="s">
        <v>2928</v>
      </c>
      <c r="F343" s="59">
        <v>0</v>
      </c>
      <c r="G343" s="35">
        <f>TRUNC((G342) * D343/100, 1)</f>
        <v>8944.6</v>
      </c>
      <c r="H343" s="11" t="s">
        <v>2859</v>
      </c>
      <c r="I343" s="11" t="s">
        <v>2859</v>
      </c>
      <c r="K343" s="11" t="s">
        <v>267</v>
      </c>
      <c r="L343" s="11" t="s">
        <v>2859</v>
      </c>
      <c r="M343" s="11" t="s">
        <v>2929</v>
      </c>
      <c r="N343" s="11" t="s">
        <v>2859</v>
      </c>
      <c r="AG343" s="34" t="str">
        <f>HYPERLINK("#40","F/M1 →")</f>
        <v>F/M1 →</v>
      </c>
    </row>
    <row r="344" spans="1:33" ht="18.399999999999999" customHeight="1" x14ac:dyDescent="0.15">
      <c r="B344" s="11" t="s">
        <v>2445</v>
      </c>
      <c r="G344" s="33">
        <f>TRUNC(G342+G343, 0)</f>
        <v>31879</v>
      </c>
    </row>
    <row r="345" spans="1:33" ht="18.399999999999999" customHeight="1" x14ac:dyDescent="0.15">
      <c r="A345" s="11" t="s">
        <v>1175</v>
      </c>
    </row>
    <row r="346" spans="1:33" ht="18.399999999999999" customHeight="1" x14ac:dyDescent="0.15">
      <c r="B346" s="11" t="s">
        <v>2445</v>
      </c>
    </row>
    <row r="347" spans="1:33" ht="18.399999999999999" customHeight="1" thickBot="1" x14ac:dyDescent="0.2">
      <c r="B347" s="11" t="s">
        <v>261</v>
      </c>
      <c r="G347" s="33">
        <f>TRUNC(G341+G344+G346, 0)</f>
        <v>31879</v>
      </c>
    </row>
    <row r="348" spans="1:33" ht="18.399999999999999" customHeight="1" thickTop="1" thickBot="1" x14ac:dyDescent="0.2">
      <c r="A348" s="6"/>
      <c r="B348" s="6"/>
      <c r="C348" s="6"/>
      <c r="D348" s="6"/>
      <c r="E348" s="6"/>
      <c r="F348" s="6"/>
      <c r="G348" s="6"/>
      <c r="H348" s="6"/>
    </row>
    <row r="349" spans="1:33" ht="18.399999999999999" customHeight="1" thickTop="1" thickBot="1" x14ac:dyDescent="0.2">
      <c r="A349" s="6" t="s">
        <v>2554</v>
      </c>
      <c r="B349" s="6" t="s">
        <v>2202</v>
      </c>
      <c r="C349" s="6"/>
      <c r="D349" s="6"/>
      <c r="E349" s="6"/>
      <c r="F349" s="6"/>
      <c r="G349" s="6"/>
      <c r="H349" s="6"/>
      <c r="I349" s="11" t="s">
        <v>2859</v>
      </c>
      <c r="J349" s="11" t="s">
        <v>39</v>
      </c>
    </row>
    <row r="350" spans="1:33" ht="18.399999999999999" customHeight="1" thickTop="1" x14ac:dyDescent="0.15">
      <c r="A350" s="6" t="s">
        <v>780</v>
      </c>
      <c r="B350" s="6" t="s">
        <v>2968</v>
      </c>
      <c r="C350" s="6"/>
      <c r="D350" s="6"/>
      <c r="E350" s="6"/>
      <c r="F350" s="6"/>
      <c r="G350" s="6"/>
      <c r="H350" s="6"/>
    </row>
    <row r="351" spans="1:33" ht="18.399999999999999" customHeight="1" x14ac:dyDescent="0.15">
      <c r="A351" s="32" t="s">
        <v>2172</v>
      </c>
      <c r="B351" s="32"/>
      <c r="C351" s="32" t="s">
        <v>1412</v>
      </c>
      <c r="D351" s="32" t="s">
        <v>73</v>
      </c>
      <c r="E351" s="32" t="s">
        <v>2682</v>
      </c>
      <c r="F351" s="32" t="s">
        <v>623</v>
      </c>
      <c r="G351" s="32" t="s">
        <v>352</v>
      </c>
      <c r="H351" s="32" t="s">
        <v>716</v>
      </c>
    </row>
    <row r="352" spans="1:33" ht="18.399999999999999" customHeight="1" x14ac:dyDescent="0.15">
      <c r="A352" s="11" t="s">
        <v>171</v>
      </c>
      <c r="B352" s="11" t="s">
        <v>2323</v>
      </c>
      <c r="C352" s="11" t="s">
        <v>1299</v>
      </c>
      <c r="D352" s="11">
        <f>(1286 + 786 + 504)*10^-4</f>
        <v>0.2576</v>
      </c>
      <c r="E352" s="33" t="s">
        <v>338</v>
      </c>
      <c r="F352" s="33">
        <f>중기기초자료!F28</f>
        <v>63483</v>
      </c>
      <c r="G352" s="35">
        <f>TRUNC(F352*D352, 1)</f>
        <v>16353.2</v>
      </c>
      <c r="H352" s="11" t="s">
        <v>2859</v>
      </c>
      <c r="I352" s="11" t="s">
        <v>2859</v>
      </c>
      <c r="K352" s="11" t="s">
        <v>322</v>
      </c>
      <c r="L352" s="11" t="s">
        <v>2859</v>
      </c>
      <c r="M352" s="11" t="s">
        <v>2572</v>
      </c>
      <c r="N352" s="11" t="s">
        <v>2969</v>
      </c>
      <c r="AG352" s="34" t="str">
        <f>HYPERLINK("#40","G27020020 →")</f>
        <v>G27020020 →</v>
      </c>
    </row>
    <row r="353" spans="1:33" ht="18.399999999999999" customHeight="1" x14ac:dyDescent="0.15">
      <c r="B353" s="11" t="s">
        <v>2445</v>
      </c>
      <c r="G353" s="33">
        <f>TRUNC(G352, 0)</f>
        <v>16353</v>
      </c>
    </row>
    <row r="354" spans="1:33" ht="18.399999999999999" customHeight="1" x14ac:dyDescent="0.15">
      <c r="A354" s="11" t="s">
        <v>1942</v>
      </c>
    </row>
    <row r="355" spans="1:33" ht="18.399999999999999" customHeight="1" x14ac:dyDescent="0.15">
      <c r="B355" s="11" t="s">
        <v>2445</v>
      </c>
    </row>
    <row r="356" spans="1:33" ht="18.399999999999999" customHeight="1" x14ac:dyDescent="0.15">
      <c r="A356" s="11" t="s">
        <v>1175</v>
      </c>
      <c r="B356" s="11" t="s">
        <v>626</v>
      </c>
      <c r="C356" s="11" t="s">
        <v>1620</v>
      </c>
      <c r="D356" s="11">
        <v>1</v>
      </c>
      <c r="E356" s="35" t="s">
        <v>1688</v>
      </c>
      <c r="F356" s="35">
        <f>TRUNC(중기기초자료!E38 * 중기전역변수!C18, 1)</f>
        <v>56874.1</v>
      </c>
      <c r="G356" s="35">
        <f>TRUNC(F356*D356, 1)</f>
        <v>56874.1</v>
      </c>
      <c r="H356" s="11" t="s">
        <v>2859</v>
      </c>
      <c r="I356" s="11" t="s">
        <v>2762</v>
      </c>
      <c r="K356" s="11" t="s">
        <v>1624</v>
      </c>
      <c r="L356" s="11" t="s">
        <v>2859</v>
      </c>
      <c r="M356" s="11" t="s">
        <v>1653</v>
      </c>
      <c r="AG356" s="34" t="str">
        <f>HYPERLINK("#40","L086 →")</f>
        <v>L086 →</v>
      </c>
    </row>
    <row r="357" spans="1:33" ht="18.399999999999999" customHeight="1" x14ac:dyDescent="0.15">
      <c r="B357" s="11" t="s">
        <v>2445</v>
      </c>
      <c r="G357" s="33">
        <f>TRUNC(G356, 0)</f>
        <v>56874</v>
      </c>
    </row>
    <row r="358" spans="1:33" ht="18.399999999999999" customHeight="1" thickBot="1" x14ac:dyDescent="0.2">
      <c r="B358" s="11" t="s">
        <v>261</v>
      </c>
      <c r="G358" s="33">
        <f>TRUNC(G353+G355+G357, 0)</f>
        <v>73227</v>
      </c>
    </row>
    <row r="359" spans="1:33" ht="18.399999999999999" customHeight="1" thickTop="1" thickBot="1" x14ac:dyDescent="0.2">
      <c r="A359" s="6"/>
      <c r="B359" s="6"/>
      <c r="C359" s="6"/>
      <c r="D359" s="6"/>
      <c r="E359" s="6"/>
      <c r="F359" s="6"/>
      <c r="G359" s="6"/>
      <c r="H359" s="6"/>
    </row>
    <row r="360" spans="1:33" ht="18.399999999999999" customHeight="1" thickTop="1" thickBot="1" x14ac:dyDescent="0.2">
      <c r="A360" s="6" t="s">
        <v>2554</v>
      </c>
      <c r="B360" s="6" t="s">
        <v>349</v>
      </c>
      <c r="C360" s="6"/>
      <c r="D360" s="6"/>
      <c r="E360" s="6"/>
      <c r="F360" s="6"/>
      <c r="G360" s="6"/>
      <c r="H360" s="6"/>
      <c r="I360" s="11" t="s">
        <v>2859</v>
      </c>
      <c r="J360" s="11" t="s">
        <v>2843</v>
      </c>
    </row>
    <row r="361" spans="1:33" ht="18.399999999999999" customHeight="1" thickTop="1" x14ac:dyDescent="0.15">
      <c r="A361" s="6" t="s">
        <v>780</v>
      </c>
      <c r="B361" s="6" t="s">
        <v>2970</v>
      </c>
      <c r="C361" s="6"/>
      <c r="D361" s="6"/>
      <c r="E361" s="6"/>
      <c r="F361" s="6"/>
      <c r="G361" s="6"/>
      <c r="H361" s="6"/>
    </row>
    <row r="362" spans="1:33" ht="18.399999999999999" customHeight="1" x14ac:dyDescent="0.15">
      <c r="A362" s="32" t="s">
        <v>2172</v>
      </c>
      <c r="B362" s="32"/>
      <c r="C362" s="32" t="s">
        <v>1412</v>
      </c>
      <c r="D362" s="32" t="s">
        <v>73</v>
      </c>
      <c r="E362" s="32" t="s">
        <v>2682</v>
      </c>
      <c r="F362" s="32" t="s">
        <v>623</v>
      </c>
      <c r="G362" s="32" t="s">
        <v>352</v>
      </c>
      <c r="H362" s="32" t="s">
        <v>716</v>
      </c>
    </row>
    <row r="363" spans="1:33" ht="18.399999999999999" customHeight="1" x14ac:dyDescent="0.15">
      <c r="A363" s="11" t="s">
        <v>171</v>
      </c>
      <c r="B363" s="11" t="s">
        <v>881</v>
      </c>
      <c r="C363" s="11" t="s">
        <v>1901</v>
      </c>
      <c r="D363" s="11">
        <f>(1125 + 563 + 674)*10^-4</f>
        <v>0.23620000000000002</v>
      </c>
      <c r="E363" s="33" t="s">
        <v>338</v>
      </c>
      <c r="F363" s="33">
        <f>중기기초자료!F29</f>
        <v>226673</v>
      </c>
      <c r="G363" s="35">
        <f>TRUNC(F363*D363, 1)</f>
        <v>53540.1</v>
      </c>
      <c r="H363" s="11" t="s">
        <v>2859</v>
      </c>
      <c r="I363" s="11" t="s">
        <v>2859</v>
      </c>
      <c r="K363" s="11" t="s">
        <v>322</v>
      </c>
      <c r="L363" s="11" t="s">
        <v>2859</v>
      </c>
      <c r="M363" s="11" t="s">
        <v>561</v>
      </c>
      <c r="N363" s="11" t="s">
        <v>2971</v>
      </c>
      <c r="AG363" s="34" t="str">
        <f>HYPERLINK("#40","G32010003 →")</f>
        <v>G32010003 →</v>
      </c>
    </row>
    <row r="364" spans="1:33" ht="18.399999999999999" customHeight="1" x14ac:dyDescent="0.15">
      <c r="B364" s="11" t="s">
        <v>2445</v>
      </c>
      <c r="G364" s="33">
        <f>TRUNC(G363, 0)</f>
        <v>53540</v>
      </c>
    </row>
    <row r="365" spans="1:33" ht="18.399999999999999" customHeight="1" x14ac:dyDescent="0.15">
      <c r="A365" s="11" t="s">
        <v>1942</v>
      </c>
      <c r="B365" s="11" t="s">
        <v>452</v>
      </c>
      <c r="C365" s="11" t="s">
        <v>2859</v>
      </c>
      <c r="D365" s="11">
        <v>13</v>
      </c>
      <c r="E365" s="59" t="s">
        <v>2814</v>
      </c>
      <c r="F365" s="59">
        <f>중기기초자료!D43</f>
        <v>1390</v>
      </c>
      <c r="G365" s="35">
        <f>TRUNC(F365*D365, 1)</f>
        <v>18070</v>
      </c>
      <c r="H365" s="11" t="s">
        <v>2859</v>
      </c>
      <c r="I365" s="11" t="s">
        <v>2859</v>
      </c>
      <c r="K365" s="11" t="s">
        <v>1030</v>
      </c>
      <c r="L365" s="11" t="s">
        <v>2859</v>
      </c>
      <c r="M365" s="11" t="s">
        <v>540</v>
      </c>
      <c r="AG365" s="34" t="str">
        <f>HYPERLINK("#40","M9366005 →")</f>
        <v>M9366005 →</v>
      </c>
    </row>
    <row r="366" spans="1:33" ht="18.399999999999999" customHeight="1" x14ac:dyDescent="0.15">
      <c r="B366" s="11" t="s">
        <v>2927</v>
      </c>
      <c r="C366" s="11" t="s">
        <v>2859</v>
      </c>
      <c r="D366" s="11">
        <v>7</v>
      </c>
      <c r="E366" s="59" t="s">
        <v>2928</v>
      </c>
      <c r="F366" s="59">
        <v>0</v>
      </c>
      <c r="G366" s="35">
        <f>TRUNC((G365) * D366/100, 1)</f>
        <v>1264.9000000000001</v>
      </c>
      <c r="H366" s="11" t="s">
        <v>2859</v>
      </c>
      <c r="I366" s="11" t="s">
        <v>2859</v>
      </c>
      <c r="K366" s="11" t="s">
        <v>267</v>
      </c>
      <c r="L366" s="11" t="s">
        <v>2859</v>
      </c>
      <c r="M366" s="11" t="s">
        <v>2929</v>
      </c>
      <c r="N366" s="11" t="s">
        <v>2859</v>
      </c>
      <c r="AG366" s="34" t="str">
        <f>HYPERLINK("#40","F/M1 →")</f>
        <v>F/M1 →</v>
      </c>
    </row>
    <row r="367" spans="1:33" ht="18.399999999999999" customHeight="1" x14ac:dyDescent="0.15">
      <c r="B367" s="11" t="s">
        <v>2445</v>
      </c>
      <c r="G367" s="33">
        <f>TRUNC(G365+G366, 0)</f>
        <v>19334</v>
      </c>
    </row>
    <row r="368" spans="1:33" ht="18.399999999999999" customHeight="1" x14ac:dyDescent="0.15">
      <c r="A368" s="11" t="s">
        <v>1175</v>
      </c>
      <c r="B368" s="11" t="s">
        <v>626</v>
      </c>
      <c r="C368" s="11" t="s">
        <v>1620</v>
      </c>
      <c r="D368" s="11">
        <v>1</v>
      </c>
      <c r="E368" s="35" t="s">
        <v>1688</v>
      </c>
      <c r="F368" s="35">
        <f>TRUNC(중기기초자료!E38 * 중기전역변수!C18, 1)</f>
        <v>56874.1</v>
      </c>
      <c r="G368" s="35">
        <f>TRUNC(F368*D368, 1)</f>
        <v>56874.1</v>
      </c>
      <c r="H368" s="11" t="s">
        <v>2859</v>
      </c>
      <c r="I368" s="11" t="s">
        <v>2859</v>
      </c>
      <c r="K368" s="11" t="s">
        <v>1624</v>
      </c>
      <c r="L368" s="11" t="s">
        <v>2859</v>
      </c>
      <c r="M368" s="11" t="s">
        <v>1653</v>
      </c>
      <c r="AG368" s="34" t="str">
        <f>HYPERLINK("#40","L086 →")</f>
        <v>L086 →</v>
      </c>
    </row>
    <row r="369" spans="1:33" ht="18.399999999999999" customHeight="1" x14ac:dyDescent="0.15">
      <c r="B369" s="11" t="s">
        <v>2445</v>
      </c>
      <c r="G369" s="33">
        <f>TRUNC(G368, 0)</f>
        <v>56874</v>
      </c>
    </row>
    <row r="370" spans="1:33" ht="18.399999999999999" customHeight="1" thickBot="1" x14ac:dyDescent="0.2">
      <c r="B370" s="11" t="s">
        <v>261</v>
      </c>
      <c r="G370" s="33">
        <f>TRUNC(G364+G367+G369, 0)</f>
        <v>129748</v>
      </c>
    </row>
    <row r="371" spans="1:33" ht="18.399999999999999" customHeight="1" thickTop="1" thickBot="1" x14ac:dyDescent="0.2">
      <c r="A371" s="6"/>
      <c r="B371" s="6"/>
      <c r="C371" s="6"/>
      <c r="D371" s="6"/>
      <c r="E371" s="6"/>
      <c r="F371" s="6"/>
      <c r="G371" s="6"/>
      <c r="H371" s="6"/>
    </row>
    <row r="372" spans="1:33" ht="18.399999999999999" customHeight="1" thickTop="1" thickBot="1" x14ac:dyDescent="0.2">
      <c r="A372" s="6" t="s">
        <v>2554</v>
      </c>
      <c r="B372" s="6" t="s">
        <v>1488</v>
      </c>
      <c r="C372" s="6"/>
      <c r="D372" s="6"/>
      <c r="E372" s="6"/>
      <c r="F372" s="6"/>
      <c r="G372" s="6"/>
      <c r="H372" s="6"/>
      <c r="I372" s="11" t="s">
        <v>2859</v>
      </c>
      <c r="J372" s="11" t="s">
        <v>2092</v>
      </c>
    </row>
    <row r="373" spans="1:33" ht="18.399999999999999" customHeight="1" thickTop="1" x14ac:dyDescent="0.15">
      <c r="A373" s="6" t="s">
        <v>780</v>
      </c>
      <c r="B373" s="6" t="s">
        <v>2972</v>
      </c>
      <c r="C373" s="6"/>
      <c r="D373" s="6"/>
      <c r="E373" s="6"/>
      <c r="F373" s="6"/>
      <c r="G373" s="6"/>
      <c r="H373" s="6"/>
    </row>
    <row r="374" spans="1:33" ht="18.399999999999999" customHeight="1" x14ac:dyDescent="0.15">
      <c r="A374" s="32" t="s">
        <v>2172</v>
      </c>
      <c r="B374" s="32"/>
      <c r="C374" s="32" t="s">
        <v>1412</v>
      </c>
      <c r="D374" s="32" t="s">
        <v>73</v>
      </c>
      <c r="E374" s="32" t="s">
        <v>2682</v>
      </c>
      <c r="F374" s="32" t="s">
        <v>623</v>
      </c>
      <c r="G374" s="32" t="s">
        <v>352</v>
      </c>
      <c r="H374" s="32" t="s">
        <v>716</v>
      </c>
    </row>
    <row r="375" spans="1:33" ht="18.399999999999999" customHeight="1" x14ac:dyDescent="0.15">
      <c r="A375" s="11" t="s">
        <v>171</v>
      </c>
      <c r="B375" s="11" t="s">
        <v>1511</v>
      </c>
      <c r="C375" s="11" t="s">
        <v>1575</v>
      </c>
      <c r="D375" s="11">
        <f>(1125 + 750 + 674)*10^-4</f>
        <v>0.25490000000000002</v>
      </c>
      <c r="E375" s="33" t="s">
        <v>338</v>
      </c>
      <c r="F375" s="33">
        <f>중기기초자료!F30</f>
        <v>2917</v>
      </c>
      <c r="G375" s="35">
        <f>TRUNC(F375*D375, 1)</f>
        <v>743.5</v>
      </c>
      <c r="H375" s="11" t="s">
        <v>2859</v>
      </c>
      <c r="I375" s="11" t="s">
        <v>2859</v>
      </c>
      <c r="K375" s="11" t="s">
        <v>322</v>
      </c>
      <c r="L375" s="11" t="s">
        <v>2859</v>
      </c>
      <c r="M375" s="11" t="s">
        <v>1359</v>
      </c>
      <c r="N375" s="11" t="s">
        <v>2973</v>
      </c>
      <c r="AG375" s="34" t="str">
        <f>HYPERLINK("#40","G34300400 →")</f>
        <v>G34300400 →</v>
      </c>
    </row>
    <row r="376" spans="1:33" ht="18.399999999999999" customHeight="1" x14ac:dyDescent="0.15">
      <c r="B376" s="11" t="s">
        <v>2445</v>
      </c>
      <c r="G376" s="33">
        <f>TRUNC(G375, 0)</f>
        <v>743</v>
      </c>
    </row>
    <row r="377" spans="1:33" ht="18.399999999999999" customHeight="1" x14ac:dyDescent="0.15">
      <c r="A377" s="11" t="s">
        <v>1942</v>
      </c>
      <c r="B377" s="11" t="s">
        <v>810</v>
      </c>
      <c r="C377" s="11" t="s">
        <v>2859</v>
      </c>
      <c r="D377" s="11">
        <v>1.2</v>
      </c>
      <c r="E377" s="59" t="s">
        <v>2814</v>
      </c>
      <c r="F377" s="59">
        <f>중기기초자료!D42</f>
        <v>1538</v>
      </c>
      <c r="G377" s="35">
        <f>TRUNC(F377*D377, 1)</f>
        <v>1845.6</v>
      </c>
      <c r="H377" s="11" t="s">
        <v>2859</v>
      </c>
      <c r="I377" s="11" t="s">
        <v>2859</v>
      </c>
      <c r="K377" s="11" t="s">
        <v>1030</v>
      </c>
      <c r="L377" s="11" t="s">
        <v>2859</v>
      </c>
      <c r="M377" s="11" t="s">
        <v>2444</v>
      </c>
      <c r="AG377" s="34" t="str">
        <f>HYPERLINK("#40","M9360003 →")</f>
        <v>M9360003 →</v>
      </c>
    </row>
    <row r="378" spans="1:33" ht="18.399999999999999" customHeight="1" x14ac:dyDescent="0.15">
      <c r="B378" s="11" t="s">
        <v>2927</v>
      </c>
      <c r="C378" s="11" t="s">
        <v>2859</v>
      </c>
      <c r="D378" s="11">
        <v>6</v>
      </c>
      <c r="E378" s="59" t="s">
        <v>2928</v>
      </c>
      <c r="F378" s="59">
        <v>0</v>
      </c>
      <c r="G378" s="35">
        <f>TRUNC((G377) * D378/100, 1)</f>
        <v>110.7</v>
      </c>
      <c r="H378" s="11" t="s">
        <v>2859</v>
      </c>
      <c r="I378" s="11" t="s">
        <v>2859</v>
      </c>
      <c r="K378" s="11" t="s">
        <v>267</v>
      </c>
      <c r="L378" s="11" t="s">
        <v>2859</v>
      </c>
      <c r="M378" s="11" t="s">
        <v>2929</v>
      </c>
      <c r="N378" s="11" t="s">
        <v>2859</v>
      </c>
      <c r="AG378" s="34" t="str">
        <f>HYPERLINK("#40","F/M1 →")</f>
        <v>F/M1 →</v>
      </c>
    </row>
    <row r="379" spans="1:33" ht="18.399999999999999" customHeight="1" x14ac:dyDescent="0.15">
      <c r="B379" s="11" t="s">
        <v>2445</v>
      </c>
      <c r="G379" s="33">
        <f>TRUNC(G377+G378, 0)</f>
        <v>1956</v>
      </c>
    </row>
    <row r="380" spans="1:33" ht="18.399999999999999" customHeight="1" x14ac:dyDescent="0.15">
      <c r="A380" s="11" t="s">
        <v>1175</v>
      </c>
      <c r="B380" s="11" t="s">
        <v>1458</v>
      </c>
      <c r="C380" s="11" t="s">
        <v>1536</v>
      </c>
      <c r="D380" s="11">
        <v>1</v>
      </c>
      <c r="E380" s="35" t="s">
        <v>1688</v>
      </c>
      <c r="F380" s="35">
        <f>TRUNC(중기기초자료!E40 * 중기전역변수!C18, 1)</f>
        <v>34803.9</v>
      </c>
      <c r="G380" s="35">
        <f>TRUNC(F380*D380, 1)</f>
        <v>34803.9</v>
      </c>
      <c r="H380" s="11" t="s">
        <v>2859</v>
      </c>
      <c r="I380" s="11" t="s">
        <v>1949</v>
      </c>
      <c r="K380" s="11" t="s">
        <v>1624</v>
      </c>
      <c r="L380" s="11" t="s">
        <v>2859</v>
      </c>
      <c r="M380" s="11" t="s">
        <v>1651</v>
      </c>
      <c r="AG380" s="34" t="str">
        <f>HYPERLINK("#40","L088 →")</f>
        <v>L088 →</v>
      </c>
    </row>
    <row r="381" spans="1:33" ht="18.399999999999999" customHeight="1" x14ac:dyDescent="0.15">
      <c r="B381" s="11" t="s">
        <v>2445</v>
      </c>
      <c r="G381" s="33">
        <f>TRUNC(G380, 0)</f>
        <v>34803</v>
      </c>
    </row>
    <row r="382" spans="1:33" ht="18.399999999999999" customHeight="1" thickBot="1" x14ac:dyDescent="0.2">
      <c r="B382" s="11" t="s">
        <v>261</v>
      </c>
      <c r="G382" s="33">
        <f>TRUNC(G376+G379+G381, 0)</f>
        <v>37502</v>
      </c>
    </row>
    <row r="383" spans="1:33" ht="18.399999999999999" customHeight="1" thickTop="1" thickBot="1" x14ac:dyDescent="0.2">
      <c r="A383" s="6"/>
      <c r="B383" s="6"/>
      <c r="C383" s="6"/>
      <c r="D383" s="6"/>
      <c r="E383" s="6"/>
      <c r="F383" s="6"/>
      <c r="G383" s="6"/>
      <c r="H383" s="6"/>
    </row>
    <row r="384" spans="1:33" ht="18.399999999999999" customHeight="1" thickTop="1" thickBot="1" x14ac:dyDescent="0.2">
      <c r="A384" s="6" t="s">
        <v>2554</v>
      </c>
      <c r="B384" s="6" t="s">
        <v>1487</v>
      </c>
      <c r="C384" s="6"/>
      <c r="D384" s="6"/>
      <c r="E384" s="6"/>
      <c r="F384" s="6"/>
      <c r="G384" s="6"/>
      <c r="H384" s="6"/>
      <c r="I384" s="11" t="s">
        <v>2859</v>
      </c>
      <c r="J384" s="11" t="s">
        <v>1835</v>
      </c>
    </row>
    <row r="385" spans="1:33" ht="18.399999999999999" customHeight="1" thickTop="1" x14ac:dyDescent="0.15">
      <c r="A385" s="6" t="s">
        <v>780</v>
      </c>
      <c r="B385" s="6" t="s">
        <v>2974</v>
      </c>
      <c r="C385" s="6"/>
      <c r="D385" s="6"/>
      <c r="E385" s="6"/>
      <c r="F385" s="6"/>
      <c r="G385" s="6"/>
      <c r="H385" s="6"/>
    </row>
    <row r="386" spans="1:33" ht="18.399999999999999" customHeight="1" x14ac:dyDescent="0.15">
      <c r="A386" s="32" t="s">
        <v>2172</v>
      </c>
      <c r="B386" s="32"/>
      <c r="C386" s="32" t="s">
        <v>1412</v>
      </c>
      <c r="D386" s="32" t="s">
        <v>73</v>
      </c>
      <c r="E386" s="32" t="s">
        <v>2682</v>
      </c>
      <c r="F386" s="32" t="s">
        <v>623</v>
      </c>
      <c r="G386" s="32" t="s">
        <v>352</v>
      </c>
      <c r="H386" s="32" t="s">
        <v>716</v>
      </c>
    </row>
    <row r="387" spans="1:33" ht="18.399999999999999" customHeight="1" x14ac:dyDescent="0.15">
      <c r="A387" s="11" t="s">
        <v>171</v>
      </c>
      <c r="B387" s="11" t="s">
        <v>1295</v>
      </c>
      <c r="C387" s="11" t="s">
        <v>2509</v>
      </c>
      <c r="D387" s="11">
        <f>(4000 + 1333 + 1021)*10^-4</f>
        <v>0.63540000000000008</v>
      </c>
      <c r="E387" s="33" t="s">
        <v>338</v>
      </c>
      <c r="F387" s="33">
        <f>중기기초자료!F31</f>
        <v>2954</v>
      </c>
      <c r="G387" s="35">
        <f>TRUNC(F387*D387, 1)</f>
        <v>1876.9</v>
      </c>
      <c r="H387" s="11" t="s">
        <v>2859</v>
      </c>
      <c r="I387" s="11" t="s">
        <v>2859</v>
      </c>
      <c r="K387" s="11" t="s">
        <v>322</v>
      </c>
      <c r="L387" s="11" t="s">
        <v>2859</v>
      </c>
      <c r="M387" s="11" t="s">
        <v>1246</v>
      </c>
      <c r="N387" s="11" t="s">
        <v>2975</v>
      </c>
      <c r="AG387" s="34" t="str">
        <f>HYPERLINK("#40","G44300400 →")</f>
        <v>G44300400 →</v>
      </c>
    </row>
    <row r="388" spans="1:33" ht="18.399999999999999" customHeight="1" x14ac:dyDescent="0.15">
      <c r="B388" s="11" t="s">
        <v>2445</v>
      </c>
      <c r="G388" s="33">
        <f>TRUNC(G387, 0)</f>
        <v>1876</v>
      </c>
    </row>
    <row r="389" spans="1:33" ht="18.399999999999999" customHeight="1" x14ac:dyDescent="0.15">
      <c r="A389" s="11" t="s">
        <v>1942</v>
      </c>
      <c r="B389" s="11" t="s">
        <v>810</v>
      </c>
      <c r="C389" s="11" t="s">
        <v>2859</v>
      </c>
      <c r="D389" s="11">
        <v>5.6</v>
      </c>
      <c r="E389" s="59" t="s">
        <v>2814</v>
      </c>
      <c r="F389" s="59">
        <f>중기기초자료!D42</f>
        <v>1538</v>
      </c>
      <c r="G389" s="35">
        <f>TRUNC(F389*D389, 1)</f>
        <v>8612.7999999999993</v>
      </c>
      <c r="H389" s="11" t="s">
        <v>2859</v>
      </c>
      <c r="I389" s="11" t="s">
        <v>2859</v>
      </c>
      <c r="K389" s="11" t="s">
        <v>1030</v>
      </c>
      <c r="L389" s="11" t="s">
        <v>2859</v>
      </c>
      <c r="M389" s="11" t="s">
        <v>2444</v>
      </c>
      <c r="AG389" s="34" t="str">
        <f>HYPERLINK("#40","M9360003 →")</f>
        <v>M9360003 →</v>
      </c>
    </row>
    <row r="390" spans="1:33" ht="18.399999999999999" customHeight="1" x14ac:dyDescent="0.15">
      <c r="B390" s="11" t="s">
        <v>2927</v>
      </c>
      <c r="C390" s="11" t="s">
        <v>2859</v>
      </c>
      <c r="D390" s="11">
        <v>20</v>
      </c>
      <c r="E390" s="59" t="s">
        <v>2928</v>
      </c>
      <c r="F390" s="59">
        <v>0</v>
      </c>
      <c r="G390" s="35">
        <f>TRUNC((G389) * D390/100, 1)</f>
        <v>1722.5</v>
      </c>
      <c r="H390" s="11" t="s">
        <v>2859</v>
      </c>
      <c r="I390" s="11" t="s">
        <v>2859</v>
      </c>
      <c r="K390" s="11" t="s">
        <v>267</v>
      </c>
      <c r="L390" s="11" t="s">
        <v>2859</v>
      </c>
      <c r="M390" s="11" t="s">
        <v>2929</v>
      </c>
      <c r="N390" s="11" t="s">
        <v>2859</v>
      </c>
      <c r="AG390" s="34" t="str">
        <f>HYPERLINK("#40","F/M1 →")</f>
        <v>F/M1 →</v>
      </c>
    </row>
    <row r="391" spans="1:33" ht="18.399999999999999" customHeight="1" x14ac:dyDescent="0.15">
      <c r="B391" s="11" t="s">
        <v>2445</v>
      </c>
      <c r="G391" s="33">
        <f>TRUNC(G389+G390, 0)</f>
        <v>10335</v>
      </c>
    </row>
    <row r="392" spans="1:33" ht="18.399999999999999" customHeight="1" x14ac:dyDescent="0.15">
      <c r="A392" s="11" t="s">
        <v>1175</v>
      </c>
      <c r="B392" s="11" t="s">
        <v>1458</v>
      </c>
      <c r="C392" s="11" t="s">
        <v>2961</v>
      </c>
      <c r="D392" s="11">
        <v>1</v>
      </c>
      <c r="E392" s="35" t="s">
        <v>1688</v>
      </c>
      <c r="F392" s="35">
        <f>TRUNC(중기기초자료!E40 * 중기전역변수!C18, 1)</f>
        <v>34803.9</v>
      </c>
      <c r="G392" s="35">
        <f>TRUNC(F392*D392, 1)</f>
        <v>34803.9</v>
      </c>
      <c r="H392" s="11" t="s">
        <v>2859</v>
      </c>
      <c r="I392" s="11" t="s">
        <v>2859</v>
      </c>
      <c r="K392" s="11" t="s">
        <v>1624</v>
      </c>
      <c r="L392" s="11" t="s">
        <v>2859</v>
      </c>
      <c r="M392" s="11" t="s">
        <v>1651</v>
      </c>
      <c r="AG392" s="34" t="str">
        <f>HYPERLINK("#40","L088 →")</f>
        <v>L088 →</v>
      </c>
    </row>
    <row r="393" spans="1:33" ht="18.399999999999999" customHeight="1" x14ac:dyDescent="0.15">
      <c r="B393" s="11" t="s">
        <v>2445</v>
      </c>
      <c r="G393" s="33">
        <f>TRUNC(G392, 0)</f>
        <v>34803</v>
      </c>
    </row>
    <row r="394" spans="1:33" ht="18.399999999999999" customHeight="1" thickBot="1" x14ac:dyDescent="0.2">
      <c r="B394" s="11" t="s">
        <v>261</v>
      </c>
      <c r="G394" s="33">
        <f>TRUNC(G388+G391+G393, 0)</f>
        <v>47014</v>
      </c>
    </row>
    <row r="395" spans="1:33" ht="18.399999999999999" customHeight="1" thickTop="1" thickBot="1" x14ac:dyDescent="0.2">
      <c r="A395" s="6"/>
      <c r="B395" s="6"/>
      <c r="C395" s="6"/>
      <c r="D395" s="6"/>
      <c r="E395" s="6"/>
      <c r="F395" s="6"/>
      <c r="G395" s="6"/>
      <c r="H395" s="6"/>
    </row>
    <row r="396" spans="1:33" ht="18.399999999999999" customHeight="1" thickTop="1" thickBot="1" x14ac:dyDescent="0.2">
      <c r="A396" s="6" t="s">
        <v>2554</v>
      </c>
      <c r="B396" s="6" t="s">
        <v>1251</v>
      </c>
      <c r="C396" s="6"/>
      <c r="D396" s="6"/>
      <c r="E396" s="6"/>
      <c r="F396" s="6"/>
      <c r="G396" s="6"/>
      <c r="H396" s="6"/>
      <c r="I396" s="11" t="s">
        <v>2859</v>
      </c>
      <c r="J396" s="11" t="s">
        <v>841</v>
      </c>
    </row>
    <row r="397" spans="1:33" ht="18.399999999999999" customHeight="1" thickTop="1" x14ac:dyDescent="0.15">
      <c r="A397" s="6" t="s">
        <v>780</v>
      </c>
      <c r="B397" s="6" t="s">
        <v>2976</v>
      </c>
      <c r="C397" s="6"/>
      <c r="D397" s="6"/>
      <c r="E397" s="6"/>
      <c r="F397" s="6"/>
      <c r="G397" s="6"/>
      <c r="H397" s="6"/>
    </row>
    <row r="398" spans="1:33" ht="18.399999999999999" customHeight="1" x14ac:dyDescent="0.15">
      <c r="A398" s="32" t="s">
        <v>2172</v>
      </c>
      <c r="B398" s="32"/>
      <c r="C398" s="32" t="s">
        <v>1412</v>
      </c>
      <c r="D398" s="32" t="s">
        <v>73</v>
      </c>
      <c r="E398" s="32" t="s">
        <v>2682</v>
      </c>
      <c r="F398" s="32" t="s">
        <v>623</v>
      </c>
      <c r="G398" s="32" t="s">
        <v>352</v>
      </c>
      <c r="H398" s="32" t="s">
        <v>716</v>
      </c>
    </row>
    <row r="399" spans="1:33" ht="18.399999999999999" customHeight="1" x14ac:dyDescent="0.15">
      <c r="A399" s="11" t="s">
        <v>171</v>
      </c>
      <c r="B399" s="11" t="s">
        <v>1662</v>
      </c>
      <c r="C399" s="11" t="s">
        <v>612</v>
      </c>
      <c r="D399" s="11">
        <f>(1071 + 774 + 795)*10^-4</f>
        <v>0.26400000000000001</v>
      </c>
      <c r="E399" s="33" t="s">
        <v>338</v>
      </c>
      <c r="F399" s="33">
        <f>중기기초자료!F32</f>
        <v>257846</v>
      </c>
      <c r="G399" s="35">
        <f>TRUNC(F399*D399, 1)</f>
        <v>68071.3</v>
      </c>
      <c r="H399" s="11" t="s">
        <v>2859</v>
      </c>
      <c r="I399" s="11" t="s">
        <v>2859</v>
      </c>
      <c r="K399" s="11" t="s">
        <v>322</v>
      </c>
      <c r="L399" s="11" t="s">
        <v>2859</v>
      </c>
      <c r="M399" s="11" t="s">
        <v>1512</v>
      </c>
      <c r="N399" s="11" t="s">
        <v>2977</v>
      </c>
      <c r="AG399" s="34" t="str">
        <f>HYPERLINK("#40","G45040032 →")</f>
        <v>G45040032 →</v>
      </c>
    </row>
    <row r="400" spans="1:33" ht="18.399999999999999" customHeight="1" x14ac:dyDescent="0.15">
      <c r="B400" s="11" t="s">
        <v>2445</v>
      </c>
      <c r="G400" s="33">
        <f>TRUNC(G399, 0)</f>
        <v>68071</v>
      </c>
    </row>
    <row r="401" spans="1:33" ht="18.399999999999999" customHeight="1" x14ac:dyDescent="0.15">
      <c r="A401" s="11" t="s">
        <v>1942</v>
      </c>
      <c r="B401" s="11" t="s">
        <v>452</v>
      </c>
      <c r="C401" s="11" t="s">
        <v>2859</v>
      </c>
      <c r="D401" s="11">
        <v>17.3</v>
      </c>
      <c r="E401" s="59" t="s">
        <v>2814</v>
      </c>
      <c r="F401" s="59">
        <f>중기기초자료!D43</f>
        <v>1390</v>
      </c>
      <c r="G401" s="35">
        <f>TRUNC(F401*D401, 1)</f>
        <v>24047</v>
      </c>
      <c r="H401" s="11" t="s">
        <v>2859</v>
      </c>
      <c r="I401" s="11" t="s">
        <v>2859</v>
      </c>
      <c r="K401" s="11" t="s">
        <v>1030</v>
      </c>
      <c r="L401" s="11" t="s">
        <v>2859</v>
      </c>
      <c r="M401" s="11" t="s">
        <v>540</v>
      </c>
      <c r="AG401" s="34" t="str">
        <f>HYPERLINK("#40","M9366005 →")</f>
        <v>M9366005 →</v>
      </c>
    </row>
    <row r="402" spans="1:33" ht="18.399999999999999" customHeight="1" x14ac:dyDescent="0.15">
      <c r="B402" s="11" t="s">
        <v>2927</v>
      </c>
      <c r="C402" s="11" t="s">
        <v>2859</v>
      </c>
      <c r="D402" s="11">
        <v>35</v>
      </c>
      <c r="E402" s="59" t="s">
        <v>2928</v>
      </c>
      <c r="F402" s="59">
        <v>0</v>
      </c>
      <c r="G402" s="35">
        <f>TRUNC((G401) * D402/100, 1)</f>
        <v>8416.4</v>
      </c>
      <c r="H402" s="11" t="s">
        <v>2859</v>
      </c>
      <c r="I402" s="11" t="s">
        <v>2859</v>
      </c>
      <c r="K402" s="11" t="s">
        <v>267</v>
      </c>
      <c r="L402" s="11" t="s">
        <v>2859</v>
      </c>
      <c r="M402" s="11" t="s">
        <v>2929</v>
      </c>
      <c r="N402" s="11" t="s">
        <v>2859</v>
      </c>
      <c r="AG402" s="34" t="str">
        <f>HYPERLINK("#40","F/M1 →")</f>
        <v>F/M1 →</v>
      </c>
    </row>
    <row r="403" spans="1:33" ht="18.399999999999999" customHeight="1" x14ac:dyDescent="0.15">
      <c r="B403" s="11" t="s">
        <v>2445</v>
      </c>
      <c r="G403" s="33">
        <f>TRUNC(G401+G402, 0)</f>
        <v>32463</v>
      </c>
    </row>
    <row r="404" spans="1:33" ht="18.399999999999999" customHeight="1" x14ac:dyDescent="0.15">
      <c r="A404" s="11" t="s">
        <v>1175</v>
      </c>
      <c r="B404" s="11" t="s">
        <v>626</v>
      </c>
      <c r="C404" s="11" t="s">
        <v>1620</v>
      </c>
      <c r="D404" s="11">
        <v>1</v>
      </c>
      <c r="E404" s="35" t="s">
        <v>1688</v>
      </c>
      <c r="F404" s="35">
        <f>TRUNC(중기기초자료!E38 * 중기전역변수!C18, 1)</f>
        <v>56874.1</v>
      </c>
      <c r="G404" s="35">
        <f>TRUNC(F404*D404, 1)</f>
        <v>56874.1</v>
      </c>
      <c r="H404" s="11" t="s">
        <v>2859</v>
      </c>
      <c r="I404" s="11" t="s">
        <v>2859</v>
      </c>
      <c r="K404" s="11" t="s">
        <v>1624</v>
      </c>
      <c r="L404" s="11" t="s">
        <v>2859</v>
      </c>
      <c r="M404" s="11" t="s">
        <v>1653</v>
      </c>
      <c r="AG404" s="34" t="str">
        <f>HYPERLINK("#40","L086 →")</f>
        <v>L086 →</v>
      </c>
    </row>
    <row r="405" spans="1:33" ht="18.399999999999999" customHeight="1" x14ac:dyDescent="0.15">
      <c r="B405" s="11" t="s">
        <v>2445</v>
      </c>
      <c r="G405" s="33">
        <f>TRUNC(G404, 0)</f>
        <v>56874</v>
      </c>
    </row>
    <row r="406" spans="1:33" ht="18.399999999999999" customHeight="1" thickBot="1" x14ac:dyDescent="0.2">
      <c r="B406" s="11" t="s">
        <v>261</v>
      </c>
      <c r="G406" s="33">
        <f>TRUNC(G400+G403+G405, 0)</f>
        <v>157408</v>
      </c>
    </row>
    <row r="407" spans="1:33" ht="18.399999999999999" customHeight="1" thickTop="1" thickBot="1" x14ac:dyDescent="0.2">
      <c r="A407" s="6"/>
      <c r="B407" s="6"/>
      <c r="C407" s="6"/>
      <c r="D407" s="6"/>
      <c r="E407" s="6"/>
      <c r="F407" s="6"/>
      <c r="G407" s="6"/>
      <c r="H407" s="6"/>
    </row>
    <row r="408" spans="1:33" ht="18.399999999999999" customHeight="1" thickTop="1" thickBot="1" x14ac:dyDescent="0.2">
      <c r="A408" s="6" t="s">
        <v>2554</v>
      </c>
      <c r="B408" s="6" t="s">
        <v>1176</v>
      </c>
      <c r="C408" s="6"/>
      <c r="D408" s="6"/>
      <c r="E408" s="6"/>
      <c r="F408" s="6"/>
      <c r="G408" s="6"/>
      <c r="H408" s="6"/>
      <c r="I408" s="11" t="s">
        <v>2859</v>
      </c>
      <c r="J408" s="11" t="s">
        <v>122</v>
      </c>
    </row>
    <row r="409" spans="1:33" ht="18.399999999999999" customHeight="1" thickTop="1" x14ac:dyDescent="0.15">
      <c r="A409" s="6" t="s">
        <v>780</v>
      </c>
      <c r="B409" s="6" t="s">
        <v>2978</v>
      </c>
      <c r="C409" s="6"/>
      <c r="D409" s="6"/>
      <c r="E409" s="6"/>
      <c r="F409" s="6"/>
      <c r="G409" s="6"/>
      <c r="H409" s="6"/>
    </row>
    <row r="410" spans="1:33" ht="18.399999999999999" customHeight="1" x14ac:dyDescent="0.15">
      <c r="A410" s="32" t="s">
        <v>2172</v>
      </c>
      <c r="B410" s="32"/>
      <c r="C410" s="32" t="s">
        <v>1412</v>
      </c>
      <c r="D410" s="32" t="s">
        <v>73</v>
      </c>
      <c r="E410" s="32" t="s">
        <v>2682</v>
      </c>
      <c r="F410" s="32" t="s">
        <v>623</v>
      </c>
      <c r="G410" s="32" t="s">
        <v>352</v>
      </c>
      <c r="H410" s="32" t="s">
        <v>716</v>
      </c>
    </row>
    <row r="411" spans="1:33" ht="18.399999999999999" customHeight="1" x14ac:dyDescent="0.15">
      <c r="A411" s="11" t="s">
        <v>171</v>
      </c>
      <c r="B411" s="11" t="s">
        <v>2439</v>
      </c>
      <c r="C411" s="11" t="s">
        <v>2263</v>
      </c>
      <c r="D411" s="11">
        <f>(3000 + 2333 + 1067)*10^-4</f>
        <v>0.64</v>
      </c>
      <c r="E411" s="33" t="s">
        <v>338</v>
      </c>
      <c r="F411" s="33">
        <f>중기기초자료!F33</f>
        <v>14718</v>
      </c>
      <c r="G411" s="35">
        <f>TRUNC(F411*D411, 1)</f>
        <v>9419.5</v>
      </c>
      <c r="H411" s="11" t="s">
        <v>2859</v>
      </c>
      <c r="I411" s="11" t="s">
        <v>2859</v>
      </c>
      <c r="K411" s="11" t="s">
        <v>322</v>
      </c>
      <c r="L411" s="11" t="s">
        <v>2859</v>
      </c>
      <c r="M411" s="11" t="s">
        <v>2131</v>
      </c>
      <c r="N411" s="11" t="s">
        <v>2979</v>
      </c>
      <c r="AG411" s="34" t="str">
        <f>HYPERLINK("#40","G72021000 →")</f>
        <v>G72021000 →</v>
      </c>
    </row>
    <row r="412" spans="1:33" ht="18.399999999999999" customHeight="1" x14ac:dyDescent="0.15">
      <c r="B412" s="11" t="s">
        <v>2445</v>
      </c>
      <c r="G412" s="33">
        <f>TRUNC(G411, 0)</f>
        <v>9419</v>
      </c>
    </row>
    <row r="413" spans="1:33" ht="18.399999999999999" customHeight="1" x14ac:dyDescent="0.15">
      <c r="A413" s="11" t="s">
        <v>1942</v>
      </c>
      <c r="B413" s="11" t="s">
        <v>177</v>
      </c>
      <c r="C413" s="11" t="s">
        <v>1707</v>
      </c>
      <c r="D413" s="11">
        <v>15.1</v>
      </c>
      <c r="E413" s="59" t="s">
        <v>2837</v>
      </c>
      <c r="F413" s="59">
        <f>중기기초자료!D41</f>
        <v>65.2</v>
      </c>
      <c r="G413" s="35">
        <f>TRUNC(F413*D413, 1)</f>
        <v>984.5</v>
      </c>
      <c r="H413" s="11" t="s">
        <v>2859</v>
      </c>
      <c r="I413" s="11" t="s">
        <v>2859</v>
      </c>
      <c r="K413" s="11" t="s">
        <v>2491</v>
      </c>
      <c r="L413" s="11" t="s">
        <v>2859</v>
      </c>
      <c r="M413" s="11" t="s">
        <v>1496</v>
      </c>
      <c r="AG413" s="34" t="str">
        <f>HYPERLINK("#40","M0010045 →")</f>
        <v>M0010045 →</v>
      </c>
    </row>
    <row r="414" spans="1:33" ht="18.399999999999999" customHeight="1" x14ac:dyDescent="0.15">
      <c r="B414" s="11" t="s">
        <v>2445</v>
      </c>
      <c r="G414" s="33">
        <f>TRUNC(G413, 0)</f>
        <v>984</v>
      </c>
    </row>
    <row r="415" spans="1:33" ht="18.399999999999999" customHeight="1" x14ac:dyDescent="0.15">
      <c r="A415" s="11" t="s">
        <v>1175</v>
      </c>
    </row>
    <row r="416" spans="1:33" ht="18.399999999999999" customHeight="1" x14ac:dyDescent="0.15">
      <c r="B416" s="11" t="s">
        <v>2445</v>
      </c>
    </row>
    <row r="417" spans="1:33" ht="18.399999999999999" customHeight="1" thickBot="1" x14ac:dyDescent="0.2">
      <c r="B417" s="11" t="s">
        <v>261</v>
      </c>
      <c r="G417" s="33">
        <f>TRUNC(G412+G414+G416, 0)</f>
        <v>10403</v>
      </c>
    </row>
    <row r="418" spans="1:33" ht="18.399999999999999" customHeight="1" thickTop="1" thickBot="1" x14ac:dyDescent="0.2">
      <c r="A418" s="6"/>
      <c r="B418" s="6"/>
      <c r="C418" s="6"/>
      <c r="D418" s="6"/>
      <c r="E418" s="6"/>
      <c r="F418" s="6"/>
      <c r="G418" s="6"/>
      <c r="H418" s="6"/>
    </row>
    <row r="419" spans="1:33" ht="18.399999999999999" customHeight="1" thickTop="1" thickBot="1" x14ac:dyDescent="0.2">
      <c r="A419" s="6" t="s">
        <v>2554</v>
      </c>
      <c r="B419" s="6" t="s">
        <v>659</v>
      </c>
      <c r="C419" s="6"/>
      <c r="D419" s="6"/>
      <c r="E419" s="6"/>
      <c r="F419" s="6"/>
      <c r="G419" s="6"/>
      <c r="H419" s="6"/>
      <c r="I419" s="11" t="s">
        <v>2859</v>
      </c>
      <c r="J419" s="11" t="s">
        <v>42</v>
      </c>
    </row>
    <row r="420" spans="1:33" ht="18.399999999999999" customHeight="1" thickTop="1" x14ac:dyDescent="0.15">
      <c r="A420" s="6" t="s">
        <v>780</v>
      </c>
      <c r="B420" s="6" t="s">
        <v>2980</v>
      </c>
      <c r="C420" s="6"/>
      <c r="D420" s="6"/>
      <c r="E420" s="6"/>
      <c r="F420" s="6"/>
      <c r="G420" s="6"/>
      <c r="H420" s="6"/>
    </row>
    <row r="421" spans="1:33" ht="18.399999999999999" customHeight="1" x14ac:dyDescent="0.15">
      <c r="A421" s="32" t="s">
        <v>2172</v>
      </c>
      <c r="B421" s="32"/>
      <c r="C421" s="32" t="s">
        <v>1412</v>
      </c>
      <c r="D421" s="32" t="s">
        <v>73</v>
      </c>
      <c r="E421" s="32" t="s">
        <v>2682</v>
      </c>
      <c r="F421" s="32" t="s">
        <v>623</v>
      </c>
      <c r="G421" s="32" t="s">
        <v>352</v>
      </c>
      <c r="H421" s="32" t="s">
        <v>716</v>
      </c>
    </row>
    <row r="422" spans="1:33" ht="18.399999999999999" customHeight="1" x14ac:dyDescent="0.15">
      <c r="A422" s="11" t="s">
        <v>171</v>
      </c>
      <c r="B422" s="11" t="s">
        <v>516</v>
      </c>
      <c r="C422" s="11" t="s">
        <v>1741</v>
      </c>
      <c r="D422" s="11">
        <f>(818 + 636 + 659)*10^-4</f>
        <v>0.21130000000000002</v>
      </c>
      <c r="E422" s="33" t="s">
        <v>338</v>
      </c>
      <c r="F422" s="33">
        <f>중기기초자료!F34</f>
        <v>44820</v>
      </c>
      <c r="G422" s="35">
        <f>TRUNC(F422*D422, 1)</f>
        <v>9470.4</v>
      </c>
      <c r="H422" s="11" t="s">
        <v>2859</v>
      </c>
      <c r="I422" s="11" t="s">
        <v>2859</v>
      </c>
      <c r="K422" s="11" t="s">
        <v>322</v>
      </c>
      <c r="L422" s="11" t="s">
        <v>2859</v>
      </c>
      <c r="M422" s="11" t="s">
        <v>2300</v>
      </c>
      <c r="N422" s="11" t="s">
        <v>2981</v>
      </c>
      <c r="AG422" s="34" t="str">
        <f>HYPERLINK("#40","G72040055 →")</f>
        <v>G72040055 →</v>
      </c>
    </row>
    <row r="423" spans="1:33" ht="18.399999999999999" customHeight="1" x14ac:dyDescent="0.15">
      <c r="B423" s="11" t="s">
        <v>2445</v>
      </c>
      <c r="G423" s="33">
        <f>TRUNC(G422, 0)</f>
        <v>9470</v>
      </c>
    </row>
    <row r="424" spans="1:33" ht="18.399999999999999" customHeight="1" x14ac:dyDescent="0.15">
      <c r="A424" s="11" t="s">
        <v>1942</v>
      </c>
      <c r="B424" s="11" t="s">
        <v>452</v>
      </c>
      <c r="C424" s="11" t="s">
        <v>2859</v>
      </c>
      <c r="D424" s="11">
        <v>9.3000000000000007</v>
      </c>
      <c r="E424" s="59" t="s">
        <v>2814</v>
      </c>
      <c r="F424" s="59">
        <f>중기기초자료!D43</f>
        <v>1390</v>
      </c>
      <c r="G424" s="35">
        <f>TRUNC(F424*D424, 1)</f>
        <v>12927</v>
      </c>
      <c r="H424" s="11" t="s">
        <v>2859</v>
      </c>
      <c r="I424" s="11" t="s">
        <v>2859</v>
      </c>
      <c r="K424" s="11" t="s">
        <v>1030</v>
      </c>
      <c r="L424" s="11" t="s">
        <v>2859</v>
      </c>
      <c r="M424" s="11" t="s">
        <v>540</v>
      </c>
      <c r="AG424" s="34" t="str">
        <f>HYPERLINK("#40","M9366005 →")</f>
        <v>M9366005 →</v>
      </c>
    </row>
    <row r="425" spans="1:33" ht="18.399999999999999" customHeight="1" x14ac:dyDescent="0.15">
      <c r="B425" s="11" t="s">
        <v>2927</v>
      </c>
      <c r="C425" s="11" t="s">
        <v>2859</v>
      </c>
      <c r="D425" s="11">
        <v>30</v>
      </c>
      <c r="E425" s="59" t="s">
        <v>2928</v>
      </c>
      <c r="F425" s="59">
        <v>0</v>
      </c>
      <c r="G425" s="35">
        <f>TRUNC((G424) * D425/100, 1)</f>
        <v>3878.1</v>
      </c>
      <c r="H425" s="11" t="s">
        <v>2859</v>
      </c>
      <c r="I425" s="11" t="s">
        <v>2859</v>
      </c>
      <c r="K425" s="11" t="s">
        <v>267</v>
      </c>
      <c r="L425" s="11" t="s">
        <v>2859</v>
      </c>
      <c r="M425" s="11" t="s">
        <v>2929</v>
      </c>
      <c r="N425" s="11" t="s">
        <v>2859</v>
      </c>
      <c r="AG425" s="34" t="str">
        <f>HYPERLINK("#40","F/M1 →")</f>
        <v>F/M1 →</v>
      </c>
    </row>
    <row r="426" spans="1:33" ht="18.399999999999999" customHeight="1" x14ac:dyDescent="0.15">
      <c r="B426" s="11" t="s">
        <v>2445</v>
      </c>
      <c r="G426" s="33">
        <f>TRUNC(G424+G425, 0)</f>
        <v>16805</v>
      </c>
    </row>
    <row r="427" spans="1:33" ht="18.399999999999999" customHeight="1" x14ac:dyDescent="0.15">
      <c r="A427" s="11" t="s">
        <v>1175</v>
      </c>
      <c r="B427" s="11" t="s">
        <v>197</v>
      </c>
      <c r="C427" s="11" t="s">
        <v>1611</v>
      </c>
      <c r="D427" s="11">
        <v>1</v>
      </c>
      <c r="E427" s="35" t="s">
        <v>1688</v>
      </c>
      <c r="F427" s="35">
        <f>TRUNC(중기기초자료!E39 * 중기전역변수!C18, 1)</f>
        <v>48741.599999999999</v>
      </c>
      <c r="G427" s="35">
        <f>TRUNC(F427*D427, 1)</f>
        <v>48741.599999999999</v>
      </c>
      <c r="H427" s="11" t="s">
        <v>2859</v>
      </c>
      <c r="I427" s="11" t="s">
        <v>2859</v>
      </c>
      <c r="K427" s="11" t="s">
        <v>1624</v>
      </c>
      <c r="L427" s="11" t="s">
        <v>2859</v>
      </c>
      <c r="M427" s="11" t="s">
        <v>26</v>
      </c>
      <c r="AG427" s="34" t="str">
        <f>HYPERLINK("#40","L087 →")</f>
        <v>L087 →</v>
      </c>
    </row>
    <row r="428" spans="1:33" ht="18.399999999999999" customHeight="1" x14ac:dyDescent="0.15">
      <c r="B428" s="11" t="s">
        <v>2445</v>
      </c>
      <c r="G428" s="33">
        <f>TRUNC(G427, 0)</f>
        <v>48741</v>
      </c>
    </row>
    <row r="429" spans="1:33" ht="18.399999999999999" customHeight="1" thickBot="1" x14ac:dyDescent="0.2">
      <c r="B429" s="11" t="s">
        <v>261</v>
      </c>
      <c r="G429" s="33">
        <f>TRUNC(G423+G426+G428, 0)</f>
        <v>75016</v>
      </c>
    </row>
    <row r="430" spans="1:33" ht="18.399999999999999" customHeight="1" thickTop="1" thickBot="1" x14ac:dyDescent="0.2">
      <c r="A430" s="6"/>
      <c r="B430" s="6"/>
      <c r="C430" s="6"/>
      <c r="D430" s="6"/>
      <c r="E430" s="6"/>
      <c r="F430" s="6"/>
      <c r="G430" s="6"/>
      <c r="H430" s="6"/>
    </row>
    <row r="431" spans="1:33" ht="18.399999999999999" customHeight="1" thickTop="1" thickBot="1" x14ac:dyDescent="0.2">
      <c r="A431" s="6" t="s">
        <v>2554</v>
      </c>
      <c r="B431" s="6" t="s">
        <v>1866</v>
      </c>
      <c r="C431" s="6"/>
      <c r="D431" s="6"/>
      <c r="E431" s="6"/>
      <c r="F431" s="6"/>
      <c r="G431" s="6"/>
      <c r="H431" s="6"/>
      <c r="I431" s="11" t="s">
        <v>2859</v>
      </c>
      <c r="J431" s="11" t="s">
        <v>1439</v>
      </c>
    </row>
    <row r="432" spans="1:33" ht="18.399999999999999" customHeight="1" thickTop="1" x14ac:dyDescent="0.15">
      <c r="A432" s="6" t="s">
        <v>780</v>
      </c>
      <c r="B432" s="6" t="s">
        <v>2982</v>
      </c>
      <c r="C432" s="6"/>
      <c r="D432" s="6"/>
      <c r="E432" s="6"/>
      <c r="F432" s="6"/>
      <c r="G432" s="6"/>
      <c r="H432" s="6"/>
    </row>
    <row r="433" spans="1:33" ht="18.399999999999999" customHeight="1" x14ac:dyDescent="0.15">
      <c r="A433" s="32" t="s">
        <v>2172</v>
      </c>
      <c r="B433" s="32"/>
      <c r="C433" s="32" t="s">
        <v>1412</v>
      </c>
      <c r="D433" s="32" t="s">
        <v>73</v>
      </c>
      <c r="E433" s="32" t="s">
        <v>2682</v>
      </c>
      <c r="F433" s="32" t="s">
        <v>623</v>
      </c>
      <c r="G433" s="32" t="s">
        <v>352</v>
      </c>
      <c r="H433" s="32" t="s">
        <v>716</v>
      </c>
    </row>
    <row r="434" spans="1:33" ht="18.399999999999999" customHeight="1" x14ac:dyDescent="0.15">
      <c r="A434" s="11" t="s">
        <v>171</v>
      </c>
      <c r="B434" s="11" t="s">
        <v>516</v>
      </c>
      <c r="C434" s="11" t="s">
        <v>1378</v>
      </c>
      <c r="D434" s="11">
        <f>(818 + 636 + 659)*10^-4</f>
        <v>0.21130000000000002</v>
      </c>
      <c r="E434" s="33" t="s">
        <v>338</v>
      </c>
      <c r="F434" s="33">
        <f>중기기초자료!F35</f>
        <v>85962</v>
      </c>
      <c r="G434" s="35">
        <f>TRUNC(F434*D434, 1)</f>
        <v>18163.7</v>
      </c>
      <c r="H434" s="11" t="s">
        <v>2859</v>
      </c>
      <c r="I434" s="11" t="s">
        <v>2859</v>
      </c>
      <c r="K434" s="11" t="s">
        <v>322</v>
      </c>
      <c r="L434" s="11" t="s">
        <v>2859</v>
      </c>
      <c r="M434" s="11" t="s">
        <v>1996</v>
      </c>
      <c r="N434" s="11" t="s">
        <v>2981</v>
      </c>
      <c r="AG434" s="34" t="str">
        <f>HYPERLINK("#40","G72040160 →")</f>
        <v>G72040160 →</v>
      </c>
    </row>
    <row r="435" spans="1:33" ht="18.399999999999999" customHeight="1" x14ac:dyDescent="0.15">
      <c r="B435" s="11" t="s">
        <v>2445</v>
      </c>
      <c r="G435" s="33">
        <f>TRUNC(G434, 0)</f>
        <v>18163</v>
      </c>
    </row>
    <row r="436" spans="1:33" ht="18.399999999999999" customHeight="1" x14ac:dyDescent="0.15">
      <c r="A436" s="11" t="s">
        <v>1942</v>
      </c>
      <c r="B436" s="11" t="s">
        <v>452</v>
      </c>
      <c r="C436" s="11" t="s">
        <v>2859</v>
      </c>
      <c r="D436" s="11">
        <v>12.9</v>
      </c>
      <c r="E436" s="59" t="s">
        <v>2814</v>
      </c>
      <c r="F436" s="59">
        <f>중기기초자료!D43</f>
        <v>1390</v>
      </c>
      <c r="G436" s="35">
        <f>TRUNC(F436*D436, 1)</f>
        <v>17931</v>
      </c>
      <c r="H436" s="11" t="s">
        <v>2859</v>
      </c>
      <c r="I436" s="11" t="s">
        <v>2859</v>
      </c>
      <c r="K436" s="11" t="s">
        <v>1030</v>
      </c>
      <c r="L436" s="11" t="s">
        <v>2859</v>
      </c>
      <c r="M436" s="11" t="s">
        <v>540</v>
      </c>
      <c r="AG436" s="34" t="str">
        <f>HYPERLINK("#40","M9366005 →")</f>
        <v>M9366005 →</v>
      </c>
    </row>
    <row r="437" spans="1:33" ht="18.399999999999999" customHeight="1" x14ac:dyDescent="0.15">
      <c r="B437" s="11" t="s">
        <v>2927</v>
      </c>
      <c r="C437" s="11" t="s">
        <v>2859</v>
      </c>
      <c r="D437" s="11">
        <v>30</v>
      </c>
      <c r="E437" s="59" t="s">
        <v>2928</v>
      </c>
      <c r="F437" s="59">
        <v>0</v>
      </c>
      <c r="G437" s="35">
        <f>TRUNC((G436) * D437/100, 1)</f>
        <v>5379.3</v>
      </c>
      <c r="H437" s="11" t="s">
        <v>2859</v>
      </c>
      <c r="I437" s="11" t="s">
        <v>2859</v>
      </c>
      <c r="K437" s="11" t="s">
        <v>267</v>
      </c>
      <c r="L437" s="11" t="s">
        <v>2859</v>
      </c>
      <c r="M437" s="11" t="s">
        <v>2929</v>
      </c>
      <c r="N437" s="11" t="s">
        <v>2859</v>
      </c>
      <c r="AG437" s="34" t="str">
        <f>HYPERLINK("#40","F/M1 →")</f>
        <v>F/M1 →</v>
      </c>
    </row>
    <row r="438" spans="1:33" ht="18.399999999999999" customHeight="1" x14ac:dyDescent="0.15">
      <c r="B438" s="11" t="s">
        <v>2445</v>
      </c>
      <c r="G438" s="33">
        <f>TRUNC(G436+G437, 0)</f>
        <v>23310</v>
      </c>
    </row>
    <row r="439" spans="1:33" ht="18.399999999999999" customHeight="1" x14ac:dyDescent="0.15">
      <c r="A439" s="11" t="s">
        <v>1175</v>
      </c>
      <c r="B439" s="11" t="s">
        <v>197</v>
      </c>
      <c r="C439" s="11" t="s">
        <v>1611</v>
      </c>
      <c r="D439" s="11">
        <v>1</v>
      </c>
      <c r="E439" s="35" t="s">
        <v>1688</v>
      </c>
      <c r="F439" s="35">
        <f>TRUNC(중기기초자료!E39 * 중기전역변수!C18, 1)</f>
        <v>48741.599999999999</v>
      </c>
      <c r="G439" s="35">
        <f>TRUNC(F439*D439, 1)</f>
        <v>48741.599999999999</v>
      </c>
      <c r="H439" s="11" t="s">
        <v>2859</v>
      </c>
      <c r="I439" s="11" t="s">
        <v>2859</v>
      </c>
      <c r="K439" s="11" t="s">
        <v>1624</v>
      </c>
      <c r="L439" s="11" t="s">
        <v>2859</v>
      </c>
      <c r="M439" s="11" t="s">
        <v>26</v>
      </c>
      <c r="AG439" s="34" t="str">
        <f>HYPERLINK("#40","L087 →")</f>
        <v>L087 →</v>
      </c>
    </row>
    <row r="440" spans="1:33" ht="18.399999999999999" customHeight="1" x14ac:dyDescent="0.15">
      <c r="B440" s="11" t="s">
        <v>2445</v>
      </c>
      <c r="G440" s="33">
        <f>TRUNC(G439, 0)</f>
        <v>48741</v>
      </c>
    </row>
    <row r="441" spans="1:33" ht="18.399999999999999" customHeight="1" thickBot="1" x14ac:dyDescent="0.2">
      <c r="B441" s="11" t="s">
        <v>261</v>
      </c>
      <c r="G441" s="33">
        <f>TRUNC(G435+G438+G440, 0)</f>
        <v>90214</v>
      </c>
    </row>
    <row r="442" spans="1:33" ht="18.399999999999999" customHeight="1" thickTop="1" thickBot="1" x14ac:dyDescent="0.2">
      <c r="A442" s="6"/>
      <c r="B442" s="6"/>
      <c r="C442" s="6"/>
      <c r="D442" s="6"/>
      <c r="E442" s="6"/>
      <c r="F442" s="6"/>
      <c r="G442" s="6"/>
      <c r="H442" s="6"/>
    </row>
    <row r="443" spans="1:33" ht="18.399999999999999" customHeight="1" thickTop="1" thickBot="1" x14ac:dyDescent="0.2">
      <c r="A443" s="6" t="s">
        <v>2554</v>
      </c>
      <c r="B443" s="6" t="s">
        <v>644</v>
      </c>
      <c r="C443" s="6"/>
      <c r="D443" s="6"/>
      <c r="E443" s="6"/>
      <c r="F443" s="6"/>
      <c r="G443" s="6"/>
      <c r="H443" s="6"/>
      <c r="I443" s="11" t="s">
        <v>2859</v>
      </c>
      <c r="J443" s="11" t="s">
        <v>473</v>
      </c>
    </row>
    <row r="444" spans="1:33" ht="18.399999999999999" customHeight="1" thickTop="1" x14ac:dyDescent="0.15">
      <c r="A444" s="6" t="s">
        <v>780</v>
      </c>
      <c r="B444" s="6" t="s">
        <v>2983</v>
      </c>
      <c r="C444" s="6"/>
      <c r="D444" s="6"/>
      <c r="E444" s="6"/>
      <c r="F444" s="6"/>
      <c r="G444" s="6"/>
      <c r="H444" s="6"/>
    </row>
    <row r="445" spans="1:33" ht="18.399999999999999" customHeight="1" x14ac:dyDescent="0.15">
      <c r="A445" s="32" t="s">
        <v>2172</v>
      </c>
      <c r="B445" s="32"/>
      <c r="C445" s="32" t="s">
        <v>1412</v>
      </c>
      <c r="D445" s="32" t="s">
        <v>73</v>
      </c>
      <c r="E445" s="32" t="s">
        <v>2682</v>
      </c>
      <c r="F445" s="32" t="s">
        <v>623</v>
      </c>
      <c r="G445" s="32" t="s">
        <v>352</v>
      </c>
      <c r="H445" s="32" t="s">
        <v>716</v>
      </c>
    </row>
    <row r="446" spans="1:33" ht="18.399999999999999" customHeight="1" x14ac:dyDescent="0.15">
      <c r="A446" s="11" t="s">
        <v>171</v>
      </c>
      <c r="B446" s="11" t="s">
        <v>400</v>
      </c>
      <c r="C446" s="11" t="s">
        <v>2984</v>
      </c>
      <c r="D446" s="11">
        <f>(3000 + 3667 + 768)*10^-4</f>
        <v>0.74350000000000005</v>
      </c>
      <c r="E446" s="33" t="s">
        <v>338</v>
      </c>
      <c r="F446" s="33">
        <f>중기기초자료!F36</f>
        <v>4687</v>
      </c>
      <c r="G446" s="35">
        <f>TRUNC(F446*D446, 1)</f>
        <v>3484.7</v>
      </c>
      <c r="H446" s="11" t="s">
        <v>2859</v>
      </c>
      <c r="I446" s="11" t="s">
        <v>2859</v>
      </c>
      <c r="K446" s="11" t="s">
        <v>322</v>
      </c>
      <c r="L446" s="11" t="s">
        <v>2859</v>
      </c>
      <c r="M446" s="11" t="s">
        <v>2595</v>
      </c>
      <c r="N446" s="11" t="s">
        <v>2985</v>
      </c>
      <c r="AG446" s="34" t="str">
        <f>HYPERLINK("#40","G72060020 →")</f>
        <v>G72060020 →</v>
      </c>
    </row>
    <row r="447" spans="1:33" ht="18.399999999999999" customHeight="1" x14ac:dyDescent="0.15">
      <c r="B447" s="11" t="s">
        <v>2445</v>
      </c>
      <c r="G447" s="33">
        <f>TRUNC(G446, 0)</f>
        <v>3484</v>
      </c>
    </row>
    <row r="448" spans="1:33" ht="18.399999999999999" customHeight="1" x14ac:dyDescent="0.15">
      <c r="A448" s="11" t="s">
        <v>1942</v>
      </c>
    </row>
    <row r="449" spans="1:33" ht="18.399999999999999" customHeight="1" x14ac:dyDescent="0.15">
      <c r="B449" s="11" t="s">
        <v>2445</v>
      </c>
    </row>
    <row r="450" spans="1:33" ht="18.399999999999999" customHeight="1" x14ac:dyDescent="0.15">
      <c r="A450" s="11" t="s">
        <v>1175</v>
      </c>
    </row>
    <row r="451" spans="1:33" ht="18.399999999999999" customHeight="1" x14ac:dyDescent="0.15">
      <c r="B451" s="11" t="s">
        <v>2445</v>
      </c>
    </row>
    <row r="452" spans="1:33" ht="18.399999999999999" customHeight="1" thickBot="1" x14ac:dyDescent="0.2">
      <c r="B452" s="11" t="s">
        <v>261</v>
      </c>
      <c r="G452" s="33">
        <f>TRUNC(G447+G449+G451, 0)</f>
        <v>3484</v>
      </c>
    </row>
    <row r="453" spans="1:33" ht="18.399999999999999" customHeight="1" thickTop="1" thickBot="1" x14ac:dyDescent="0.2">
      <c r="A453" s="6"/>
      <c r="B453" s="6"/>
      <c r="C453" s="6"/>
      <c r="D453" s="6"/>
      <c r="E453" s="6"/>
      <c r="F453" s="6"/>
      <c r="G453" s="6"/>
      <c r="H453" s="6"/>
    </row>
    <row r="454" spans="1:33" ht="18.399999999999999" customHeight="1" thickTop="1" thickBot="1" x14ac:dyDescent="0.2">
      <c r="A454" s="6" t="s">
        <v>2554</v>
      </c>
      <c r="B454" s="6" t="s">
        <v>347</v>
      </c>
      <c r="C454" s="6"/>
      <c r="D454" s="6"/>
      <c r="E454" s="6"/>
      <c r="F454" s="6"/>
      <c r="G454" s="6"/>
      <c r="H454" s="6"/>
      <c r="I454" s="11" t="s">
        <v>2859</v>
      </c>
      <c r="J454" s="11" t="s">
        <v>2713</v>
      </c>
    </row>
    <row r="455" spans="1:33" ht="18.399999999999999" customHeight="1" thickTop="1" x14ac:dyDescent="0.15">
      <c r="A455" s="6" t="s">
        <v>780</v>
      </c>
      <c r="B455" s="6" t="s">
        <v>2986</v>
      </c>
      <c r="C455" s="6"/>
      <c r="D455" s="6"/>
      <c r="E455" s="6"/>
      <c r="F455" s="6"/>
      <c r="G455" s="6"/>
      <c r="H455" s="6"/>
    </row>
    <row r="456" spans="1:33" ht="18.399999999999999" customHeight="1" x14ac:dyDescent="0.15">
      <c r="A456" s="32" t="s">
        <v>2172</v>
      </c>
      <c r="B456" s="32"/>
      <c r="C456" s="32" t="s">
        <v>1412</v>
      </c>
      <c r="D456" s="32" t="s">
        <v>73</v>
      </c>
      <c r="E456" s="32" t="s">
        <v>2682</v>
      </c>
      <c r="F456" s="32" t="s">
        <v>623</v>
      </c>
      <c r="G456" s="32" t="s">
        <v>352</v>
      </c>
      <c r="H456" s="32" t="s">
        <v>716</v>
      </c>
    </row>
    <row r="457" spans="1:33" ht="18.399999999999999" customHeight="1" x14ac:dyDescent="0.15">
      <c r="A457" s="11" t="s">
        <v>171</v>
      </c>
      <c r="B457" s="11" t="s">
        <v>2407</v>
      </c>
      <c r="C457" s="11" t="s">
        <v>2581</v>
      </c>
      <c r="D457" s="11">
        <f>(1125 + 1000 + 674)*10^-4</f>
        <v>0.27990000000000004</v>
      </c>
      <c r="E457" s="33" t="s">
        <v>338</v>
      </c>
      <c r="F457" s="33">
        <f>중기기초자료!F37</f>
        <v>875</v>
      </c>
      <c r="G457" s="35">
        <f>TRUNC(F457*D457, 1)</f>
        <v>244.9</v>
      </c>
      <c r="H457" s="11" t="s">
        <v>2859</v>
      </c>
      <c r="I457" s="11" t="s">
        <v>2859</v>
      </c>
      <c r="K457" s="11" t="s">
        <v>322</v>
      </c>
      <c r="L457" s="11" t="s">
        <v>2859</v>
      </c>
      <c r="M457" s="11" t="s">
        <v>633</v>
      </c>
      <c r="N457" s="11" t="s">
        <v>2987</v>
      </c>
      <c r="AG457" s="34" t="str">
        <f>HYPERLINK("#40","G72100485 →")</f>
        <v>G72100485 →</v>
      </c>
    </row>
    <row r="458" spans="1:33" ht="18.399999999999999" customHeight="1" x14ac:dyDescent="0.15">
      <c r="B458" s="11" t="s">
        <v>2445</v>
      </c>
      <c r="G458" s="33">
        <f>TRUNC(G457, 0)</f>
        <v>244</v>
      </c>
    </row>
    <row r="459" spans="1:33" ht="18.399999999999999" customHeight="1" x14ac:dyDescent="0.15">
      <c r="A459" s="11" t="s">
        <v>1942</v>
      </c>
      <c r="B459" s="11" t="s">
        <v>810</v>
      </c>
      <c r="C459" s="11" t="s">
        <v>2859</v>
      </c>
      <c r="D459" s="11">
        <v>1.3</v>
      </c>
      <c r="E459" s="59" t="s">
        <v>2814</v>
      </c>
      <c r="F459" s="59">
        <f>중기기초자료!D42</f>
        <v>1538</v>
      </c>
      <c r="G459" s="35">
        <f>TRUNC(F459*D459, 1)</f>
        <v>1999.4</v>
      </c>
      <c r="H459" s="11" t="s">
        <v>2859</v>
      </c>
      <c r="I459" s="11" t="s">
        <v>2859</v>
      </c>
      <c r="K459" s="11" t="s">
        <v>2491</v>
      </c>
      <c r="L459" s="11" t="s">
        <v>2859</v>
      </c>
      <c r="M459" s="11" t="s">
        <v>2444</v>
      </c>
      <c r="AG459" s="34" t="str">
        <f>HYPERLINK("#40","M9360003 →")</f>
        <v>M9360003 →</v>
      </c>
    </row>
    <row r="460" spans="1:33" ht="18.399999999999999" customHeight="1" x14ac:dyDescent="0.15">
      <c r="B460" s="11" t="s">
        <v>2927</v>
      </c>
      <c r="C460" s="11" t="s">
        <v>2859</v>
      </c>
      <c r="D460" s="11">
        <v>20</v>
      </c>
      <c r="E460" s="59" t="s">
        <v>2928</v>
      </c>
      <c r="F460" s="59">
        <v>0</v>
      </c>
      <c r="G460" s="35">
        <f>TRUNC((G459) * D460/100, 1)</f>
        <v>399.8</v>
      </c>
      <c r="H460" s="11" t="s">
        <v>2859</v>
      </c>
      <c r="I460" s="11" t="s">
        <v>2859</v>
      </c>
      <c r="K460" s="11" t="s">
        <v>1745</v>
      </c>
      <c r="L460" s="11" t="s">
        <v>2859</v>
      </c>
      <c r="M460" s="11" t="s">
        <v>2929</v>
      </c>
      <c r="N460" s="11" t="s">
        <v>2859</v>
      </c>
      <c r="AG460" s="34" t="str">
        <f>HYPERLINK("#40","F/M1 →")</f>
        <v>F/M1 →</v>
      </c>
    </row>
    <row r="461" spans="1:33" ht="18.399999999999999" customHeight="1" x14ac:dyDescent="0.15">
      <c r="B461" s="11" t="s">
        <v>2445</v>
      </c>
      <c r="G461" s="33">
        <f>TRUNC(G459+G460, 0)</f>
        <v>2399</v>
      </c>
    </row>
    <row r="462" spans="1:33" ht="18.399999999999999" customHeight="1" x14ac:dyDescent="0.15">
      <c r="A462" s="11" t="s">
        <v>1175</v>
      </c>
    </row>
    <row r="463" spans="1:33" ht="18.399999999999999" customHeight="1" x14ac:dyDescent="0.15">
      <c r="B463" s="11" t="s">
        <v>2445</v>
      </c>
    </row>
    <row r="464" spans="1:33" ht="18.399999999999999" customHeight="1" thickBot="1" x14ac:dyDescent="0.2">
      <c r="B464" s="11" t="s">
        <v>261</v>
      </c>
      <c r="G464" s="33">
        <f>TRUNC(G458+G461+G463, 0)</f>
        <v>2643</v>
      </c>
    </row>
    <row r="465" spans="1:8" ht="18.399999999999999" customHeight="1" thickTop="1" x14ac:dyDescent="0.15">
      <c r="A465" s="6"/>
      <c r="B465" s="6"/>
      <c r="C465" s="6"/>
      <c r="D465" s="6"/>
      <c r="E465" s="6"/>
      <c r="F465" s="6"/>
      <c r="G465" s="6"/>
      <c r="H465" s="6"/>
    </row>
  </sheetData>
  <phoneticPr fontId="5" type="noConversion"/>
  <pageMargins left="0.31496062992125984" right="0.31496062992125984" top="1" bottom="0.59055118110236215" header="0.5" footer="0.5"/>
  <pageSetup paperSize="9" orientation="portrait" copies="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3"/>
  <sheetViews>
    <sheetView workbookViewId="0">
      <selection activeCell="F8" sqref="F8"/>
    </sheetView>
  </sheetViews>
  <sheetFormatPr defaultRowHeight="18.399999999999999" customHeight="1" x14ac:dyDescent="0.15"/>
  <cols>
    <col min="1" max="1" width="25" customWidth="1"/>
    <col min="2" max="2" width="20" customWidth="1"/>
    <col min="3" max="3" width="5" customWidth="1"/>
    <col min="4" max="7" width="15" customWidth="1"/>
    <col min="8" max="8" width="10" customWidth="1"/>
    <col min="9" max="10" width="0" hidden="1" customWidth="1"/>
  </cols>
  <sheetData>
    <row r="1" spans="1:10" ht="18.399999999999999" customHeight="1" thickBot="1" x14ac:dyDescent="0.2">
      <c r="A1" t="s">
        <v>1137</v>
      </c>
    </row>
    <row r="2" spans="1:10" ht="18.399999999999999" customHeight="1" thickBot="1" x14ac:dyDescent="0.2">
      <c r="A2" s="18" t="s">
        <v>2004</v>
      </c>
      <c r="B2" s="19" t="s">
        <v>1092</v>
      </c>
      <c r="C2" s="19" t="s">
        <v>2682</v>
      </c>
      <c r="D2" s="19" t="s">
        <v>1942</v>
      </c>
      <c r="E2" s="19" t="s">
        <v>1175</v>
      </c>
      <c r="F2" s="19" t="s">
        <v>171</v>
      </c>
      <c r="G2" s="19" t="s">
        <v>2786</v>
      </c>
      <c r="H2" s="21" t="s">
        <v>716</v>
      </c>
    </row>
    <row r="3" spans="1:10" ht="18.399999999999999" customHeight="1" x14ac:dyDescent="0.15">
      <c r="A3" s="13" t="s">
        <v>815</v>
      </c>
      <c r="B3" s="2" t="s">
        <v>1916</v>
      </c>
      <c r="C3" s="2" t="s">
        <v>338</v>
      </c>
      <c r="D3" s="29">
        <v>0</v>
      </c>
      <c r="E3" s="30">
        <v>0</v>
      </c>
      <c r="F3" s="31">
        <v>184499</v>
      </c>
      <c r="G3" s="29">
        <v>184499</v>
      </c>
      <c r="H3" s="22" t="s">
        <v>2859</v>
      </c>
      <c r="I3" t="s">
        <v>2859</v>
      </c>
      <c r="J3" t="s">
        <v>203</v>
      </c>
    </row>
    <row r="4" spans="1:10" ht="18.399999999999999" customHeight="1" x14ac:dyDescent="0.15">
      <c r="A4" s="13" t="s">
        <v>815</v>
      </c>
      <c r="B4" s="2" t="s">
        <v>2028</v>
      </c>
      <c r="C4" s="2" t="s">
        <v>338</v>
      </c>
      <c r="D4" s="29">
        <v>0</v>
      </c>
      <c r="E4" s="30">
        <v>0</v>
      </c>
      <c r="F4" s="31">
        <v>248388</v>
      </c>
      <c r="G4" s="29">
        <v>248388</v>
      </c>
      <c r="H4" s="22" t="s">
        <v>2859</v>
      </c>
      <c r="I4" t="s">
        <v>2859</v>
      </c>
      <c r="J4" t="s">
        <v>318</v>
      </c>
    </row>
    <row r="5" spans="1:10" ht="18.399999999999999" customHeight="1" x14ac:dyDescent="0.15">
      <c r="A5" s="13" t="s">
        <v>894</v>
      </c>
      <c r="B5" s="2" t="s">
        <v>11</v>
      </c>
      <c r="C5" s="2" t="s">
        <v>338</v>
      </c>
      <c r="D5" s="29">
        <v>0</v>
      </c>
      <c r="E5" s="30">
        <v>0</v>
      </c>
      <c r="F5" s="31">
        <v>62550</v>
      </c>
      <c r="G5" s="29">
        <v>62550</v>
      </c>
      <c r="H5" s="22" t="s">
        <v>2859</v>
      </c>
      <c r="I5" t="s">
        <v>2859</v>
      </c>
      <c r="J5" t="s">
        <v>2676</v>
      </c>
    </row>
    <row r="6" spans="1:10" ht="18.399999999999999" customHeight="1" x14ac:dyDescent="0.15">
      <c r="A6" s="13" t="s">
        <v>894</v>
      </c>
      <c r="B6" s="2" t="s">
        <v>981</v>
      </c>
      <c r="C6" s="2" t="s">
        <v>338</v>
      </c>
      <c r="D6" s="29">
        <v>0</v>
      </c>
      <c r="E6" s="30">
        <v>0</v>
      </c>
      <c r="F6" s="31">
        <v>105310</v>
      </c>
      <c r="G6" s="29">
        <v>105310</v>
      </c>
      <c r="H6" s="22" t="s">
        <v>2859</v>
      </c>
      <c r="I6" t="s">
        <v>2859</v>
      </c>
      <c r="J6" t="s">
        <v>2624</v>
      </c>
    </row>
    <row r="7" spans="1:10" ht="18.399999999999999" customHeight="1" x14ac:dyDescent="0.15">
      <c r="A7" s="13" t="s">
        <v>894</v>
      </c>
      <c r="B7" s="2" t="s">
        <v>524</v>
      </c>
      <c r="C7" s="2" t="s">
        <v>338</v>
      </c>
      <c r="D7" s="29">
        <v>0</v>
      </c>
      <c r="E7" s="30">
        <v>0</v>
      </c>
      <c r="F7" s="31">
        <v>110926</v>
      </c>
      <c r="G7" s="29">
        <v>110926</v>
      </c>
      <c r="H7" s="22" t="s">
        <v>2859</v>
      </c>
      <c r="I7" t="s">
        <v>2859</v>
      </c>
      <c r="J7" t="s">
        <v>1902</v>
      </c>
    </row>
    <row r="8" spans="1:10" ht="18.399999999999999" customHeight="1" x14ac:dyDescent="0.15">
      <c r="A8" s="13" t="s">
        <v>894</v>
      </c>
      <c r="B8" s="2" t="s">
        <v>1138</v>
      </c>
      <c r="C8" s="2" t="s">
        <v>338</v>
      </c>
      <c r="D8" s="29">
        <v>0</v>
      </c>
      <c r="E8" s="30">
        <v>0</v>
      </c>
      <c r="F8" s="31">
        <v>122100</v>
      </c>
      <c r="G8" s="29">
        <v>122100</v>
      </c>
      <c r="H8" s="22" t="s">
        <v>2859</v>
      </c>
      <c r="I8" t="s">
        <v>2859</v>
      </c>
      <c r="J8" t="s">
        <v>1134</v>
      </c>
    </row>
    <row r="9" spans="1:10" ht="18.399999999999999" customHeight="1" x14ac:dyDescent="0.15">
      <c r="A9" s="13" t="s">
        <v>855</v>
      </c>
      <c r="B9" s="2" t="s">
        <v>981</v>
      </c>
      <c r="C9" s="2" t="s">
        <v>338</v>
      </c>
      <c r="D9" s="29">
        <v>0</v>
      </c>
      <c r="E9" s="30">
        <v>0</v>
      </c>
      <c r="F9" s="31">
        <v>112684</v>
      </c>
      <c r="G9" s="29">
        <v>112684</v>
      </c>
      <c r="H9" s="22" t="s">
        <v>2859</v>
      </c>
      <c r="I9" t="s">
        <v>2859</v>
      </c>
      <c r="J9" t="s">
        <v>888</v>
      </c>
    </row>
    <row r="10" spans="1:10" ht="18.399999999999999" customHeight="1" x14ac:dyDescent="0.15">
      <c r="A10" s="13" t="s">
        <v>855</v>
      </c>
      <c r="B10" s="2" t="s">
        <v>1138</v>
      </c>
      <c r="C10" s="2" t="s">
        <v>338</v>
      </c>
      <c r="D10" s="29">
        <v>0</v>
      </c>
      <c r="E10" s="30">
        <v>0</v>
      </c>
      <c r="F10" s="31">
        <v>131171</v>
      </c>
      <c r="G10" s="29">
        <v>131171</v>
      </c>
      <c r="H10" s="22" t="s">
        <v>2859</v>
      </c>
      <c r="I10" t="s">
        <v>2859</v>
      </c>
      <c r="J10" t="s">
        <v>2137</v>
      </c>
    </row>
    <row r="11" spans="1:10" ht="18.399999999999999" customHeight="1" x14ac:dyDescent="0.15">
      <c r="A11" s="13" t="s">
        <v>833</v>
      </c>
      <c r="B11" s="2" t="s">
        <v>1836</v>
      </c>
      <c r="C11" s="2" t="s">
        <v>338</v>
      </c>
      <c r="D11" s="29">
        <v>0</v>
      </c>
      <c r="E11" s="30">
        <v>0</v>
      </c>
      <c r="F11" s="31">
        <v>16315</v>
      </c>
      <c r="G11" s="29">
        <v>16315</v>
      </c>
      <c r="H11" s="22" t="s">
        <v>2859</v>
      </c>
      <c r="I11" t="s">
        <v>2859</v>
      </c>
      <c r="J11" t="s">
        <v>2324</v>
      </c>
    </row>
    <row r="12" spans="1:10" ht="18.399999999999999" customHeight="1" x14ac:dyDescent="0.15">
      <c r="A12" s="13" t="s">
        <v>2481</v>
      </c>
      <c r="B12" s="2" t="s">
        <v>1836</v>
      </c>
      <c r="C12" s="2" t="s">
        <v>2837</v>
      </c>
      <c r="D12" s="29">
        <v>0</v>
      </c>
      <c r="E12" s="30">
        <v>0</v>
      </c>
      <c r="F12" s="31">
        <v>223000</v>
      </c>
      <c r="G12" s="29">
        <v>223000</v>
      </c>
      <c r="H12" s="22" t="s">
        <v>2859</v>
      </c>
      <c r="I12" t="s">
        <v>2859</v>
      </c>
      <c r="J12" t="s">
        <v>1111</v>
      </c>
    </row>
    <row r="13" spans="1:10" ht="18.399999999999999" customHeight="1" x14ac:dyDescent="0.15">
      <c r="A13" s="13" t="s">
        <v>2638</v>
      </c>
      <c r="B13" s="2" t="s">
        <v>378</v>
      </c>
      <c r="C13" s="2" t="s">
        <v>338</v>
      </c>
      <c r="D13" s="29">
        <v>0</v>
      </c>
      <c r="E13" s="30">
        <v>0</v>
      </c>
      <c r="F13" s="31">
        <v>111381</v>
      </c>
      <c r="G13" s="29">
        <v>111381</v>
      </c>
      <c r="H13" s="22" t="s">
        <v>2859</v>
      </c>
      <c r="I13" t="s">
        <v>2859</v>
      </c>
      <c r="J13" t="s">
        <v>2370</v>
      </c>
    </row>
    <row r="14" spans="1:10" ht="18.399999999999999" customHeight="1" x14ac:dyDescent="0.15">
      <c r="A14" s="13" t="s">
        <v>1272</v>
      </c>
      <c r="B14" s="2" t="s">
        <v>1174</v>
      </c>
      <c r="C14" s="2" t="s">
        <v>338</v>
      </c>
      <c r="D14" s="29">
        <v>0</v>
      </c>
      <c r="E14" s="30">
        <v>0</v>
      </c>
      <c r="F14" s="31">
        <v>20793</v>
      </c>
      <c r="G14" s="29">
        <v>20793</v>
      </c>
      <c r="H14" s="22" t="s">
        <v>2859</v>
      </c>
      <c r="I14" t="s">
        <v>2859</v>
      </c>
      <c r="J14" t="s">
        <v>1801</v>
      </c>
    </row>
    <row r="15" spans="1:10" ht="18.399999999999999" customHeight="1" x14ac:dyDescent="0.15">
      <c r="A15" s="13" t="s">
        <v>1272</v>
      </c>
      <c r="B15" s="2" t="s">
        <v>346</v>
      </c>
      <c r="C15" s="2" t="s">
        <v>338</v>
      </c>
      <c r="D15" s="29">
        <v>0</v>
      </c>
      <c r="E15" s="30">
        <v>0</v>
      </c>
      <c r="F15" s="31">
        <v>24274</v>
      </c>
      <c r="G15" s="29">
        <v>24274</v>
      </c>
      <c r="H15" s="22" t="s">
        <v>2859</v>
      </c>
      <c r="I15" t="s">
        <v>2859</v>
      </c>
      <c r="J15" t="s">
        <v>390</v>
      </c>
    </row>
    <row r="16" spans="1:10" ht="18.399999999999999" customHeight="1" x14ac:dyDescent="0.15">
      <c r="A16" s="13" t="s">
        <v>1272</v>
      </c>
      <c r="B16" s="2" t="s">
        <v>1921</v>
      </c>
      <c r="C16" s="2" t="s">
        <v>338</v>
      </c>
      <c r="D16" s="29">
        <v>0</v>
      </c>
      <c r="E16" s="30">
        <v>0</v>
      </c>
      <c r="F16" s="31">
        <v>86142</v>
      </c>
      <c r="G16" s="29">
        <v>86142</v>
      </c>
      <c r="H16" s="22" t="s">
        <v>2859</v>
      </c>
      <c r="I16" t="s">
        <v>2859</v>
      </c>
      <c r="J16" t="s">
        <v>2489</v>
      </c>
    </row>
    <row r="17" spans="1:10" ht="18.399999999999999" customHeight="1" x14ac:dyDescent="0.15">
      <c r="A17" s="13" t="s">
        <v>1904</v>
      </c>
      <c r="B17" s="2" t="s">
        <v>1</v>
      </c>
      <c r="C17" s="2" t="s">
        <v>338</v>
      </c>
      <c r="D17" s="29">
        <v>0</v>
      </c>
      <c r="E17" s="30">
        <v>0</v>
      </c>
      <c r="F17" s="31">
        <v>67161</v>
      </c>
      <c r="G17" s="29">
        <v>67161</v>
      </c>
      <c r="H17" s="22" t="s">
        <v>2859</v>
      </c>
      <c r="I17" t="s">
        <v>2859</v>
      </c>
      <c r="J17" t="s">
        <v>187</v>
      </c>
    </row>
    <row r="18" spans="1:10" ht="18.399999999999999" customHeight="1" x14ac:dyDescent="0.15">
      <c r="A18" s="13" t="s">
        <v>570</v>
      </c>
      <c r="B18" s="2" t="s">
        <v>2036</v>
      </c>
      <c r="C18" s="2" t="s">
        <v>338</v>
      </c>
      <c r="D18" s="29">
        <v>0</v>
      </c>
      <c r="E18" s="30">
        <v>0</v>
      </c>
      <c r="F18" s="31">
        <v>45760</v>
      </c>
      <c r="G18" s="29">
        <v>45760</v>
      </c>
      <c r="H18" s="22" t="s">
        <v>2859</v>
      </c>
      <c r="I18" t="s">
        <v>2859</v>
      </c>
      <c r="J18" t="s">
        <v>2310</v>
      </c>
    </row>
    <row r="19" spans="1:10" ht="18.399999999999999" customHeight="1" x14ac:dyDescent="0.15">
      <c r="A19" s="13" t="s">
        <v>1586</v>
      </c>
      <c r="B19" s="2" t="s">
        <v>912</v>
      </c>
      <c r="C19" s="2" t="s">
        <v>338</v>
      </c>
      <c r="D19" s="29">
        <v>0</v>
      </c>
      <c r="E19" s="30">
        <v>0</v>
      </c>
      <c r="F19" s="31">
        <v>6537</v>
      </c>
      <c r="G19" s="29">
        <v>6537</v>
      </c>
      <c r="H19" s="22" t="s">
        <v>2859</v>
      </c>
      <c r="I19" t="s">
        <v>2859</v>
      </c>
      <c r="J19" t="s">
        <v>402</v>
      </c>
    </row>
    <row r="20" spans="1:10" ht="18.399999999999999" customHeight="1" x14ac:dyDescent="0.15">
      <c r="A20" s="13" t="s">
        <v>2685</v>
      </c>
      <c r="B20" s="2" t="s">
        <v>763</v>
      </c>
      <c r="C20" s="2" t="s">
        <v>338</v>
      </c>
      <c r="D20" s="29">
        <v>0</v>
      </c>
      <c r="E20" s="30">
        <v>0</v>
      </c>
      <c r="F20" s="31">
        <v>17252</v>
      </c>
      <c r="G20" s="29">
        <v>17252</v>
      </c>
      <c r="H20" s="22" t="s">
        <v>2859</v>
      </c>
      <c r="I20" t="s">
        <v>2859</v>
      </c>
      <c r="J20" t="s">
        <v>1034</v>
      </c>
    </row>
    <row r="21" spans="1:10" ht="18.399999999999999" customHeight="1" x14ac:dyDescent="0.15">
      <c r="A21" s="13" t="s">
        <v>2685</v>
      </c>
      <c r="B21" s="2" t="s">
        <v>2483</v>
      </c>
      <c r="C21" s="2" t="s">
        <v>2259</v>
      </c>
      <c r="D21" s="29">
        <v>0</v>
      </c>
      <c r="E21" s="30">
        <v>0</v>
      </c>
      <c r="F21" s="31">
        <v>90125</v>
      </c>
      <c r="G21" s="29">
        <v>90125</v>
      </c>
      <c r="H21" s="22" t="s">
        <v>2859</v>
      </c>
      <c r="I21" t="s">
        <v>2859</v>
      </c>
      <c r="J21" t="s">
        <v>1112</v>
      </c>
    </row>
    <row r="22" spans="1:10" ht="18.399999999999999" customHeight="1" x14ac:dyDescent="0.15">
      <c r="A22" s="13" t="s">
        <v>2432</v>
      </c>
      <c r="B22" s="2" t="s">
        <v>130</v>
      </c>
      <c r="C22" s="2" t="s">
        <v>2259</v>
      </c>
      <c r="D22" s="29">
        <v>0</v>
      </c>
      <c r="E22" s="30">
        <v>0</v>
      </c>
      <c r="F22" s="31">
        <v>92182</v>
      </c>
      <c r="G22" s="29">
        <v>92182</v>
      </c>
      <c r="H22" s="22" t="s">
        <v>2859</v>
      </c>
      <c r="I22" t="s">
        <v>2859</v>
      </c>
      <c r="J22" t="s">
        <v>225</v>
      </c>
    </row>
    <row r="23" spans="1:10" ht="18.399999999999999" customHeight="1" x14ac:dyDescent="0.15">
      <c r="A23" s="13" t="s">
        <v>1331</v>
      </c>
      <c r="B23" s="2" t="s">
        <v>2425</v>
      </c>
      <c r="C23" s="2" t="s">
        <v>2259</v>
      </c>
      <c r="D23" s="29">
        <v>0</v>
      </c>
      <c r="E23" s="30">
        <v>0</v>
      </c>
      <c r="F23" s="31">
        <v>1570</v>
      </c>
      <c r="G23" s="29">
        <v>1570</v>
      </c>
      <c r="H23" s="22" t="s">
        <v>2859</v>
      </c>
      <c r="I23" t="s">
        <v>2859</v>
      </c>
      <c r="J23" t="s">
        <v>1489</v>
      </c>
    </row>
    <row r="24" spans="1:10" ht="18.399999999999999" customHeight="1" x14ac:dyDescent="0.15">
      <c r="A24" s="13" t="s">
        <v>521</v>
      </c>
      <c r="B24" s="2" t="s">
        <v>2483</v>
      </c>
      <c r="C24" s="2" t="s">
        <v>338</v>
      </c>
      <c r="D24" s="29">
        <v>0</v>
      </c>
      <c r="E24" s="30">
        <v>0</v>
      </c>
      <c r="F24" s="31">
        <v>131000</v>
      </c>
      <c r="G24" s="29">
        <v>131000</v>
      </c>
      <c r="H24" s="22" t="s">
        <v>2859</v>
      </c>
      <c r="I24" t="s">
        <v>2859</v>
      </c>
      <c r="J24" t="s">
        <v>2101</v>
      </c>
    </row>
    <row r="25" spans="1:10" ht="18.399999999999999" customHeight="1" x14ac:dyDescent="0.15">
      <c r="A25" s="13" t="s">
        <v>978</v>
      </c>
      <c r="B25" s="2" t="s">
        <v>288</v>
      </c>
      <c r="C25" s="2" t="s">
        <v>338</v>
      </c>
      <c r="D25" s="29">
        <v>0</v>
      </c>
      <c r="E25" s="30">
        <v>0</v>
      </c>
      <c r="F25" s="31">
        <v>38469</v>
      </c>
      <c r="G25" s="29">
        <v>38469</v>
      </c>
      <c r="H25" s="22" t="s">
        <v>2859</v>
      </c>
      <c r="I25" t="s">
        <v>2859</v>
      </c>
      <c r="J25" t="s">
        <v>2155</v>
      </c>
    </row>
    <row r="26" spans="1:10" ht="18.399999999999999" customHeight="1" x14ac:dyDescent="0.15">
      <c r="A26" s="13" t="s">
        <v>1327</v>
      </c>
      <c r="B26" s="2" t="s">
        <v>2483</v>
      </c>
      <c r="C26" s="2" t="s">
        <v>338</v>
      </c>
      <c r="D26" s="29">
        <v>0</v>
      </c>
      <c r="E26" s="30">
        <v>0</v>
      </c>
      <c r="F26" s="31">
        <v>83693</v>
      </c>
      <c r="G26" s="29">
        <v>83693</v>
      </c>
      <c r="H26" s="22" t="s">
        <v>2859</v>
      </c>
      <c r="I26" t="s">
        <v>2859</v>
      </c>
      <c r="J26" t="s">
        <v>136</v>
      </c>
    </row>
    <row r="27" spans="1:10" ht="18.399999999999999" customHeight="1" x14ac:dyDescent="0.15">
      <c r="A27" s="13" t="s">
        <v>1327</v>
      </c>
      <c r="B27" s="2" t="s">
        <v>1921</v>
      </c>
      <c r="C27" s="2" t="s">
        <v>338</v>
      </c>
      <c r="D27" s="29">
        <v>0</v>
      </c>
      <c r="E27" s="30">
        <v>0</v>
      </c>
      <c r="F27" s="31">
        <v>108264</v>
      </c>
      <c r="G27" s="29">
        <v>108264</v>
      </c>
      <c r="H27" s="22" t="s">
        <v>2859</v>
      </c>
      <c r="I27" t="s">
        <v>2859</v>
      </c>
      <c r="J27" t="s">
        <v>1465</v>
      </c>
    </row>
    <row r="28" spans="1:10" ht="18.399999999999999" customHeight="1" x14ac:dyDescent="0.15">
      <c r="A28" s="13" t="s">
        <v>2323</v>
      </c>
      <c r="B28" s="2" t="s">
        <v>1299</v>
      </c>
      <c r="C28" s="2" t="s">
        <v>338</v>
      </c>
      <c r="D28" s="29">
        <v>0</v>
      </c>
      <c r="E28" s="30">
        <v>0</v>
      </c>
      <c r="F28" s="31">
        <v>63483</v>
      </c>
      <c r="G28" s="29">
        <v>63483</v>
      </c>
      <c r="H28" s="22" t="s">
        <v>2859</v>
      </c>
      <c r="I28" t="s">
        <v>2859</v>
      </c>
      <c r="J28" t="s">
        <v>2572</v>
      </c>
    </row>
    <row r="29" spans="1:10" ht="18.399999999999999" customHeight="1" x14ac:dyDescent="0.15">
      <c r="A29" s="13" t="s">
        <v>881</v>
      </c>
      <c r="B29" s="2" t="s">
        <v>1901</v>
      </c>
      <c r="C29" s="2" t="s">
        <v>338</v>
      </c>
      <c r="D29" s="29">
        <v>0</v>
      </c>
      <c r="E29" s="30">
        <v>0</v>
      </c>
      <c r="F29" s="31">
        <v>226673</v>
      </c>
      <c r="G29" s="29">
        <v>226673</v>
      </c>
      <c r="H29" s="22" t="s">
        <v>2859</v>
      </c>
      <c r="I29" t="s">
        <v>2859</v>
      </c>
      <c r="J29" t="s">
        <v>561</v>
      </c>
    </row>
    <row r="30" spans="1:10" ht="18.399999999999999" customHeight="1" x14ac:dyDescent="0.15">
      <c r="A30" s="13" t="s">
        <v>1511</v>
      </c>
      <c r="B30" s="2" t="s">
        <v>1575</v>
      </c>
      <c r="C30" s="2" t="s">
        <v>338</v>
      </c>
      <c r="D30" s="29">
        <v>0</v>
      </c>
      <c r="E30" s="30">
        <v>0</v>
      </c>
      <c r="F30" s="31">
        <v>2917</v>
      </c>
      <c r="G30" s="29">
        <v>2917</v>
      </c>
      <c r="H30" s="22" t="s">
        <v>2859</v>
      </c>
      <c r="I30" t="s">
        <v>2859</v>
      </c>
      <c r="J30" t="s">
        <v>1359</v>
      </c>
    </row>
    <row r="31" spans="1:10" ht="18.399999999999999" customHeight="1" x14ac:dyDescent="0.15">
      <c r="A31" s="13" t="s">
        <v>1295</v>
      </c>
      <c r="B31" s="2" t="s">
        <v>2509</v>
      </c>
      <c r="C31" s="2" t="s">
        <v>338</v>
      </c>
      <c r="D31" s="29">
        <v>0</v>
      </c>
      <c r="E31" s="30">
        <v>0</v>
      </c>
      <c r="F31" s="31">
        <v>2954</v>
      </c>
      <c r="G31" s="29">
        <v>2954</v>
      </c>
      <c r="H31" s="22" t="s">
        <v>2859</v>
      </c>
      <c r="I31" t="s">
        <v>2859</v>
      </c>
      <c r="J31" t="s">
        <v>1246</v>
      </c>
    </row>
    <row r="32" spans="1:10" ht="18.399999999999999" customHeight="1" x14ac:dyDescent="0.15">
      <c r="A32" s="13" t="s">
        <v>1662</v>
      </c>
      <c r="B32" s="2" t="s">
        <v>612</v>
      </c>
      <c r="C32" s="2" t="s">
        <v>338</v>
      </c>
      <c r="D32" s="29">
        <v>0</v>
      </c>
      <c r="E32" s="30">
        <v>0</v>
      </c>
      <c r="F32" s="31">
        <v>257846</v>
      </c>
      <c r="G32" s="29">
        <v>257846</v>
      </c>
      <c r="H32" s="22" t="s">
        <v>2859</v>
      </c>
      <c r="I32" t="s">
        <v>2859</v>
      </c>
      <c r="J32" t="s">
        <v>1512</v>
      </c>
    </row>
    <row r="33" spans="1:10" ht="18.399999999999999" customHeight="1" x14ac:dyDescent="0.15">
      <c r="A33" s="13" t="s">
        <v>2439</v>
      </c>
      <c r="B33" s="2" t="s">
        <v>2263</v>
      </c>
      <c r="C33" s="2" t="s">
        <v>338</v>
      </c>
      <c r="D33" s="29">
        <v>0</v>
      </c>
      <c r="E33" s="30">
        <v>0</v>
      </c>
      <c r="F33" s="31">
        <v>14718</v>
      </c>
      <c r="G33" s="29">
        <v>14718</v>
      </c>
      <c r="H33" s="22" t="s">
        <v>2859</v>
      </c>
      <c r="I33" t="s">
        <v>2859</v>
      </c>
      <c r="J33" t="s">
        <v>2131</v>
      </c>
    </row>
    <row r="34" spans="1:10" ht="18.399999999999999" customHeight="1" x14ac:dyDescent="0.15">
      <c r="A34" s="13" t="s">
        <v>516</v>
      </c>
      <c r="B34" s="2" t="s">
        <v>1741</v>
      </c>
      <c r="C34" s="2" t="s">
        <v>338</v>
      </c>
      <c r="D34" s="29">
        <v>0</v>
      </c>
      <c r="E34" s="30">
        <v>0</v>
      </c>
      <c r="F34" s="31">
        <v>44820</v>
      </c>
      <c r="G34" s="29">
        <v>44820</v>
      </c>
      <c r="H34" s="22" t="s">
        <v>2859</v>
      </c>
      <c r="I34" t="s">
        <v>2859</v>
      </c>
      <c r="J34" t="s">
        <v>2300</v>
      </c>
    </row>
    <row r="35" spans="1:10" ht="18.399999999999999" customHeight="1" x14ac:dyDescent="0.15">
      <c r="A35" s="13" t="s">
        <v>516</v>
      </c>
      <c r="B35" s="2" t="s">
        <v>1378</v>
      </c>
      <c r="C35" s="2" t="s">
        <v>338</v>
      </c>
      <c r="D35" s="29">
        <v>0</v>
      </c>
      <c r="E35" s="30">
        <v>0</v>
      </c>
      <c r="F35" s="31">
        <v>85962</v>
      </c>
      <c r="G35" s="29">
        <v>85962</v>
      </c>
      <c r="H35" s="22" t="s">
        <v>2859</v>
      </c>
      <c r="I35" t="s">
        <v>2859</v>
      </c>
      <c r="J35" t="s">
        <v>1996</v>
      </c>
    </row>
    <row r="36" spans="1:10" ht="18.399999999999999" customHeight="1" x14ac:dyDescent="0.15">
      <c r="A36" s="13" t="s">
        <v>400</v>
      </c>
      <c r="B36" s="2" t="s">
        <v>2333</v>
      </c>
      <c r="C36" s="2" t="s">
        <v>338</v>
      </c>
      <c r="D36" s="29">
        <v>0</v>
      </c>
      <c r="E36" s="30">
        <v>0</v>
      </c>
      <c r="F36" s="31">
        <v>4687</v>
      </c>
      <c r="G36" s="29">
        <v>4687</v>
      </c>
      <c r="H36" s="22" t="s">
        <v>2859</v>
      </c>
      <c r="I36" t="s">
        <v>2859</v>
      </c>
      <c r="J36" t="s">
        <v>2595</v>
      </c>
    </row>
    <row r="37" spans="1:10" ht="18.399999999999999" customHeight="1" x14ac:dyDescent="0.15">
      <c r="A37" s="13" t="s">
        <v>2407</v>
      </c>
      <c r="B37" s="2" t="s">
        <v>2581</v>
      </c>
      <c r="C37" s="2" t="s">
        <v>338</v>
      </c>
      <c r="D37" s="29">
        <v>0</v>
      </c>
      <c r="E37" s="30">
        <v>0</v>
      </c>
      <c r="F37" s="31">
        <v>875</v>
      </c>
      <c r="G37" s="29">
        <v>875</v>
      </c>
      <c r="H37" s="22" t="s">
        <v>2859</v>
      </c>
      <c r="I37" t="s">
        <v>2859</v>
      </c>
      <c r="J37" t="s">
        <v>633</v>
      </c>
    </row>
    <row r="38" spans="1:10" ht="18.399999999999999" customHeight="1" x14ac:dyDescent="0.15">
      <c r="A38" s="13" t="s">
        <v>626</v>
      </c>
      <c r="B38" s="2" t="s">
        <v>1620</v>
      </c>
      <c r="C38" s="2" t="s">
        <v>1688</v>
      </c>
      <c r="D38" s="29">
        <v>0</v>
      </c>
      <c r="E38" s="30">
        <v>272996</v>
      </c>
      <c r="F38" s="31">
        <v>0</v>
      </c>
      <c r="G38" s="29">
        <v>272996</v>
      </c>
      <c r="H38" s="22" t="s">
        <v>2859</v>
      </c>
      <c r="I38" t="s">
        <v>2762</v>
      </c>
      <c r="J38" t="s">
        <v>1653</v>
      </c>
    </row>
    <row r="39" spans="1:10" ht="18.399999999999999" customHeight="1" x14ac:dyDescent="0.15">
      <c r="A39" s="13" t="s">
        <v>197</v>
      </c>
      <c r="B39" s="2" t="s">
        <v>1611</v>
      </c>
      <c r="C39" s="2" t="s">
        <v>1688</v>
      </c>
      <c r="D39" s="29">
        <v>0</v>
      </c>
      <c r="E39" s="30">
        <v>233960</v>
      </c>
      <c r="F39" s="31">
        <v>0</v>
      </c>
      <c r="G39" s="29">
        <v>233960</v>
      </c>
      <c r="H39" s="22" t="s">
        <v>2859</v>
      </c>
      <c r="I39" t="s">
        <v>615</v>
      </c>
      <c r="J39" t="s">
        <v>26</v>
      </c>
    </row>
    <row r="40" spans="1:10" ht="18.399999999999999" customHeight="1" x14ac:dyDescent="0.15">
      <c r="A40" s="13" t="s">
        <v>1458</v>
      </c>
      <c r="B40" s="2" t="s">
        <v>1536</v>
      </c>
      <c r="C40" s="2" t="s">
        <v>1688</v>
      </c>
      <c r="D40" s="29">
        <v>0</v>
      </c>
      <c r="E40" s="30">
        <v>167059</v>
      </c>
      <c r="F40" s="31">
        <v>0</v>
      </c>
      <c r="G40" s="29">
        <v>167059</v>
      </c>
      <c r="H40" s="22" t="s">
        <v>2859</v>
      </c>
      <c r="I40" t="s">
        <v>1949</v>
      </c>
      <c r="J40" t="s">
        <v>1651</v>
      </c>
    </row>
    <row r="41" spans="1:10" ht="18.399999999999999" customHeight="1" x14ac:dyDescent="0.15">
      <c r="A41" s="13" t="s">
        <v>177</v>
      </c>
      <c r="B41" s="2" t="s">
        <v>1707</v>
      </c>
      <c r="C41" s="2" t="s">
        <v>2837</v>
      </c>
      <c r="D41" s="29">
        <v>65.2</v>
      </c>
      <c r="E41" s="30">
        <v>0</v>
      </c>
      <c r="F41" s="31">
        <v>0</v>
      </c>
      <c r="G41" s="29">
        <v>65.2</v>
      </c>
      <c r="H41" s="22" t="s">
        <v>2859</v>
      </c>
      <c r="I41" t="s">
        <v>2859</v>
      </c>
      <c r="J41" t="s">
        <v>1496</v>
      </c>
    </row>
    <row r="42" spans="1:10" ht="18.399999999999999" customHeight="1" x14ac:dyDescent="0.15">
      <c r="A42" s="13" t="s">
        <v>810</v>
      </c>
      <c r="B42" s="2" t="s">
        <v>2859</v>
      </c>
      <c r="C42" s="2" t="s">
        <v>2814</v>
      </c>
      <c r="D42" s="29">
        <v>1538</v>
      </c>
      <c r="E42" s="30">
        <v>0</v>
      </c>
      <c r="F42" s="31">
        <v>0</v>
      </c>
      <c r="G42" s="29">
        <v>1538</v>
      </c>
      <c r="H42" s="22" t="s">
        <v>2859</v>
      </c>
      <c r="I42" t="s">
        <v>2859</v>
      </c>
      <c r="J42" t="s">
        <v>2444</v>
      </c>
    </row>
    <row r="43" spans="1:10" ht="18.399999999999999" customHeight="1" thickBot="1" x14ac:dyDescent="0.2">
      <c r="A43" s="15" t="s">
        <v>452</v>
      </c>
      <c r="B43" s="16" t="s">
        <v>2859</v>
      </c>
      <c r="C43" s="16" t="s">
        <v>2814</v>
      </c>
      <c r="D43" s="60">
        <v>1390</v>
      </c>
      <c r="E43" s="61">
        <v>0</v>
      </c>
      <c r="F43" s="56">
        <v>0</v>
      </c>
      <c r="G43" s="60">
        <v>1390</v>
      </c>
      <c r="H43" s="23" t="s">
        <v>2859</v>
      </c>
      <c r="I43" t="s">
        <v>2859</v>
      </c>
      <c r="J43" t="s">
        <v>540</v>
      </c>
    </row>
  </sheetData>
  <phoneticPr fontId="5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74"/>
  <sheetViews>
    <sheetView topLeftCell="A52" workbookViewId="0">
      <selection activeCell="F8" sqref="F8"/>
    </sheetView>
  </sheetViews>
  <sheetFormatPr defaultRowHeight="18.399999999999999" customHeight="1" x14ac:dyDescent="0.15"/>
  <cols>
    <col min="1" max="1" width="30" customWidth="1"/>
    <col min="2" max="2" width="25" customWidth="1"/>
    <col min="3" max="3" width="10" customWidth="1"/>
    <col min="4" max="4" width="20" customWidth="1"/>
    <col min="5" max="5" width="30" customWidth="1"/>
    <col min="6" max="13" width="0" hidden="1" customWidth="1"/>
  </cols>
  <sheetData>
    <row r="1" spans="1:14" ht="18.399999999999999" customHeight="1" thickBot="1" x14ac:dyDescent="0.2">
      <c r="A1" t="s">
        <v>1311</v>
      </c>
    </row>
    <row r="2" spans="1:14" ht="18.399999999999999" customHeight="1" thickBot="1" x14ac:dyDescent="0.2">
      <c r="A2" s="18" t="s">
        <v>2004</v>
      </c>
      <c r="B2" s="19" t="s">
        <v>1092</v>
      </c>
      <c r="C2" s="19" t="s">
        <v>2682</v>
      </c>
      <c r="D2" s="19" t="s">
        <v>1542</v>
      </c>
      <c r="E2" s="21" t="s">
        <v>716</v>
      </c>
    </row>
    <row r="3" spans="1:14" ht="18.399999999999999" customHeight="1" x14ac:dyDescent="0.15">
      <c r="A3" s="13" t="s">
        <v>2017</v>
      </c>
      <c r="B3" s="2" t="s">
        <v>2205</v>
      </c>
      <c r="C3" s="2" t="s">
        <v>2787</v>
      </c>
      <c r="D3" s="27">
        <f>자재조서!E4</f>
        <v>528153</v>
      </c>
      <c r="E3" s="22" t="s">
        <v>1722</v>
      </c>
      <c r="F3" t="s">
        <v>2859</v>
      </c>
      <c r="G3" t="s">
        <v>1622</v>
      </c>
      <c r="H3" t="s">
        <v>2256</v>
      </c>
    </row>
    <row r="4" spans="1:14" ht="18.399999999999999" customHeight="1" x14ac:dyDescent="0.15">
      <c r="A4" s="13" t="s">
        <v>2668</v>
      </c>
      <c r="B4" s="2" t="s">
        <v>1527</v>
      </c>
      <c r="C4" s="2" t="s">
        <v>1795</v>
      </c>
      <c r="D4" s="27">
        <f>자재조서!E5</f>
        <v>825000</v>
      </c>
      <c r="E4" s="22" t="s">
        <v>2313</v>
      </c>
      <c r="F4" t="s">
        <v>1984</v>
      </c>
      <c r="G4" t="s">
        <v>1988</v>
      </c>
      <c r="H4" t="s">
        <v>1988</v>
      </c>
    </row>
    <row r="5" spans="1:14" ht="18.399999999999999" customHeight="1" x14ac:dyDescent="0.15">
      <c r="A5" s="13" t="s">
        <v>2668</v>
      </c>
      <c r="B5" s="2" t="s">
        <v>87</v>
      </c>
      <c r="C5" s="2" t="s">
        <v>1795</v>
      </c>
      <c r="D5" s="27">
        <f>자재조서!E6</f>
        <v>825000</v>
      </c>
      <c r="E5" s="22" t="s">
        <v>2313</v>
      </c>
      <c r="F5" t="s">
        <v>1501</v>
      </c>
      <c r="G5" t="s">
        <v>2635</v>
      </c>
      <c r="H5" t="s">
        <v>2635</v>
      </c>
    </row>
    <row r="6" spans="1:14" ht="18.399999999999999" customHeight="1" x14ac:dyDescent="0.15">
      <c r="A6" s="13" t="s">
        <v>491</v>
      </c>
      <c r="B6" s="2" t="s">
        <v>2409</v>
      </c>
      <c r="C6" s="2" t="s">
        <v>757</v>
      </c>
      <c r="D6" s="27">
        <f>자재조서!E7</f>
        <v>1019920</v>
      </c>
      <c r="E6" s="25" t="s">
        <v>1778</v>
      </c>
      <c r="F6" t="s">
        <v>517</v>
      </c>
      <c r="G6" t="s">
        <v>107</v>
      </c>
      <c r="H6" t="s">
        <v>107</v>
      </c>
      <c r="N6" s="43"/>
    </row>
    <row r="7" spans="1:14" ht="18.399999999999999" customHeight="1" x14ac:dyDescent="0.15">
      <c r="A7" s="13" t="s">
        <v>491</v>
      </c>
      <c r="B7" s="2" t="s">
        <v>2815</v>
      </c>
      <c r="C7" s="2" t="s">
        <v>757</v>
      </c>
      <c r="D7" s="27">
        <f>자재조서!E8</f>
        <v>1019920</v>
      </c>
      <c r="E7" s="25" t="s">
        <v>1778</v>
      </c>
      <c r="F7" t="s">
        <v>1858</v>
      </c>
      <c r="G7" t="s">
        <v>1730</v>
      </c>
      <c r="H7" t="s">
        <v>1730</v>
      </c>
      <c r="N7" s="43"/>
    </row>
    <row r="8" spans="1:14" ht="18.399999999999999" customHeight="1" x14ac:dyDescent="0.15">
      <c r="A8" s="13" t="s">
        <v>1715</v>
      </c>
      <c r="B8" s="2" t="s">
        <v>12</v>
      </c>
      <c r="C8" s="2" t="s">
        <v>1795</v>
      </c>
      <c r="D8" s="27">
        <f>자재조서!E9</f>
        <v>970000</v>
      </c>
      <c r="E8" s="22" t="s">
        <v>2313</v>
      </c>
      <c r="F8" t="s">
        <v>2283</v>
      </c>
      <c r="G8" t="s">
        <v>2774</v>
      </c>
      <c r="H8" t="s">
        <v>1931</v>
      </c>
    </row>
    <row r="9" spans="1:14" ht="18.399999999999999" customHeight="1" x14ac:dyDescent="0.15">
      <c r="A9" s="13" t="s">
        <v>2308</v>
      </c>
      <c r="B9" s="2" t="s">
        <v>668</v>
      </c>
      <c r="C9" s="2" t="s">
        <v>1086</v>
      </c>
      <c r="D9" s="27">
        <f>자재조서!E10</f>
        <v>3333</v>
      </c>
      <c r="E9" s="22" t="s">
        <v>2081</v>
      </c>
      <c r="F9" t="s">
        <v>2859</v>
      </c>
      <c r="G9" t="s">
        <v>2294</v>
      </c>
      <c r="H9" t="s">
        <v>2294</v>
      </c>
    </row>
    <row r="10" spans="1:14" ht="18.399999999999999" customHeight="1" x14ac:dyDescent="0.15">
      <c r="A10" s="13" t="s">
        <v>1369</v>
      </c>
      <c r="B10" s="2" t="s">
        <v>2848</v>
      </c>
      <c r="C10" s="2" t="s">
        <v>316</v>
      </c>
      <c r="D10" s="27">
        <f>자재조서!E11</f>
        <v>1245</v>
      </c>
      <c r="E10" s="22" t="s">
        <v>1722</v>
      </c>
      <c r="F10" t="s">
        <v>98</v>
      </c>
      <c r="G10" t="s">
        <v>460</v>
      </c>
      <c r="H10" t="s">
        <v>460</v>
      </c>
    </row>
    <row r="11" spans="1:14" ht="18.399999999999999" customHeight="1" x14ac:dyDescent="0.15">
      <c r="A11" s="13" t="s">
        <v>2217</v>
      </c>
      <c r="B11" s="2" t="s">
        <v>2214</v>
      </c>
      <c r="C11" s="2" t="s">
        <v>316</v>
      </c>
      <c r="D11" s="27">
        <f>자재조서!E12</f>
        <v>1730</v>
      </c>
      <c r="E11" s="22" t="s">
        <v>1831</v>
      </c>
      <c r="F11" t="s">
        <v>1257</v>
      </c>
      <c r="G11" t="s">
        <v>2341</v>
      </c>
      <c r="H11" t="s">
        <v>1932</v>
      </c>
    </row>
    <row r="12" spans="1:14" ht="18.399999999999999" customHeight="1" x14ac:dyDescent="0.15">
      <c r="A12" s="13" t="s">
        <v>2150</v>
      </c>
      <c r="B12" s="2" t="s">
        <v>417</v>
      </c>
      <c r="C12" s="2" t="s">
        <v>129</v>
      </c>
      <c r="D12" s="27">
        <f>자재조서!E13</f>
        <v>37000</v>
      </c>
      <c r="E12" s="22" t="s">
        <v>864</v>
      </c>
      <c r="F12" t="s">
        <v>2859</v>
      </c>
      <c r="G12" t="s">
        <v>1940</v>
      </c>
      <c r="H12" t="s">
        <v>1940</v>
      </c>
    </row>
    <row r="13" spans="1:14" ht="18.399999999999999" customHeight="1" x14ac:dyDescent="0.15">
      <c r="A13" s="13" t="s">
        <v>765</v>
      </c>
      <c r="B13" s="2" t="s">
        <v>550</v>
      </c>
      <c r="C13" s="2" t="s">
        <v>129</v>
      </c>
      <c r="D13" s="27">
        <f>자재조서!E14</f>
        <v>25000</v>
      </c>
      <c r="E13" s="22" t="s">
        <v>1447</v>
      </c>
      <c r="F13" t="s">
        <v>2859</v>
      </c>
      <c r="G13" t="s">
        <v>1645</v>
      </c>
      <c r="H13" t="s">
        <v>2588</v>
      </c>
    </row>
    <row r="14" spans="1:14" ht="18.399999999999999" customHeight="1" x14ac:dyDescent="0.15">
      <c r="A14" s="13" t="s">
        <v>1399</v>
      </c>
      <c r="B14" s="2" t="s">
        <v>1448</v>
      </c>
      <c r="C14" s="2" t="s">
        <v>129</v>
      </c>
      <c r="D14" s="27">
        <f>자재조서!E15</f>
        <v>24000</v>
      </c>
      <c r="E14" s="22" t="s">
        <v>1447</v>
      </c>
      <c r="F14" t="s">
        <v>2859</v>
      </c>
      <c r="G14" t="s">
        <v>48</v>
      </c>
      <c r="H14" t="s">
        <v>1645</v>
      </c>
    </row>
    <row r="15" spans="1:14" ht="18.399999999999999" customHeight="1" x14ac:dyDescent="0.15">
      <c r="A15" s="13" t="s">
        <v>2826</v>
      </c>
      <c r="B15" s="2" t="s">
        <v>2236</v>
      </c>
      <c r="C15" s="2" t="s">
        <v>475</v>
      </c>
      <c r="D15" s="27">
        <f>자재조서!E16</f>
        <v>7545</v>
      </c>
      <c r="E15" s="22" t="s">
        <v>2313</v>
      </c>
      <c r="F15" t="s">
        <v>170</v>
      </c>
      <c r="G15" t="s">
        <v>2183</v>
      </c>
      <c r="H15" t="s">
        <v>2183</v>
      </c>
    </row>
    <row r="16" spans="1:14" ht="18.399999999999999" customHeight="1" x14ac:dyDescent="0.15">
      <c r="A16" s="13" t="s">
        <v>351</v>
      </c>
      <c r="B16" s="2" t="s">
        <v>1287</v>
      </c>
      <c r="C16" s="2" t="s">
        <v>129</v>
      </c>
      <c r="D16" s="27">
        <f>자재조서!E17</f>
        <v>90880</v>
      </c>
      <c r="E16" s="25" t="s">
        <v>1778</v>
      </c>
      <c r="F16" t="s">
        <v>2859</v>
      </c>
      <c r="G16" t="s">
        <v>584</v>
      </c>
      <c r="H16" t="s">
        <v>584</v>
      </c>
      <c r="N16" s="43"/>
    </row>
    <row r="17" spans="1:14" ht="18.399999999999999" customHeight="1" x14ac:dyDescent="0.15">
      <c r="A17" s="13" t="s">
        <v>351</v>
      </c>
      <c r="B17" s="2" t="s">
        <v>277</v>
      </c>
      <c r="C17" s="2" t="s">
        <v>129</v>
      </c>
      <c r="D17" s="27">
        <f>자재조서!E18</f>
        <v>99810</v>
      </c>
      <c r="E17" s="25" t="s">
        <v>1778</v>
      </c>
      <c r="F17" t="s">
        <v>2859</v>
      </c>
      <c r="G17" t="s">
        <v>1286</v>
      </c>
      <c r="H17" t="s">
        <v>1286</v>
      </c>
      <c r="N17" s="43"/>
    </row>
    <row r="18" spans="1:14" ht="18.399999999999999" customHeight="1" x14ac:dyDescent="0.15">
      <c r="A18" s="13" t="s">
        <v>666</v>
      </c>
      <c r="B18" s="2" t="s">
        <v>1566</v>
      </c>
      <c r="C18" s="2" t="s">
        <v>2286</v>
      </c>
      <c r="D18" s="27">
        <f>자재조서!E19</f>
        <v>1100</v>
      </c>
      <c r="E18" s="22" t="s">
        <v>2271</v>
      </c>
      <c r="F18" t="s">
        <v>1685</v>
      </c>
      <c r="G18" t="s">
        <v>1825</v>
      </c>
      <c r="H18" t="s">
        <v>1825</v>
      </c>
    </row>
    <row r="19" spans="1:14" ht="18.399999999999999" customHeight="1" x14ac:dyDescent="0.15">
      <c r="A19" s="13" t="s">
        <v>2185</v>
      </c>
      <c r="B19" s="2" t="s">
        <v>1356</v>
      </c>
      <c r="C19" s="2" t="s">
        <v>2038</v>
      </c>
      <c r="D19" s="27">
        <f>자재조서!E20</f>
        <v>29000</v>
      </c>
      <c r="E19" s="22" t="s">
        <v>2313</v>
      </c>
      <c r="F19" t="s">
        <v>2859</v>
      </c>
      <c r="G19" t="s">
        <v>1147</v>
      </c>
      <c r="H19" t="s">
        <v>2859</v>
      </c>
    </row>
    <row r="20" spans="1:14" ht="18.399999999999999" customHeight="1" x14ac:dyDescent="0.15">
      <c r="A20" s="13" t="s">
        <v>952</v>
      </c>
      <c r="B20" s="2" t="s">
        <v>1515</v>
      </c>
      <c r="C20" s="2" t="s">
        <v>2038</v>
      </c>
      <c r="D20" s="27">
        <f>자재조서!E21</f>
        <v>23232</v>
      </c>
      <c r="E20" s="22" t="s">
        <v>1722</v>
      </c>
      <c r="F20" t="s">
        <v>2859</v>
      </c>
      <c r="G20" t="s">
        <v>2519</v>
      </c>
      <c r="H20" t="s">
        <v>2859</v>
      </c>
    </row>
    <row r="21" spans="1:14" ht="18.399999999999999" customHeight="1" x14ac:dyDescent="0.15">
      <c r="A21" s="13" t="s">
        <v>931</v>
      </c>
      <c r="B21" s="2" t="s">
        <v>653</v>
      </c>
      <c r="C21" s="2" t="s">
        <v>2286</v>
      </c>
      <c r="D21" s="27">
        <f>자재조서!E22</f>
        <v>220</v>
      </c>
      <c r="E21" s="22" t="s">
        <v>2452</v>
      </c>
      <c r="F21" t="s">
        <v>2859</v>
      </c>
      <c r="G21" t="s">
        <v>514</v>
      </c>
      <c r="H21" t="s">
        <v>514</v>
      </c>
    </row>
    <row r="22" spans="1:14" ht="18.399999999999999" customHeight="1" x14ac:dyDescent="0.15">
      <c r="A22" s="13" t="s">
        <v>869</v>
      </c>
      <c r="B22" s="2" t="s">
        <v>2859</v>
      </c>
      <c r="C22" s="2" t="s">
        <v>2286</v>
      </c>
      <c r="D22" s="27">
        <f>자재조서!E23</f>
        <v>315</v>
      </c>
      <c r="E22" s="22" t="s">
        <v>2452</v>
      </c>
      <c r="F22" t="s">
        <v>2859</v>
      </c>
      <c r="G22" t="s">
        <v>1156</v>
      </c>
      <c r="H22" t="s">
        <v>514</v>
      </c>
    </row>
    <row r="23" spans="1:14" ht="18.399999999999999" customHeight="1" x14ac:dyDescent="0.15">
      <c r="A23" s="13" t="s">
        <v>1132</v>
      </c>
      <c r="B23" s="2" t="s">
        <v>796</v>
      </c>
      <c r="C23" s="2" t="s">
        <v>2814</v>
      </c>
      <c r="D23" s="27">
        <f>자재조서!E24</f>
        <v>1150</v>
      </c>
      <c r="E23" s="22" t="s">
        <v>66</v>
      </c>
      <c r="F23" t="s">
        <v>2245</v>
      </c>
      <c r="G23" t="s">
        <v>1052</v>
      </c>
      <c r="H23" t="s">
        <v>1052</v>
      </c>
    </row>
    <row r="24" spans="1:14" ht="18.399999999999999" customHeight="1" x14ac:dyDescent="0.15">
      <c r="A24" s="13" t="s">
        <v>1132</v>
      </c>
      <c r="B24" s="2" t="s">
        <v>1592</v>
      </c>
      <c r="C24" s="2" t="s">
        <v>2814</v>
      </c>
      <c r="D24" s="27">
        <f>자재조서!E25</f>
        <v>1900</v>
      </c>
      <c r="E24" s="22" t="s">
        <v>66</v>
      </c>
      <c r="F24" t="s">
        <v>1571</v>
      </c>
      <c r="G24" t="s">
        <v>2357</v>
      </c>
      <c r="H24" t="s">
        <v>2357</v>
      </c>
    </row>
    <row r="25" spans="1:14" ht="18.399999999999999" customHeight="1" x14ac:dyDescent="0.15">
      <c r="A25" s="13" t="s">
        <v>45</v>
      </c>
      <c r="B25" s="2" t="s">
        <v>2164</v>
      </c>
      <c r="C25" s="2" t="s">
        <v>1795</v>
      </c>
      <c r="D25" s="27">
        <f>자재조서!E26</f>
        <v>100940</v>
      </c>
      <c r="E25" s="22" t="s">
        <v>1778</v>
      </c>
      <c r="F25" t="s">
        <v>1074</v>
      </c>
      <c r="G25" t="s">
        <v>2667</v>
      </c>
      <c r="H25" t="s">
        <v>824</v>
      </c>
    </row>
    <row r="26" spans="1:14" ht="18.399999999999999" customHeight="1" x14ac:dyDescent="0.15">
      <c r="A26" s="13" t="s">
        <v>45</v>
      </c>
      <c r="B26" s="2" t="s">
        <v>2515</v>
      </c>
      <c r="C26" s="2" t="s">
        <v>1795</v>
      </c>
      <c r="D26" s="27">
        <f>자재조서!E27</f>
        <v>79870</v>
      </c>
      <c r="E26" s="25" t="s">
        <v>1778</v>
      </c>
      <c r="F26" t="s">
        <v>2846</v>
      </c>
      <c r="G26" t="s">
        <v>2579</v>
      </c>
      <c r="H26" t="s">
        <v>1538</v>
      </c>
      <c r="N26" s="43"/>
    </row>
    <row r="27" spans="1:14" ht="18.399999999999999" customHeight="1" x14ac:dyDescent="0.15">
      <c r="A27" s="13" t="s">
        <v>1093</v>
      </c>
      <c r="B27" s="2" t="s">
        <v>589</v>
      </c>
      <c r="C27" s="2" t="s">
        <v>2286</v>
      </c>
      <c r="D27" s="27">
        <f>자재조서!E28</f>
        <v>29300</v>
      </c>
      <c r="E27" s="22" t="s">
        <v>2313</v>
      </c>
      <c r="F27" t="s">
        <v>2835</v>
      </c>
      <c r="G27" t="s">
        <v>777</v>
      </c>
      <c r="H27" t="s">
        <v>777</v>
      </c>
    </row>
    <row r="28" spans="1:14" ht="18.399999999999999" customHeight="1" x14ac:dyDescent="0.15">
      <c r="A28" s="13" t="s">
        <v>1093</v>
      </c>
      <c r="B28" s="2" t="s">
        <v>538</v>
      </c>
      <c r="C28" s="2" t="s">
        <v>2286</v>
      </c>
      <c r="D28" s="27">
        <f>자재조서!E29</f>
        <v>51240</v>
      </c>
      <c r="E28" s="22" t="s">
        <v>1519</v>
      </c>
      <c r="F28" t="s">
        <v>677</v>
      </c>
      <c r="G28" t="s">
        <v>199</v>
      </c>
      <c r="H28" t="s">
        <v>199</v>
      </c>
    </row>
    <row r="29" spans="1:14" ht="18.399999999999999" customHeight="1" x14ac:dyDescent="0.15">
      <c r="A29" s="13" t="s">
        <v>1093</v>
      </c>
      <c r="B29" s="2" t="s">
        <v>2047</v>
      </c>
      <c r="C29" s="2" t="s">
        <v>2286</v>
      </c>
      <c r="D29" s="27">
        <f>자재조서!E30</f>
        <v>14880</v>
      </c>
      <c r="E29" s="22" t="s">
        <v>1519</v>
      </c>
      <c r="F29" t="s">
        <v>677</v>
      </c>
      <c r="G29" t="s">
        <v>834</v>
      </c>
      <c r="H29" t="s">
        <v>199</v>
      </c>
    </row>
    <row r="30" spans="1:14" ht="18.399999999999999" customHeight="1" x14ac:dyDescent="0.15">
      <c r="A30" s="13" t="s">
        <v>1911</v>
      </c>
      <c r="B30" s="2" t="s">
        <v>2859</v>
      </c>
      <c r="C30" s="2" t="s">
        <v>316</v>
      </c>
      <c r="D30" s="27">
        <f>자재조서!E31</f>
        <v>4300</v>
      </c>
      <c r="E30" s="22" t="s">
        <v>1722</v>
      </c>
      <c r="F30" t="s">
        <v>2859</v>
      </c>
      <c r="G30" t="s">
        <v>1561</v>
      </c>
      <c r="H30" t="s">
        <v>1561</v>
      </c>
    </row>
    <row r="31" spans="1:14" ht="18.399999999999999" customHeight="1" x14ac:dyDescent="0.15">
      <c r="A31" s="13" t="s">
        <v>1513</v>
      </c>
      <c r="B31" s="2" t="s">
        <v>2813</v>
      </c>
      <c r="C31" s="2" t="s">
        <v>316</v>
      </c>
      <c r="D31" s="27">
        <f>자재조서!E32</f>
        <v>3300</v>
      </c>
      <c r="E31" s="22" t="s">
        <v>849</v>
      </c>
      <c r="F31" t="s">
        <v>2859</v>
      </c>
      <c r="G31" t="s">
        <v>321</v>
      </c>
      <c r="H31" t="s">
        <v>321</v>
      </c>
    </row>
    <row r="32" spans="1:14" ht="18.399999999999999" customHeight="1" x14ac:dyDescent="0.15">
      <c r="A32" s="13" t="s">
        <v>976</v>
      </c>
      <c r="B32" s="2" t="s">
        <v>467</v>
      </c>
      <c r="C32" s="2" t="s">
        <v>2814</v>
      </c>
      <c r="D32" s="27">
        <f>자재조서!E33</f>
        <v>2435</v>
      </c>
      <c r="E32" s="22" t="s">
        <v>1722</v>
      </c>
      <c r="F32" t="s">
        <v>2859</v>
      </c>
      <c r="G32" t="s">
        <v>1928</v>
      </c>
      <c r="H32" t="s">
        <v>1928</v>
      </c>
    </row>
    <row r="33" spans="1:8" ht="18.399999999999999" customHeight="1" x14ac:dyDescent="0.15">
      <c r="A33" s="13" t="s">
        <v>761</v>
      </c>
      <c r="B33" s="2" t="s">
        <v>2824</v>
      </c>
      <c r="C33" s="2" t="s">
        <v>2090</v>
      </c>
      <c r="D33" s="27">
        <f>자재조서!E34</f>
        <v>2700</v>
      </c>
      <c r="E33" s="22" t="s">
        <v>1391</v>
      </c>
      <c r="F33" t="s">
        <v>2859</v>
      </c>
      <c r="G33" t="s">
        <v>1807</v>
      </c>
      <c r="H33" t="s">
        <v>1788</v>
      </c>
    </row>
    <row r="34" spans="1:8" ht="18.399999999999999" customHeight="1" x14ac:dyDescent="0.15">
      <c r="A34" s="13" t="s">
        <v>753</v>
      </c>
      <c r="B34" s="2" t="s">
        <v>975</v>
      </c>
      <c r="C34" s="2" t="s">
        <v>2096</v>
      </c>
      <c r="D34" s="27">
        <f>자재조서!E35</f>
        <v>350000</v>
      </c>
      <c r="E34" s="22" t="s">
        <v>297</v>
      </c>
      <c r="F34" t="s">
        <v>2502</v>
      </c>
      <c r="G34" t="s">
        <v>192</v>
      </c>
      <c r="H34" t="s">
        <v>192</v>
      </c>
    </row>
    <row r="35" spans="1:8" ht="18.399999999999999" customHeight="1" x14ac:dyDescent="0.15">
      <c r="A35" s="13" t="s">
        <v>1000</v>
      </c>
      <c r="B35" s="2" t="s">
        <v>151</v>
      </c>
      <c r="C35" s="2" t="s">
        <v>2090</v>
      </c>
      <c r="D35" s="27">
        <f>자재조서!E36</f>
        <v>91005</v>
      </c>
      <c r="E35" s="22" t="s">
        <v>1778</v>
      </c>
      <c r="F35" t="s">
        <v>2859</v>
      </c>
      <c r="G35" t="s">
        <v>1726</v>
      </c>
      <c r="H35" t="s">
        <v>1726</v>
      </c>
    </row>
    <row r="36" spans="1:8" ht="18.399999999999999" customHeight="1" x14ac:dyDescent="0.15">
      <c r="A36" s="13" t="s">
        <v>1000</v>
      </c>
      <c r="B36" s="2" t="s">
        <v>151</v>
      </c>
      <c r="C36" s="2" t="s">
        <v>2636</v>
      </c>
      <c r="D36" s="27">
        <f>자재조서!E37</f>
        <v>36220</v>
      </c>
      <c r="E36" s="22" t="s">
        <v>1778</v>
      </c>
      <c r="F36" t="s">
        <v>2859</v>
      </c>
      <c r="G36" t="s">
        <v>770</v>
      </c>
      <c r="H36" t="s">
        <v>1726</v>
      </c>
    </row>
    <row r="37" spans="1:8" ht="18.399999999999999" customHeight="1" x14ac:dyDescent="0.15">
      <c r="A37" s="13" t="s">
        <v>1000</v>
      </c>
      <c r="B37" s="2" t="s">
        <v>1088</v>
      </c>
      <c r="C37" s="2" t="s">
        <v>2636</v>
      </c>
      <c r="D37" s="27">
        <f>자재조서!E38</f>
        <v>42420</v>
      </c>
      <c r="E37" s="22" t="s">
        <v>1778</v>
      </c>
      <c r="F37" t="s">
        <v>2859</v>
      </c>
      <c r="G37" t="s">
        <v>331</v>
      </c>
      <c r="H37" t="s">
        <v>1726</v>
      </c>
    </row>
    <row r="38" spans="1:8" ht="18.399999999999999" customHeight="1" x14ac:dyDescent="0.15">
      <c r="A38" s="13" t="s">
        <v>1000</v>
      </c>
      <c r="B38" s="2" t="s">
        <v>79</v>
      </c>
      <c r="C38" s="2" t="s">
        <v>2636</v>
      </c>
      <c r="D38" s="27">
        <f>자재조서!E39</f>
        <v>69300</v>
      </c>
      <c r="E38" s="22" t="s">
        <v>1778</v>
      </c>
      <c r="F38" t="s">
        <v>2859</v>
      </c>
      <c r="G38" t="s">
        <v>220</v>
      </c>
      <c r="H38" t="s">
        <v>1726</v>
      </c>
    </row>
    <row r="39" spans="1:8" ht="18.399999999999999" customHeight="1" x14ac:dyDescent="0.15">
      <c r="A39" s="13" t="s">
        <v>2773</v>
      </c>
      <c r="B39" s="2" t="s">
        <v>40</v>
      </c>
      <c r="C39" s="2" t="s">
        <v>1632</v>
      </c>
      <c r="D39" s="27">
        <f>자재조서!E40</f>
        <v>54770</v>
      </c>
      <c r="E39" s="22" t="s">
        <v>1778</v>
      </c>
      <c r="F39" t="s">
        <v>2859</v>
      </c>
      <c r="G39" t="s">
        <v>1097</v>
      </c>
      <c r="H39" t="s">
        <v>1097</v>
      </c>
    </row>
    <row r="40" spans="1:8" ht="18.399999999999999" customHeight="1" x14ac:dyDescent="0.15">
      <c r="A40" s="13" t="s">
        <v>2773</v>
      </c>
      <c r="B40" s="2" t="s">
        <v>1933</v>
      </c>
      <c r="C40" s="2" t="s">
        <v>1632</v>
      </c>
      <c r="D40" s="27">
        <f>자재조서!E41</f>
        <v>75210</v>
      </c>
      <c r="E40" s="22" t="s">
        <v>1778</v>
      </c>
      <c r="F40" t="s">
        <v>2859</v>
      </c>
      <c r="G40" t="s">
        <v>1818</v>
      </c>
      <c r="H40" t="s">
        <v>2703</v>
      </c>
    </row>
    <row r="41" spans="1:8" ht="18.399999999999999" customHeight="1" x14ac:dyDescent="0.15">
      <c r="A41" s="13" t="s">
        <v>2773</v>
      </c>
      <c r="B41" s="2" t="s">
        <v>1471</v>
      </c>
      <c r="C41" s="2" t="s">
        <v>1632</v>
      </c>
      <c r="D41" s="27">
        <f>자재조서!E42</f>
        <v>95980</v>
      </c>
      <c r="E41" s="22" t="s">
        <v>1778</v>
      </c>
      <c r="F41" t="s">
        <v>2859</v>
      </c>
      <c r="G41" t="s">
        <v>563</v>
      </c>
      <c r="H41" t="s">
        <v>2703</v>
      </c>
    </row>
    <row r="42" spans="1:8" ht="18.399999999999999" customHeight="1" x14ac:dyDescent="0.15">
      <c r="A42" s="13" t="s">
        <v>2773</v>
      </c>
      <c r="B42" s="2" t="s">
        <v>2836</v>
      </c>
      <c r="C42" s="2" t="s">
        <v>1632</v>
      </c>
      <c r="D42" s="27">
        <f>자재조서!E43</f>
        <v>315150</v>
      </c>
      <c r="E42" s="22" t="s">
        <v>1778</v>
      </c>
      <c r="F42" t="s">
        <v>2859</v>
      </c>
      <c r="G42" t="s">
        <v>598</v>
      </c>
      <c r="H42" t="s">
        <v>2450</v>
      </c>
    </row>
    <row r="43" spans="1:8" ht="18.399999999999999" customHeight="1" x14ac:dyDescent="0.15">
      <c r="A43" s="13" t="s">
        <v>302</v>
      </c>
      <c r="B43" s="2" t="s">
        <v>40</v>
      </c>
      <c r="C43" s="2" t="s">
        <v>2286</v>
      </c>
      <c r="D43" s="27">
        <f>자재조서!E44</f>
        <v>2520</v>
      </c>
      <c r="E43" s="22" t="s">
        <v>2751</v>
      </c>
      <c r="F43" t="s">
        <v>885</v>
      </c>
      <c r="G43" t="s">
        <v>1483</v>
      </c>
      <c r="H43" t="s">
        <v>1483</v>
      </c>
    </row>
    <row r="44" spans="1:8" ht="18.399999999999999" customHeight="1" x14ac:dyDescent="0.15">
      <c r="A44" s="13" t="s">
        <v>302</v>
      </c>
      <c r="B44" s="2" t="s">
        <v>1933</v>
      </c>
      <c r="C44" s="2" t="s">
        <v>2286</v>
      </c>
      <c r="D44" s="27">
        <f>자재조서!E45</f>
        <v>3150</v>
      </c>
      <c r="E44" s="22" t="s">
        <v>2751</v>
      </c>
      <c r="F44" t="s">
        <v>885</v>
      </c>
      <c r="G44" t="s">
        <v>1163</v>
      </c>
      <c r="H44" t="s">
        <v>1483</v>
      </c>
    </row>
    <row r="45" spans="1:8" ht="18.399999999999999" customHeight="1" x14ac:dyDescent="0.15">
      <c r="A45" s="13" t="s">
        <v>302</v>
      </c>
      <c r="B45" s="2" t="s">
        <v>1471</v>
      </c>
      <c r="C45" s="2" t="s">
        <v>2286</v>
      </c>
      <c r="D45" s="27">
        <f>자재조서!E46</f>
        <v>3680</v>
      </c>
      <c r="E45" s="22" t="s">
        <v>2751</v>
      </c>
      <c r="F45" t="s">
        <v>1529</v>
      </c>
      <c r="G45" t="s">
        <v>1438</v>
      </c>
      <c r="H45" t="s">
        <v>2472</v>
      </c>
    </row>
    <row r="46" spans="1:8" ht="18.399999999999999" customHeight="1" x14ac:dyDescent="0.15">
      <c r="A46" s="13" t="s">
        <v>302</v>
      </c>
      <c r="B46" s="2" t="s">
        <v>2838</v>
      </c>
      <c r="C46" s="2" t="s">
        <v>2286</v>
      </c>
      <c r="D46" s="27">
        <f>자재조서!E47</f>
        <v>7980</v>
      </c>
      <c r="E46" s="22" t="s">
        <v>2751</v>
      </c>
      <c r="F46" t="s">
        <v>2074</v>
      </c>
      <c r="G46" t="s">
        <v>1840</v>
      </c>
      <c r="H46" t="s">
        <v>453</v>
      </c>
    </row>
    <row r="47" spans="1:8" ht="18.399999999999999" customHeight="1" x14ac:dyDescent="0.15">
      <c r="A47" s="13" t="s">
        <v>793</v>
      </c>
      <c r="B47" s="2" t="s">
        <v>1338</v>
      </c>
      <c r="C47" s="2" t="s">
        <v>2090</v>
      </c>
      <c r="D47" s="27">
        <f>자재조서!E48</f>
        <v>2101</v>
      </c>
      <c r="E47" s="22" t="s">
        <v>864</v>
      </c>
      <c r="F47" t="s">
        <v>2859</v>
      </c>
      <c r="G47" t="s">
        <v>2729</v>
      </c>
      <c r="H47" t="s">
        <v>1493</v>
      </c>
    </row>
    <row r="48" spans="1:8" ht="18.399999999999999" customHeight="1" x14ac:dyDescent="0.15">
      <c r="A48" s="13" t="s">
        <v>2558</v>
      </c>
      <c r="B48" s="2" t="s">
        <v>2492</v>
      </c>
      <c r="C48" s="2" t="s">
        <v>1086</v>
      </c>
      <c r="D48" s="27">
        <f>자재조서!E49</f>
        <v>6000</v>
      </c>
      <c r="E48" s="22" t="s">
        <v>947</v>
      </c>
      <c r="F48" t="s">
        <v>2859</v>
      </c>
      <c r="G48" t="s">
        <v>1711</v>
      </c>
      <c r="H48" t="s">
        <v>1711</v>
      </c>
    </row>
    <row r="49" spans="1:8" ht="18.399999999999999" customHeight="1" x14ac:dyDescent="0.15">
      <c r="A49" s="13" t="s">
        <v>93</v>
      </c>
      <c r="B49" s="2" t="s">
        <v>2859</v>
      </c>
      <c r="C49" s="2" t="s">
        <v>316</v>
      </c>
      <c r="D49" s="27">
        <f>자재조서!E50</f>
        <v>4167</v>
      </c>
      <c r="E49" s="22" t="s">
        <v>2687</v>
      </c>
      <c r="F49" t="s">
        <v>1365</v>
      </c>
      <c r="G49" t="s">
        <v>2051</v>
      </c>
      <c r="H49" t="s">
        <v>2058</v>
      </c>
    </row>
    <row r="50" spans="1:8" ht="18.399999999999999" customHeight="1" x14ac:dyDescent="0.15">
      <c r="A50" s="13" t="s">
        <v>1370</v>
      </c>
      <c r="B50" s="2" t="s">
        <v>1380</v>
      </c>
      <c r="C50" s="2" t="s">
        <v>1937</v>
      </c>
      <c r="D50" s="27">
        <f>자재조서!E51</f>
        <v>4146858</v>
      </c>
      <c r="E50" s="22" t="s">
        <v>2081</v>
      </c>
      <c r="F50" t="s">
        <v>1098</v>
      </c>
      <c r="G50" t="s">
        <v>556</v>
      </c>
      <c r="H50" t="s">
        <v>556</v>
      </c>
    </row>
    <row r="51" spans="1:8" ht="18.399999999999999" customHeight="1" x14ac:dyDescent="0.15">
      <c r="A51" s="13" t="s">
        <v>1370</v>
      </c>
      <c r="B51" s="2" t="s">
        <v>642</v>
      </c>
      <c r="C51" s="2" t="s">
        <v>1937</v>
      </c>
      <c r="D51" s="27">
        <f>자재조서!E52</f>
        <v>4740150</v>
      </c>
      <c r="E51" s="22" t="s">
        <v>2081</v>
      </c>
      <c r="F51" t="s">
        <v>1572</v>
      </c>
      <c r="G51" t="s">
        <v>2269</v>
      </c>
      <c r="H51" t="s">
        <v>2269</v>
      </c>
    </row>
    <row r="52" spans="1:8" ht="18.399999999999999" customHeight="1" x14ac:dyDescent="0.15">
      <c r="A52" s="13" t="s">
        <v>2547</v>
      </c>
      <c r="B52" s="2" t="s">
        <v>808</v>
      </c>
      <c r="C52" s="2" t="s">
        <v>2814</v>
      </c>
      <c r="D52" s="27">
        <f>자재조서!E53</f>
        <v>7098</v>
      </c>
      <c r="E52" s="22" t="s">
        <v>437</v>
      </c>
      <c r="F52" t="s">
        <v>801</v>
      </c>
      <c r="G52" t="s">
        <v>2327</v>
      </c>
      <c r="H52" t="s">
        <v>2327</v>
      </c>
    </row>
    <row r="53" spans="1:8" ht="18.399999999999999" customHeight="1" x14ac:dyDescent="0.15">
      <c r="A53" s="13" t="s">
        <v>1206</v>
      </c>
      <c r="B53" s="2" t="s">
        <v>159</v>
      </c>
      <c r="C53" s="2" t="s">
        <v>2814</v>
      </c>
      <c r="D53" s="27">
        <f>자재조서!E54</f>
        <v>5778</v>
      </c>
      <c r="E53" s="22" t="s">
        <v>1820</v>
      </c>
      <c r="F53" t="s">
        <v>2859</v>
      </c>
      <c r="G53" t="s">
        <v>685</v>
      </c>
      <c r="H53" t="s">
        <v>685</v>
      </c>
    </row>
    <row r="54" spans="1:8" ht="18.399999999999999" customHeight="1" x14ac:dyDescent="0.15">
      <c r="A54" s="13" t="s">
        <v>2597</v>
      </c>
      <c r="B54" s="2" t="s">
        <v>1676</v>
      </c>
      <c r="C54" s="2" t="s">
        <v>1417</v>
      </c>
      <c r="D54" s="27">
        <f>자재조서!E55</f>
        <v>2700</v>
      </c>
      <c r="E54" s="22" t="s">
        <v>1722</v>
      </c>
      <c r="F54" t="s">
        <v>588</v>
      </c>
      <c r="G54" t="s">
        <v>2464</v>
      </c>
      <c r="H54" t="s">
        <v>2683</v>
      </c>
    </row>
    <row r="55" spans="1:8" ht="18.399999999999999" customHeight="1" x14ac:dyDescent="0.15">
      <c r="A55" s="13" t="s">
        <v>1659</v>
      </c>
      <c r="B55" s="2" t="s">
        <v>2780</v>
      </c>
      <c r="C55" s="2" t="s">
        <v>2814</v>
      </c>
      <c r="D55" s="27">
        <f>자재조서!E56</f>
        <v>4844</v>
      </c>
      <c r="E55" s="22" t="s">
        <v>1722</v>
      </c>
      <c r="F55" t="s">
        <v>2859</v>
      </c>
      <c r="G55" t="s">
        <v>1562</v>
      </c>
      <c r="H55" t="s">
        <v>1562</v>
      </c>
    </row>
    <row r="56" spans="1:8" ht="18.399999999999999" customHeight="1" x14ac:dyDescent="0.15">
      <c r="A56" s="13" t="s">
        <v>1958</v>
      </c>
      <c r="B56" s="2" t="s">
        <v>446</v>
      </c>
      <c r="C56" s="2" t="s">
        <v>2090</v>
      </c>
      <c r="D56" s="27">
        <f>자재조서!E57</f>
        <v>12172</v>
      </c>
      <c r="E56" s="22" t="s">
        <v>1722</v>
      </c>
      <c r="F56" t="s">
        <v>2859</v>
      </c>
      <c r="G56" t="s">
        <v>663</v>
      </c>
      <c r="H56" t="s">
        <v>663</v>
      </c>
    </row>
    <row r="57" spans="1:8" ht="18.399999999999999" customHeight="1" x14ac:dyDescent="0.15">
      <c r="A57" s="13" t="s">
        <v>2719</v>
      </c>
      <c r="B57" s="2" t="s">
        <v>1121</v>
      </c>
      <c r="C57" s="2" t="s">
        <v>1086</v>
      </c>
      <c r="D57" s="27">
        <f>자재조서!E58</f>
        <v>1000</v>
      </c>
      <c r="E57" s="22" t="s">
        <v>246</v>
      </c>
      <c r="F57" t="s">
        <v>2859</v>
      </c>
      <c r="G57" t="s">
        <v>1368</v>
      </c>
      <c r="H57" t="s">
        <v>1466</v>
      </c>
    </row>
    <row r="58" spans="1:8" ht="18.399999999999999" customHeight="1" x14ac:dyDescent="0.15">
      <c r="A58" s="13" t="s">
        <v>2719</v>
      </c>
      <c r="B58" s="2" t="s">
        <v>1874</v>
      </c>
      <c r="C58" s="2" t="s">
        <v>1086</v>
      </c>
      <c r="D58" s="27">
        <f>자재조서!E59</f>
        <v>36940</v>
      </c>
      <c r="E58" s="22" t="s">
        <v>1751</v>
      </c>
      <c r="F58" t="s">
        <v>2859</v>
      </c>
      <c r="G58" t="s">
        <v>471</v>
      </c>
      <c r="H58" t="s">
        <v>1466</v>
      </c>
    </row>
    <row r="59" spans="1:8" ht="18.399999999999999" customHeight="1" x14ac:dyDescent="0.15">
      <c r="A59" s="13" t="s">
        <v>2719</v>
      </c>
      <c r="B59" s="2" t="s">
        <v>328</v>
      </c>
      <c r="C59" s="2" t="s">
        <v>1086</v>
      </c>
      <c r="D59" s="27">
        <f>자재조서!E60</f>
        <v>78250</v>
      </c>
      <c r="E59" s="22" t="s">
        <v>1751</v>
      </c>
      <c r="F59" t="s">
        <v>2859</v>
      </c>
      <c r="G59" t="s">
        <v>2657</v>
      </c>
      <c r="H59" t="s">
        <v>1466</v>
      </c>
    </row>
    <row r="60" spans="1:8" ht="18.399999999999999" customHeight="1" x14ac:dyDescent="0.15">
      <c r="A60" s="13" t="s">
        <v>1708</v>
      </c>
      <c r="B60" s="2" t="s">
        <v>2382</v>
      </c>
      <c r="C60" s="2" t="s">
        <v>2038</v>
      </c>
      <c r="D60" s="27">
        <f>자재조서!E61</f>
        <v>217</v>
      </c>
      <c r="E60" s="22" t="s">
        <v>1722</v>
      </c>
      <c r="F60" t="s">
        <v>2859</v>
      </c>
      <c r="G60" t="s">
        <v>1956</v>
      </c>
      <c r="H60" t="s">
        <v>1956</v>
      </c>
    </row>
    <row r="61" spans="1:8" ht="18.399999999999999" customHeight="1" x14ac:dyDescent="0.15">
      <c r="A61" s="13" t="s">
        <v>1559</v>
      </c>
      <c r="B61" s="2" t="s">
        <v>1207</v>
      </c>
      <c r="C61" s="2" t="s">
        <v>2286</v>
      </c>
      <c r="D61" s="27">
        <f>자재조서!E62</f>
        <v>152000</v>
      </c>
      <c r="E61" s="22" t="s">
        <v>1713</v>
      </c>
      <c r="F61" t="s">
        <v>2859</v>
      </c>
      <c r="G61" t="s">
        <v>1205</v>
      </c>
      <c r="H61" t="s">
        <v>2859</v>
      </c>
    </row>
    <row r="62" spans="1:8" ht="18.399999999999999" customHeight="1" x14ac:dyDescent="0.15">
      <c r="A62" s="13" t="s">
        <v>1731</v>
      </c>
      <c r="B62" s="2" t="s">
        <v>1135</v>
      </c>
      <c r="C62" s="2" t="s">
        <v>316</v>
      </c>
      <c r="D62" s="27">
        <f>자재조서!E63</f>
        <v>3726</v>
      </c>
      <c r="E62" s="22" t="s">
        <v>1837</v>
      </c>
      <c r="F62" t="s">
        <v>2104</v>
      </c>
      <c r="G62" t="s">
        <v>2213</v>
      </c>
      <c r="H62" t="s">
        <v>2213</v>
      </c>
    </row>
    <row r="63" spans="1:8" ht="18.399999999999999" customHeight="1" x14ac:dyDescent="0.15">
      <c r="A63" s="13" t="s">
        <v>2010</v>
      </c>
      <c r="B63" s="2" t="s">
        <v>1149</v>
      </c>
      <c r="C63" s="2" t="s">
        <v>316</v>
      </c>
      <c r="D63" s="27">
        <f>자재조서!E64</f>
        <v>1982</v>
      </c>
      <c r="E63" s="22" t="s">
        <v>2313</v>
      </c>
      <c r="F63" t="s">
        <v>2859</v>
      </c>
      <c r="G63" t="s">
        <v>2651</v>
      </c>
      <c r="H63" t="s">
        <v>2651</v>
      </c>
    </row>
    <row r="64" spans="1:8" ht="18.399999999999999" customHeight="1" x14ac:dyDescent="0.15">
      <c r="A64" s="13" t="s">
        <v>1929</v>
      </c>
      <c r="B64" s="2" t="s">
        <v>1758</v>
      </c>
      <c r="C64" s="2" t="s">
        <v>1188</v>
      </c>
      <c r="D64" s="27">
        <f>자재조서!E65</f>
        <v>150</v>
      </c>
      <c r="E64" s="22" t="s">
        <v>2475</v>
      </c>
      <c r="F64" t="s">
        <v>2859</v>
      </c>
      <c r="G64" t="s">
        <v>883</v>
      </c>
      <c r="H64" t="s">
        <v>1618</v>
      </c>
    </row>
    <row r="65" spans="1:8" ht="18.399999999999999" customHeight="1" x14ac:dyDescent="0.15">
      <c r="A65" s="13" t="s">
        <v>1463</v>
      </c>
      <c r="B65" s="2" t="s">
        <v>2390</v>
      </c>
      <c r="C65" s="2" t="s">
        <v>1558</v>
      </c>
      <c r="D65" s="27">
        <f>자재조서!E66</f>
        <v>36000</v>
      </c>
      <c r="E65" s="22" t="s">
        <v>1778</v>
      </c>
      <c r="F65" t="s">
        <v>2859</v>
      </c>
      <c r="G65" t="s">
        <v>526</v>
      </c>
      <c r="H65" t="s">
        <v>2859</v>
      </c>
    </row>
    <row r="66" spans="1:8" ht="18.399999999999999" customHeight="1" x14ac:dyDescent="0.15">
      <c r="A66" s="13" t="s">
        <v>438</v>
      </c>
      <c r="B66" s="2" t="s">
        <v>470</v>
      </c>
      <c r="C66" s="2" t="s">
        <v>2286</v>
      </c>
      <c r="D66" s="27">
        <f>자재조서!E67</f>
        <v>170000</v>
      </c>
      <c r="E66" s="22" t="s">
        <v>297</v>
      </c>
      <c r="F66" t="s">
        <v>2859</v>
      </c>
      <c r="G66" t="s">
        <v>939</v>
      </c>
      <c r="H66" t="s">
        <v>198</v>
      </c>
    </row>
    <row r="67" spans="1:8" ht="18.399999999999999" customHeight="1" x14ac:dyDescent="0.15">
      <c r="A67" s="13" t="s">
        <v>1507</v>
      </c>
      <c r="B67" s="2" t="s">
        <v>582</v>
      </c>
      <c r="C67" s="2" t="s">
        <v>2286</v>
      </c>
      <c r="D67" s="27">
        <f>자재조서!E68</f>
        <v>50000</v>
      </c>
      <c r="E67" s="22" t="s">
        <v>902</v>
      </c>
      <c r="F67" t="s">
        <v>2859</v>
      </c>
      <c r="G67" t="s">
        <v>2034</v>
      </c>
      <c r="H67" t="s">
        <v>198</v>
      </c>
    </row>
    <row r="68" spans="1:8" ht="18.399999999999999" customHeight="1" x14ac:dyDescent="0.15">
      <c r="A68" s="13" t="s">
        <v>2803</v>
      </c>
      <c r="B68" s="2" t="s">
        <v>414</v>
      </c>
      <c r="C68" s="2" t="s">
        <v>2038</v>
      </c>
      <c r="D68" s="27">
        <f>자재조서!E69</f>
        <v>31200</v>
      </c>
      <c r="E68" s="22" t="s">
        <v>1288</v>
      </c>
      <c r="F68" t="s">
        <v>2859</v>
      </c>
      <c r="G68" t="s">
        <v>2336</v>
      </c>
      <c r="H68" t="s">
        <v>2859</v>
      </c>
    </row>
    <row r="69" spans="1:8" ht="18.399999999999999" customHeight="1" x14ac:dyDescent="0.15">
      <c r="A69" s="13" t="s">
        <v>2736</v>
      </c>
      <c r="B69" s="2" t="s">
        <v>2550</v>
      </c>
      <c r="C69" s="2" t="s">
        <v>2286</v>
      </c>
      <c r="D69" s="27">
        <f>자재조서!E70</f>
        <v>1713</v>
      </c>
      <c r="E69" s="22" t="s">
        <v>2081</v>
      </c>
      <c r="F69" t="s">
        <v>2859</v>
      </c>
      <c r="G69" t="s">
        <v>2841</v>
      </c>
      <c r="H69" t="s">
        <v>2859</v>
      </c>
    </row>
    <row r="70" spans="1:8" ht="18.399999999999999" customHeight="1" x14ac:dyDescent="0.15">
      <c r="A70" s="13" t="s">
        <v>2736</v>
      </c>
      <c r="B70" s="2" t="s">
        <v>805</v>
      </c>
      <c r="C70" s="2" t="s">
        <v>2286</v>
      </c>
      <c r="D70" s="27">
        <f>자재조서!E71</f>
        <v>1713</v>
      </c>
      <c r="E70" s="22" t="s">
        <v>2081</v>
      </c>
      <c r="F70" t="s">
        <v>2859</v>
      </c>
      <c r="G70" t="s">
        <v>1072</v>
      </c>
      <c r="H70" t="s">
        <v>2859</v>
      </c>
    </row>
    <row r="71" spans="1:8" ht="18.399999999999999" customHeight="1" x14ac:dyDescent="0.15">
      <c r="A71" s="13" t="s">
        <v>102</v>
      </c>
      <c r="B71" s="2" t="s">
        <v>977</v>
      </c>
      <c r="C71" s="2" t="s">
        <v>2286</v>
      </c>
      <c r="D71" s="27">
        <f>자재조서!E72</f>
        <v>214</v>
      </c>
      <c r="E71" s="22" t="s">
        <v>2627</v>
      </c>
      <c r="F71" t="s">
        <v>2859</v>
      </c>
      <c r="G71" t="s">
        <v>1281</v>
      </c>
      <c r="H71" t="s">
        <v>2859</v>
      </c>
    </row>
    <row r="72" spans="1:8" ht="18.399999999999999" customHeight="1" x14ac:dyDescent="0.15">
      <c r="A72" s="13" t="s">
        <v>2355</v>
      </c>
      <c r="B72" s="2" t="s">
        <v>2859</v>
      </c>
      <c r="C72" s="2" t="s">
        <v>1558</v>
      </c>
      <c r="D72" s="27">
        <f>자재조서!E73</f>
        <v>2000</v>
      </c>
      <c r="E72" s="22" t="s">
        <v>2169</v>
      </c>
      <c r="F72" t="s">
        <v>2859</v>
      </c>
      <c r="G72" t="s">
        <v>2596</v>
      </c>
      <c r="H72" t="s">
        <v>2859</v>
      </c>
    </row>
    <row r="73" spans="1:8" ht="18.399999999999999" customHeight="1" x14ac:dyDescent="0.15">
      <c r="A73" s="13" t="s">
        <v>1254</v>
      </c>
      <c r="B73" s="2" t="s">
        <v>999</v>
      </c>
      <c r="C73" s="2" t="s">
        <v>2286</v>
      </c>
      <c r="D73" s="27">
        <f>자재조서!E74</f>
        <v>4200000</v>
      </c>
      <c r="E73" s="22" t="s">
        <v>1520</v>
      </c>
      <c r="F73" t="s">
        <v>2859</v>
      </c>
      <c r="G73" t="s">
        <v>99</v>
      </c>
      <c r="H73" t="s">
        <v>198</v>
      </c>
    </row>
    <row r="74" spans="1:8" ht="18.399999999999999" customHeight="1" thickBot="1" x14ac:dyDescent="0.2">
      <c r="A74" s="15" t="s">
        <v>2538</v>
      </c>
      <c r="B74" s="16" t="s">
        <v>2859</v>
      </c>
      <c r="C74" s="16" t="s">
        <v>577</v>
      </c>
      <c r="D74" s="28">
        <v>6</v>
      </c>
      <c r="E74" s="23" t="s">
        <v>459</v>
      </c>
      <c r="F74" t="s">
        <v>2859</v>
      </c>
      <c r="G74" t="s">
        <v>2513</v>
      </c>
      <c r="H74" t="s">
        <v>2859</v>
      </c>
    </row>
  </sheetData>
  <phoneticPr fontId="5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"/>
  <sheetViews>
    <sheetView workbookViewId="0">
      <selection activeCell="F8" sqref="F8"/>
    </sheetView>
  </sheetViews>
  <sheetFormatPr defaultRowHeight="18.399999999999999" customHeight="1" x14ac:dyDescent="0.15"/>
  <cols>
    <col min="1" max="1" width="30" customWidth="1"/>
    <col min="2" max="2" width="25" customWidth="1"/>
    <col min="3" max="3" width="5" customWidth="1"/>
    <col min="4" max="6" width="11" customWidth="1"/>
    <col min="7" max="7" width="12" customWidth="1"/>
    <col min="8" max="8" width="15" customWidth="1"/>
    <col min="9" max="10" width="0" hidden="1" customWidth="1"/>
  </cols>
  <sheetData>
    <row r="1" spans="1:10" ht="18.399999999999999" customHeight="1" thickBot="1" x14ac:dyDescent="0.2">
      <c r="A1" t="s">
        <v>454</v>
      </c>
    </row>
    <row r="2" spans="1:10" ht="18.399999999999999" customHeight="1" thickBot="1" x14ac:dyDescent="0.2">
      <c r="A2" s="18" t="s">
        <v>2004</v>
      </c>
      <c r="B2" s="19" t="s">
        <v>1092</v>
      </c>
      <c r="C2" s="19" t="s">
        <v>2682</v>
      </c>
      <c r="D2" s="19" t="s">
        <v>1942</v>
      </c>
      <c r="E2" s="19" t="s">
        <v>1175</v>
      </c>
      <c r="F2" s="19" t="s">
        <v>171</v>
      </c>
      <c r="G2" s="19" t="s">
        <v>2786</v>
      </c>
      <c r="H2" s="21" t="s">
        <v>716</v>
      </c>
    </row>
    <row r="3" spans="1:10" ht="18.399999999999999" customHeight="1" x14ac:dyDescent="0.15">
      <c r="A3" s="13" t="s">
        <v>1619</v>
      </c>
      <c r="B3" s="2" t="s">
        <v>2011</v>
      </c>
      <c r="C3" s="2" t="s">
        <v>1920</v>
      </c>
      <c r="D3" s="27">
        <v>0</v>
      </c>
      <c r="E3" s="27">
        <v>0</v>
      </c>
      <c r="F3" s="27">
        <v>159270</v>
      </c>
      <c r="G3" s="27">
        <f>D3+E3+F3</f>
        <v>159270</v>
      </c>
      <c r="H3" s="22" t="s">
        <v>2204</v>
      </c>
      <c r="I3" t="s">
        <v>2859</v>
      </c>
      <c r="J3" t="s">
        <v>957</v>
      </c>
    </row>
    <row r="4" spans="1:10" ht="18.399999999999999" customHeight="1" thickBot="1" x14ac:dyDescent="0.2">
      <c r="A4" s="15" t="s">
        <v>1610</v>
      </c>
      <c r="B4" s="16" t="s">
        <v>2859</v>
      </c>
      <c r="C4" s="16" t="s">
        <v>1920</v>
      </c>
      <c r="D4" s="28">
        <v>0</v>
      </c>
      <c r="E4" s="28">
        <v>0</v>
      </c>
      <c r="F4" s="28">
        <v>1723.91</v>
      </c>
      <c r="G4" s="28">
        <f>D4+E4+F4</f>
        <v>1723.91</v>
      </c>
      <c r="H4" s="23" t="s">
        <v>2493</v>
      </c>
      <c r="I4" t="s">
        <v>2859</v>
      </c>
      <c r="J4" t="s">
        <v>1687</v>
      </c>
    </row>
  </sheetData>
  <phoneticPr fontId="5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75"/>
  <sheetViews>
    <sheetView topLeftCell="A43" workbookViewId="0">
      <selection activeCell="F8" sqref="F8"/>
    </sheetView>
  </sheetViews>
  <sheetFormatPr defaultRowHeight="18.399999999999999" customHeight="1" x14ac:dyDescent="0.15"/>
  <cols>
    <col min="1" max="1" width="17" customWidth="1"/>
    <col min="2" max="2" width="23" customWidth="1"/>
    <col min="3" max="3" width="19" customWidth="1"/>
    <col min="4" max="4" width="5" customWidth="1"/>
    <col min="5" max="5" width="16" customWidth="1"/>
    <col min="6" max="6" width="15" customWidth="1"/>
    <col min="7" max="7" width="8" customWidth="1"/>
    <col min="8" max="8" width="15" customWidth="1"/>
    <col min="9" max="9" width="8" customWidth="1"/>
    <col min="10" max="10" width="15" customWidth="1"/>
    <col min="11" max="11" width="8" customWidth="1"/>
    <col min="12" max="12" width="15" customWidth="1"/>
    <col min="13" max="13" width="8" customWidth="1"/>
    <col min="21" max="24" width="0" hidden="1" customWidth="1"/>
  </cols>
  <sheetData>
    <row r="1" spans="1:24" ht="18.399999999999999" customHeight="1" thickBot="1" x14ac:dyDescent="0.2">
      <c r="A1" t="s">
        <v>373</v>
      </c>
    </row>
    <row r="2" spans="1:24" ht="18.399999999999999" customHeight="1" x14ac:dyDescent="0.15">
      <c r="A2" s="430" t="s">
        <v>1066</v>
      </c>
      <c r="B2" s="427" t="s">
        <v>2004</v>
      </c>
      <c r="C2" s="427" t="s">
        <v>1092</v>
      </c>
      <c r="D2" s="427" t="s">
        <v>1063</v>
      </c>
      <c r="E2" s="427" t="s">
        <v>2349</v>
      </c>
      <c r="F2" s="427" t="s">
        <v>2760</v>
      </c>
      <c r="G2" s="427" t="s">
        <v>2859</v>
      </c>
      <c r="H2" s="427" t="s">
        <v>368</v>
      </c>
      <c r="I2" s="427" t="s">
        <v>2859</v>
      </c>
      <c r="J2" s="427" t="s">
        <v>2289</v>
      </c>
      <c r="K2" s="427" t="s">
        <v>2859</v>
      </c>
      <c r="L2" s="427" t="s">
        <v>1719</v>
      </c>
      <c r="M2" s="427" t="s">
        <v>2859</v>
      </c>
      <c r="N2" s="427" t="s">
        <v>1451</v>
      </c>
      <c r="O2" s="434" t="s">
        <v>2403</v>
      </c>
      <c r="U2" t="s">
        <v>727</v>
      </c>
    </row>
    <row r="3" spans="1:24" ht="18.399999999999999" customHeight="1" thickBot="1" x14ac:dyDescent="0.2">
      <c r="A3" s="431" t="s">
        <v>2859</v>
      </c>
      <c r="B3" s="432" t="s">
        <v>2859</v>
      </c>
      <c r="C3" s="432" t="s">
        <v>2859</v>
      </c>
      <c r="D3" s="432" t="s">
        <v>2859</v>
      </c>
      <c r="E3" s="432" t="s">
        <v>2859</v>
      </c>
      <c r="F3" s="52" t="s">
        <v>1530</v>
      </c>
      <c r="G3" s="52" t="s">
        <v>2548</v>
      </c>
      <c r="H3" s="52" t="s">
        <v>1530</v>
      </c>
      <c r="I3" s="52" t="s">
        <v>2548</v>
      </c>
      <c r="J3" s="52" t="s">
        <v>1530</v>
      </c>
      <c r="K3" s="52" t="s">
        <v>2548</v>
      </c>
      <c r="L3" s="52" t="s">
        <v>1530</v>
      </c>
      <c r="M3" s="52" t="s">
        <v>2548</v>
      </c>
      <c r="N3" s="432" t="s">
        <v>2859</v>
      </c>
      <c r="O3" s="435" t="s">
        <v>2859</v>
      </c>
      <c r="U3" t="s">
        <v>803</v>
      </c>
    </row>
    <row r="4" spans="1:24" ht="18.399999999999999" customHeight="1" x14ac:dyDescent="0.15">
      <c r="A4" s="13" t="s">
        <v>1622</v>
      </c>
      <c r="B4" s="2" t="s">
        <v>2017</v>
      </c>
      <c r="C4" s="2" t="s">
        <v>2205</v>
      </c>
      <c r="D4" s="2" t="s">
        <v>2787</v>
      </c>
      <c r="E4" s="27">
        <v>528153</v>
      </c>
      <c r="F4" s="27">
        <v>718563</v>
      </c>
      <c r="G4" s="2" t="s">
        <v>1952</v>
      </c>
      <c r="H4" s="27">
        <v>715569</v>
      </c>
      <c r="I4" s="2" t="s">
        <v>837</v>
      </c>
      <c r="J4" s="27">
        <v>528153</v>
      </c>
      <c r="K4" s="2" t="s">
        <v>1282</v>
      </c>
      <c r="L4" s="2"/>
      <c r="M4" s="2" t="s">
        <v>2859</v>
      </c>
      <c r="N4" s="2" t="s">
        <v>2859</v>
      </c>
      <c r="O4" s="14" t="s">
        <v>2859</v>
      </c>
      <c r="U4" t="s">
        <v>803</v>
      </c>
      <c r="V4" t="s">
        <v>2859</v>
      </c>
      <c r="W4" t="s">
        <v>2256</v>
      </c>
      <c r="X4" t="s">
        <v>2859</v>
      </c>
    </row>
    <row r="5" spans="1:24" ht="18.399999999999999" customHeight="1" x14ac:dyDescent="0.15">
      <c r="A5" s="13" t="s">
        <v>1988</v>
      </c>
      <c r="B5" s="2" t="s">
        <v>2668</v>
      </c>
      <c r="C5" s="2" t="s">
        <v>1527</v>
      </c>
      <c r="D5" s="2" t="s">
        <v>1795</v>
      </c>
      <c r="E5" s="27">
        <v>825000</v>
      </c>
      <c r="F5" s="27">
        <v>880000</v>
      </c>
      <c r="G5" s="2" t="s">
        <v>410</v>
      </c>
      <c r="H5" s="27">
        <v>1000000</v>
      </c>
      <c r="I5" s="2" t="s">
        <v>410</v>
      </c>
      <c r="J5" s="27">
        <v>825000</v>
      </c>
      <c r="K5" s="2" t="s">
        <v>771</v>
      </c>
      <c r="L5" s="2"/>
      <c r="M5" s="2" t="s">
        <v>2859</v>
      </c>
      <c r="N5" s="2" t="s">
        <v>2859</v>
      </c>
      <c r="O5" s="14" t="s">
        <v>2859</v>
      </c>
      <c r="V5" t="s">
        <v>1984</v>
      </c>
      <c r="W5" t="s">
        <v>1988</v>
      </c>
      <c r="X5" t="s">
        <v>2859</v>
      </c>
    </row>
    <row r="6" spans="1:24" ht="18.399999999999999" customHeight="1" x14ac:dyDescent="0.15">
      <c r="A6" s="13" t="s">
        <v>2635</v>
      </c>
      <c r="B6" s="2" t="s">
        <v>2668</v>
      </c>
      <c r="C6" s="2" t="s">
        <v>87</v>
      </c>
      <c r="D6" s="2" t="s">
        <v>1795</v>
      </c>
      <c r="E6" s="27">
        <v>825000</v>
      </c>
      <c r="F6" s="27">
        <v>880000</v>
      </c>
      <c r="G6" s="2" t="s">
        <v>410</v>
      </c>
      <c r="H6" s="27">
        <v>995000</v>
      </c>
      <c r="I6" s="2" t="s">
        <v>410</v>
      </c>
      <c r="J6" s="27">
        <v>825000</v>
      </c>
      <c r="K6" s="2" t="s">
        <v>771</v>
      </c>
      <c r="L6" s="2"/>
      <c r="M6" s="2" t="s">
        <v>2859</v>
      </c>
      <c r="N6" s="2" t="s">
        <v>2859</v>
      </c>
      <c r="O6" s="14" t="s">
        <v>2859</v>
      </c>
      <c r="V6" t="s">
        <v>1501</v>
      </c>
      <c r="W6" t="s">
        <v>2635</v>
      </c>
      <c r="X6" t="s">
        <v>2859</v>
      </c>
    </row>
    <row r="7" spans="1:24" ht="18.399999999999999" customHeight="1" x14ac:dyDescent="0.15">
      <c r="A7" s="13" t="s">
        <v>107</v>
      </c>
      <c r="B7" s="2" t="s">
        <v>491</v>
      </c>
      <c r="C7" s="2" t="s">
        <v>2409</v>
      </c>
      <c r="D7" s="2" t="s">
        <v>757</v>
      </c>
      <c r="E7" s="27">
        <v>1019920</v>
      </c>
      <c r="F7" s="2"/>
      <c r="G7" s="2" t="s">
        <v>2859</v>
      </c>
      <c r="H7" s="2"/>
      <c r="I7" s="2" t="s">
        <v>2859</v>
      </c>
      <c r="J7" s="27">
        <v>1019920</v>
      </c>
      <c r="K7" s="2" t="s">
        <v>1333</v>
      </c>
      <c r="L7" s="2"/>
      <c r="M7" s="2" t="s">
        <v>2859</v>
      </c>
      <c r="N7" s="2" t="s">
        <v>244</v>
      </c>
      <c r="O7" s="14" t="s">
        <v>1191</v>
      </c>
      <c r="V7" t="s">
        <v>517</v>
      </c>
      <c r="W7" t="s">
        <v>107</v>
      </c>
      <c r="X7" t="s">
        <v>2859</v>
      </c>
    </row>
    <row r="8" spans="1:24" ht="18.399999999999999" customHeight="1" x14ac:dyDescent="0.15">
      <c r="A8" s="13" t="s">
        <v>1730</v>
      </c>
      <c r="B8" s="2" t="s">
        <v>491</v>
      </c>
      <c r="C8" s="2" t="s">
        <v>2815</v>
      </c>
      <c r="D8" s="2" t="s">
        <v>757</v>
      </c>
      <c r="E8" s="27">
        <v>1019920</v>
      </c>
      <c r="F8" s="2"/>
      <c r="G8" s="2" t="s">
        <v>2859</v>
      </c>
      <c r="H8" s="2"/>
      <c r="I8" s="2" t="s">
        <v>2859</v>
      </c>
      <c r="J8" s="27">
        <v>1019920</v>
      </c>
      <c r="K8" s="2" t="s">
        <v>1333</v>
      </c>
      <c r="L8" s="2"/>
      <c r="M8" s="2" t="s">
        <v>2859</v>
      </c>
      <c r="N8" s="2" t="s">
        <v>244</v>
      </c>
      <c r="O8" s="14" t="s">
        <v>1850</v>
      </c>
      <c r="V8" t="s">
        <v>1858</v>
      </c>
      <c r="W8" t="s">
        <v>1730</v>
      </c>
      <c r="X8" t="s">
        <v>2859</v>
      </c>
    </row>
    <row r="9" spans="1:24" ht="18.399999999999999" customHeight="1" x14ac:dyDescent="0.15">
      <c r="A9" s="13" t="s">
        <v>2774</v>
      </c>
      <c r="B9" s="2" t="s">
        <v>1715</v>
      </c>
      <c r="C9" s="2" t="s">
        <v>12</v>
      </c>
      <c r="D9" s="2" t="s">
        <v>1795</v>
      </c>
      <c r="E9" s="27">
        <v>970000</v>
      </c>
      <c r="F9" s="27">
        <v>1020000</v>
      </c>
      <c r="G9" s="2" t="s">
        <v>1893</v>
      </c>
      <c r="H9" s="27">
        <v>1180000</v>
      </c>
      <c r="I9" s="2" t="s">
        <v>1503</v>
      </c>
      <c r="J9" s="27">
        <v>970000</v>
      </c>
      <c r="K9" s="2" t="s">
        <v>771</v>
      </c>
      <c r="L9" s="2"/>
      <c r="M9" s="2" t="s">
        <v>2859</v>
      </c>
      <c r="N9" s="2" t="s">
        <v>2859</v>
      </c>
      <c r="O9" s="14" t="s">
        <v>2859</v>
      </c>
      <c r="V9" t="s">
        <v>2283</v>
      </c>
      <c r="W9" t="s">
        <v>1931</v>
      </c>
      <c r="X9" t="s">
        <v>2859</v>
      </c>
    </row>
    <row r="10" spans="1:24" ht="18.399999999999999" customHeight="1" x14ac:dyDescent="0.15">
      <c r="A10" s="13" t="s">
        <v>2294</v>
      </c>
      <c r="B10" s="2" t="s">
        <v>2308</v>
      </c>
      <c r="C10" s="2" t="s">
        <v>668</v>
      </c>
      <c r="D10" s="2" t="s">
        <v>1086</v>
      </c>
      <c r="E10" s="27">
        <v>3333</v>
      </c>
      <c r="F10" s="2"/>
      <c r="G10" s="2" t="s">
        <v>2859</v>
      </c>
      <c r="H10" s="2"/>
      <c r="I10" s="2" t="s">
        <v>2859</v>
      </c>
      <c r="J10" s="2"/>
      <c r="K10" s="2" t="s">
        <v>2859</v>
      </c>
      <c r="L10" s="27">
        <v>3333</v>
      </c>
      <c r="M10" s="2" t="s">
        <v>2859</v>
      </c>
      <c r="N10" s="2" t="s">
        <v>2859</v>
      </c>
      <c r="O10" s="14" t="s">
        <v>2859</v>
      </c>
      <c r="V10" t="s">
        <v>2859</v>
      </c>
      <c r="W10" t="s">
        <v>2294</v>
      </c>
      <c r="X10" t="s">
        <v>2859</v>
      </c>
    </row>
    <row r="11" spans="1:24" ht="18.399999999999999" customHeight="1" x14ac:dyDescent="0.15">
      <c r="A11" s="13" t="s">
        <v>460</v>
      </c>
      <c r="B11" s="2" t="s">
        <v>1369</v>
      </c>
      <c r="C11" s="2" t="s">
        <v>2848</v>
      </c>
      <c r="D11" s="2" t="s">
        <v>316</v>
      </c>
      <c r="E11" s="27">
        <v>1245</v>
      </c>
      <c r="F11" s="27">
        <v>1470</v>
      </c>
      <c r="G11" s="2" t="s">
        <v>2622</v>
      </c>
      <c r="H11" s="27">
        <v>1630</v>
      </c>
      <c r="I11" s="2" t="s">
        <v>1897</v>
      </c>
      <c r="J11" s="27">
        <v>1245</v>
      </c>
      <c r="K11" s="2" t="s">
        <v>1282</v>
      </c>
      <c r="L11" s="2"/>
      <c r="M11" s="2" t="s">
        <v>2859</v>
      </c>
      <c r="N11" s="2" t="s">
        <v>2859</v>
      </c>
      <c r="O11" s="14" t="s">
        <v>2859</v>
      </c>
      <c r="U11" t="s">
        <v>803</v>
      </c>
      <c r="V11" t="s">
        <v>98</v>
      </c>
      <c r="W11" t="s">
        <v>460</v>
      </c>
      <c r="X11" t="s">
        <v>2859</v>
      </c>
    </row>
    <row r="12" spans="1:24" ht="18.399999999999999" customHeight="1" x14ac:dyDescent="0.15">
      <c r="A12" s="13" t="s">
        <v>2341</v>
      </c>
      <c r="B12" s="2" t="s">
        <v>2217</v>
      </c>
      <c r="C12" s="2" t="s">
        <v>2214</v>
      </c>
      <c r="D12" s="2" t="s">
        <v>316</v>
      </c>
      <c r="E12" s="27">
        <v>1730</v>
      </c>
      <c r="F12" s="27">
        <v>1730</v>
      </c>
      <c r="G12" s="2" t="s">
        <v>2622</v>
      </c>
      <c r="H12" s="27">
        <v>2310</v>
      </c>
      <c r="I12" s="2" t="s">
        <v>1897</v>
      </c>
      <c r="J12" s="2"/>
      <c r="K12" s="2" t="s">
        <v>2859</v>
      </c>
      <c r="L12" s="2"/>
      <c r="M12" s="2" t="s">
        <v>2859</v>
      </c>
      <c r="N12" s="2" t="s">
        <v>2859</v>
      </c>
      <c r="O12" s="14" t="s">
        <v>2859</v>
      </c>
      <c r="U12" t="s">
        <v>2738</v>
      </c>
      <c r="V12" t="s">
        <v>1257</v>
      </c>
      <c r="W12" t="s">
        <v>1932</v>
      </c>
      <c r="X12" t="s">
        <v>2859</v>
      </c>
    </row>
    <row r="13" spans="1:24" ht="18.399999999999999" customHeight="1" x14ac:dyDescent="0.15">
      <c r="A13" s="13" t="s">
        <v>1940</v>
      </c>
      <c r="B13" s="2" t="s">
        <v>2150</v>
      </c>
      <c r="C13" s="2" t="s">
        <v>417</v>
      </c>
      <c r="D13" s="2" t="s">
        <v>129</v>
      </c>
      <c r="E13" s="27">
        <v>37000</v>
      </c>
      <c r="F13" s="27">
        <v>38000</v>
      </c>
      <c r="G13" s="2" t="s">
        <v>1107</v>
      </c>
      <c r="H13" s="2"/>
      <c r="I13" s="2" t="s">
        <v>2859</v>
      </c>
      <c r="J13" s="27">
        <v>37000</v>
      </c>
      <c r="K13" s="2" t="s">
        <v>2565</v>
      </c>
      <c r="L13" s="2"/>
      <c r="M13" s="2" t="s">
        <v>2859</v>
      </c>
      <c r="N13" s="2" t="s">
        <v>2859</v>
      </c>
      <c r="O13" s="14" t="s">
        <v>2859</v>
      </c>
      <c r="U13" t="s">
        <v>2511</v>
      </c>
      <c r="V13" t="s">
        <v>2859</v>
      </c>
      <c r="W13" t="s">
        <v>1940</v>
      </c>
      <c r="X13" t="s">
        <v>2859</v>
      </c>
    </row>
    <row r="14" spans="1:24" ht="18.399999999999999" customHeight="1" x14ac:dyDescent="0.15">
      <c r="A14" s="13" t="s">
        <v>1645</v>
      </c>
      <c r="B14" s="2" t="s">
        <v>765</v>
      </c>
      <c r="C14" s="2" t="s">
        <v>550</v>
      </c>
      <c r="D14" s="2" t="s">
        <v>129</v>
      </c>
      <c r="E14" s="27">
        <v>25000</v>
      </c>
      <c r="F14" s="27">
        <v>25000</v>
      </c>
      <c r="G14" s="2" t="s">
        <v>1107</v>
      </c>
      <c r="H14" s="2"/>
      <c r="I14" s="2" t="s">
        <v>2859</v>
      </c>
      <c r="J14" s="2"/>
      <c r="K14" s="2" t="s">
        <v>2859</v>
      </c>
      <c r="L14" s="2"/>
      <c r="M14" s="2" t="s">
        <v>2859</v>
      </c>
      <c r="N14" s="2" t="s">
        <v>2859</v>
      </c>
      <c r="O14" s="14" t="s">
        <v>2859</v>
      </c>
      <c r="U14" t="s">
        <v>2511</v>
      </c>
      <c r="V14" t="s">
        <v>2859</v>
      </c>
      <c r="W14" t="s">
        <v>2588</v>
      </c>
      <c r="X14" t="s">
        <v>2859</v>
      </c>
    </row>
    <row r="15" spans="1:24" ht="18.399999999999999" customHeight="1" x14ac:dyDescent="0.15">
      <c r="A15" s="13" t="s">
        <v>48</v>
      </c>
      <c r="B15" s="2" t="s">
        <v>1399</v>
      </c>
      <c r="C15" s="2" t="s">
        <v>1448</v>
      </c>
      <c r="D15" s="2" t="s">
        <v>129</v>
      </c>
      <c r="E15" s="27">
        <v>24000</v>
      </c>
      <c r="F15" s="27">
        <v>24000</v>
      </c>
      <c r="G15" s="2" t="s">
        <v>1107</v>
      </c>
      <c r="H15" s="2"/>
      <c r="I15" s="2" t="s">
        <v>2859</v>
      </c>
      <c r="J15" s="2"/>
      <c r="K15" s="2" t="s">
        <v>2859</v>
      </c>
      <c r="L15" s="2"/>
      <c r="M15" s="2" t="s">
        <v>2859</v>
      </c>
      <c r="N15" s="2" t="s">
        <v>2859</v>
      </c>
      <c r="O15" s="14" t="s">
        <v>2859</v>
      </c>
      <c r="U15" t="s">
        <v>2511</v>
      </c>
      <c r="V15" t="s">
        <v>2859</v>
      </c>
      <c r="W15" t="s">
        <v>1645</v>
      </c>
      <c r="X15" t="s">
        <v>2859</v>
      </c>
    </row>
    <row r="16" spans="1:24" ht="18.399999999999999" customHeight="1" x14ac:dyDescent="0.15">
      <c r="A16" s="13" t="s">
        <v>2183</v>
      </c>
      <c r="B16" s="2" t="s">
        <v>2826</v>
      </c>
      <c r="C16" s="2" t="s">
        <v>2236</v>
      </c>
      <c r="D16" s="2" t="s">
        <v>475</v>
      </c>
      <c r="E16" s="27">
        <v>7545</v>
      </c>
      <c r="F16" s="27">
        <v>7636</v>
      </c>
      <c r="G16" s="2" t="s">
        <v>2149</v>
      </c>
      <c r="H16" s="2"/>
      <c r="I16" s="2" t="s">
        <v>2859</v>
      </c>
      <c r="J16" s="27">
        <v>7545</v>
      </c>
      <c r="K16" s="2" t="s">
        <v>771</v>
      </c>
      <c r="L16" s="2"/>
      <c r="M16" s="2" t="s">
        <v>2859</v>
      </c>
      <c r="N16" s="2" t="s">
        <v>392</v>
      </c>
      <c r="O16" s="14" t="s">
        <v>254</v>
      </c>
      <c r="U16" t="s">
        <v>2511</v>
      </c>
      <c r="V16" t="s">
        <v>170</v>
      </c>
      <c r="W16" t="s">
        <v>2183</v>
      </c>
      <c r="X16" t="s">
        <v>2859</v>
      </c>
    </row>
    <row r="17" spans="1:24" ht="18.399999999999999" customHeight="1" x14ac:dyDescent="0.15">
      <c r="A17" s="13" t="s">
        <v>584</v>
      </c>
      <c r="B17" s="2" t="s">
        <v>351</v>
      </c>
      <c r="C17" s="2" t="s">
        <v>1287</v>
      </c>
      <c r="D17" s="2" t="s">
        <v>129</v>
      </c>
      <c r="E17" s="27">
        <v>90880</v>
      </c>
      <c r="F17" s="2"/>
      <c r="G17" s="2" t="s">
        <v>2859</v>
      </c>
      <c r="H17" s="27"/>
      <c r="I17" s="2" t="s">
        <v>2859</v>
      </c>
      <c r="J17" s="27">
        <v>90880</v>
      </c>
      <c r="K17" s="2" t="s">
        <v>1333</v>
      </c>
      <c r="L17" s="2"/>
      <c r="M17" s="2" t="s">
        <v>2859</v>
      </c>
      <c r="N17" s="2" t="s">
        <v>2859</v>
      </c>
      <c r="O17" s="14" t="s">
        <v>2859</v>
      </c>
      <c r="V17" t="s">
        <v>2859</v>
      </c>
      <c r="W17" t="s">
        <v>584</v>
      </c>
      <c r="X17" t="s">
        <v>2859</v>
      </c>
    </row>
    <row r="18" spans="1:24" ht="18.399999999999999" customHeight="1" x14ac:dyDescent="0.15">
      <c r="A18" s="13" t="s">
        <v>1286</v>
      </c>
      <c r="B18" s="2" t="s">
        <v>351</v>
      </c>
      <c r="C18" s="2" t="s">
        <v>277</v>
      </c>
      <c r="D18" s="2" t="s">
        <v>129</v>
      </c>
      <c r="E18" s="27">
        <v>99810</v>
      </c>
      <c r="F18" s="2"/>
      <c r="G18" s="2" t="s">
        <v>2859</v>
      </c>
      <c r="H18" s="27"/>
      <c r="I18" s="2" t="s">
        <v>2859</v>
      </c>
      <c r="J18" s="27">
        <v>99810</v>
      </c>
      <c r="K18" s="2" t="s">
        <v>1333</v>
      </c>
      <c r="L18" s="2"/>
      <c r="M18" s="2" t="s">
        <v>2859</v>
      </c>
      <c r="N18" s="2" t="s">
        <v>2859</v>
      </c>
      <c r="O18" s="14" t="s">
        <v>2859</v>
      </c>
      <c r="V18" t="s">
        <v>2859</v>
      </c>
      <c r="W18" t="s">
        <v>1286</v>
      </c>
      <c r="X18" t="s">
        <v>2859</v>
      </c>
    </row>
    <row r="19" spans="1:24" ht="18.399999999999999" customHeight="1" x14ac:dyDescent="0.15">
      <c r="A19" s="13" t="s">
        <v>1825</v>
      </c>
      <c r="B19" s="2" t="s">
        <v>666</v>
      </c>
      <c r="C19" s="2" t="s">
        <v>1566</v>
      </c>
      <c r="D19" s="2" t="s">
        <v>2286</v>
      </c>
      <c r="E19" s="27">
        <v>1100</v>
      </c>
      <c r="F19" s="2"/>
      <c r="G19" s="2" t="s">
        <v>2859</v>
      </c>
      <c r="H19" s="27">
        <v>1200</v>
      </c>
      <c r="I19" s="2" t="s">
        <v>1766</v>
      </c>
      <c r="J19" s="27">
        <v>1100</v>
      </c>
      <c r="K19" s="2" t="s">
        <v>1282</v>
      </c>
      <c r="L19" s="2"/>
      <c r="M19" s="2" t="s">
        <v>2859</v>
      </c>
      <c r="N19" s="2" t="s">
        <v>2859</v>
      </c>
      <c r="O19" s="14" t="s">
        <v>2859</v>
      </c>
      <c r="V19" t="s">
        <v>1685</v>
      </c>
      <c r="W19" t="s">
        <v>1825</v>
      </c>
      <c r="X19" t="s">
        <v>2859</v>
      </c>
    </row>
    <row r="20" spans="1:24" ht="18.399999999999999" customHeight="1" x14ac:dyDescent="0.15">
      <c r="A20" s="13" t="s">
        <v>1147</v>
      </c>
      <c r="B20" s="2" t="s">
        <v>2185</v>
      </c>
      <c r="C20" s="2" t="s">
        <v>1356</v>
      </c>
      <c r="D20" s="2" t="s">
        <v>2038</v>
      </c>
      <c r="E20" s="27">
        <v>29000</v>
      </c>
      <c r="F20" s="27">
        <v>31500</v>
      </c>
      <c r="G20" s="2" t="s">
        <v>1228</v>
      </c>
      <c r="H20" s="2"/>
      <c r="I20" s="2" t="s">
        <v>2859</v>
      </c>
      <c r="J20" s="27">
        <v>29000</v>
      </c>
      <c r="K20" s="2" t="s">
        <v>771</v>
      </c>
      <c r="L20" s="2"/>
      <c r="M20" s="2" t="s">
        <v>2859</v>
      </c>
      <c r="N20" s="2" t="s">
        <v>2859</v>
      </c>
      <c r="O20" s="14" t="s">
        <v>2859</v>
      </c>
      <c r="V20" t="s">
        <v>2859</v>
      </c>
      <c r="W20" t="s">
        <v>2859</v>
      </c>
      <c r="X20" t="s">
        <v>2859</v>
      </c>
    </row>
    <row r="21" spans="1:24" ht="18.399999999999999" customHeight="1" x14ac:dyDescent="0.15">
      <c r="A21" s="13" t="s">
        <v>2519</v>
      </c>
      <c r="B21" s="2" t="s">
        <v>952</v>
      </c>
      <c r="C21" s="2" t="s">
        <v>1515</v>
      </c>
      <c r="D21" s="2" t="s">
        <v>2038</v>
      </c>
      <c r="E21" s="27">
        <v>23232</v>
      </c>
      <c r="F21" s="2"/>
      <c r="G21" s="2" t="s">
        <v>2859</v>
      </c>
      <c r="H21" s="2"/>
      <c r="I21" s="2" t="s">
        <v>2859</v>
      </c>
      <c r="J21" s="27">
        <v>23232</v>
      </c>
      <c r="K21" s="2" t="s">
        <v>1282</v>
      </c>
      <c r="L21" s="2"/>
      <c r="M21" s="2" t="s">
        <v>2859</v>
      </c>
      <c r="N21" s="2" t="s">
        <v>2859</v>
      </c>
      <c r="O21" s="14" t="s">
        <v>2859</v>
      </c>
      <c r="U21" t="s">
        <v>2760</v>
      </c>
      <c r="V21" t="s">
        <v>2859</v>
      </c>
      <c r="W21" t="s">
        <v>2859</v>
      </c>
      <c r="X21" t="s">
        <v>2859</v>
      </c>
    </row>
    <row r="22" spans="1:24" ht="18.399999999999999" customHeight="1" x14ac:dyDescent="0.15">
      <c r="A22" s="13" t="s">
        <v>514</v>
      </c>
      <c r="B22" s="2" t="s">
        <v>931</v>
      </c>
      <c r="C22" s="2" t="s">
        <v>653</v>
      </c>
      <c r="D22" s="2" t="s">
        <v>2286</v>
      </c>
      <c r="E22" s="27">
        <v>220</v>
      </c>
      <c r="F22" s="27">
        <v>220</v>
      </c>
      <c r="G22" s="2" t="s">
        <v>1805</v>
      </c>
      <c r="H22" s="2"/>
      <c r="I22" s="2" t="s">
        <v>2859</v>
      </c>
      <c r="J22" s="2"/>
      <c r="K22" s="2" t="s">
        <v>2859</v>
      </c>
      <c r="L22" s="2"/>
      <c r="M22" s="2" t="s">
        <v>2859</v>
      </c>
      <c r="N22" s="2" t="s">
        <v>2859</v>
      </c>
      <c r="O22" s="14" t="s">
        <v>2859</v>
      </c>
      <c r="U22" t="s">
        <v>368</v>
      </c>
      <c r="V22" t="s">
        <v>2859</v>
      </c>
      <c r="W22" t="s">
        <v>514</v>
      </c>
      <c r="X22" t="s">
        <v>2859</v>
      </c>
    </row>
    <row r="23" spans="1:24" ht="18.399999999999999" customHeight="1" x14ac:dyDescent="0.15">
      <c r="A23" s="13" t="s">
        <v>1156</v>
      </c>
      <c r="B23" s="2" t="s">
        <v>869</v>
      </c>
      <c r="C23" s="2" t="s">
        <v>2859</v>
      </c>
      <c r="D23" s="2" t="s">
        <v>2286</v>
      </c>
      <c r="E23" s="27">
        <v>315</v>
      </c>
      <c r="F23" s="27">
        <v>315</v>
      </c>
      <c r="G23" s="2" t="s">
        <v>1805</v>
      </c>
      <c r="H23" s="2"/>
      <c r="I23" s="2" t="s">
        <v>2859</v>
      </c>
      <c r="J23" s="2"/>
      <c r="K23" s="2" t="s">
        <v>2859</v>
      </c>
      <c r="L23" s="2"/>
      <c r="M23" s="2" t="s">
        <v>2859</v>
      </c>
      <c r="N23" s="2" t="s">
        <v>2859</v>
      </c>
      <c r="O23" s="14" t="s">
        <v>2859</v>
      </c>
      <c r="U23" t="s">
        <v>2289</v>
      </c>
      <c r="V23" t="s">
        <v>2859</v>
      </c>
      <c r="W23" t="s">
        <v>514</v>
      </c>
      <c r="X23" t="s">
        <v>2859</v>
      </c>
    </row>
    <row r="24" spans="1:24" ht="18.399999999999999" customHeight="1" x14ac:dyDescent="0.15">
      <c r="A24" s="13" t="s">
        <v>1052</v>
      </c>
      <c r="B24" s="2" t="s">
        <v>1132</v>
      </c>
      <c r="C24" s="2" t="s">
        <v>796</v>
      </c>
      <c r="D24" s="2" t="s">
        <v>2814</v>
      </c>
      <c r="E24" s="27">
        <v>1150</v>
      </c>
      <c r="F24" s="27">
        <v>1150</v>
      </c>
      <c r="G24" s="2" t="s">
        <v>1681</v>
      </c>
      <c r="H24" s="2"/>
      <c r="I24" s="2" t="s">
        <v>2859</v>
      </c>
      <c r="J24" s="2"/>
      <c r="K24" s="2" t="s">
        <v>2859</v>
      </c>
      <c r="L24" s="2"/>
      <c r="M24" s="2" t="s">
        <v>2859</v>
      </c>
      <c r="N24" s="2" t="s">
        <v>2859</v>
      </c>
      <c r="O24" s="14" t="s">
        <v>2859</v>
      </c>
      <c r="U24" t="s">
        <v>1719</v>
      </c>
      <c r="V24" t="s">
        <v>2245</v>
      </c>
      <c r="W24" t="s">
        <v>1052</v>
      </c>
      <c r="X24" t="s">
        <v>2859</v>
      </c>
    </row>
    <row r="25" spans="1:24" ht="18.399999999999999" customHeight="1" x14ac:dyDescent="0.15">
      <c r="A25" s="13" t="s">
        <v>2357</v>
      </c>
      <c r="B25" s="2" t="s">
        <v>1132</v>
      </c>
      <c r="C25" s="2" t="s">
        <v>1592</v>
      </c>
      <c r="D25" s="2" t="s">
        <v>2814</v>
      </c>
      <c r="E25" s="27">
        <v>1900</v>
      </c>
      <c r="F25" s="27">
        <v>1900</v>
      </c>
      <c r="G25" s="2" t="s">
        <v>1681</v>
      </c>
      <c r="H25" s="2"/>
      <c r="I25" s="2" t="s">
        <v>2859</v>
      </c>
      <c r="J25" s="2"/>
      <c r="K25" s="2" t="s">
        <v>2859</v>
      </c>
      <c r="L25" s="2"/>
      <c r="M25" s="2" t="s">
        <v>2859</v>
      </c>
      <c r="N25" s="2" t="s">
        <v>2859</v>
      </c>
      <c r="O25" s="14" t="s">
        <v>2859</v>
      </c>
      <c r="U25" t="s">
        <v>2859</v>
      </c>
      <c r="V25" t="s">
        <v>1571</v>
      </c>
      <c r="W25" t="s">
        <v>2357</v>
      </c>
      <c r="X25" t="s">
        <v>2859</v>
      </c>
    </row>
    <row r="26" spans="1:24" ht="18.399999999999999" customHeight="1" x14ac:dyDescent="0.15">
      <c r="A26" s="13" t="s">
        <v>2667</v>
      </c>
      <c r="B26" s="2" t="s">
        <v>45</v>
      </c>
      <c r="C26" s="2" t="s">
        <v>2164</v>
      </c>
      <c r="D26" s="2" t="s">
        <v>1795</v>
      </c>
      <c r="E26" s="27">
        <v>100940</v>
      </c>
      <c r="F26" s="2"/>
      <c r="G26" s="2" t="s">
        <v>2859</v>
      </c>
      <c r="H26" s="27"/>
      <c r="I26" s="2" t="s">
        <v>2859</v>
      </c>
      <c r="J26" s="27">
        <v>100940</v>
      </c>
      <c r="K26" s="2" t="s">
        <v>1333</v>
      </c>
      <c r="L26" s="2"/>
      <c r="M26" s="2" t="s">
        <v>2859</v>
      </c>
      <c r="N26" s="2" t="s">
        <v>2859</v>
      </c>
      <c r="O26" s="14" t="s">
        <v>2859</v>
      </c>
      <c r="U26" t="s">
        <v>2859</v>
      </c>
      <c r="V26" t="s">
        <v>1074</v>
      </c>
      <c r="W26" t="s">
        <v>824</v>
      </c>
      <c r="X26" t="s">
        <v>2859</v>
      </c>
    </row>
    <row r="27" spans="1:24" ht="18.399999999999999" customHeight="1" x14ac:dyDescent="0.15">
      <c r="A27" s="13" t="s">
        <v>2579</v>
      </c>
      <c r="B27" s="2" t="s">
        <v>45</v>
      </c>
      <c r="C27" s="2" t="s">
        <v>2515</v>
      </c>
      <c r="D27" s="2" t="s">
        <v>1795</v>
      </c>
      <c r="E27" s="27">
        <v>79870</v>
      </c>
      <c r="F27" s="2"/>
      <c r="G27" s="2" t="s">
        <v>2859</v>
      </c>
      <c r="H27" s="27"/>
      <c r="I27" s="2" t="s">
        <v>2859</v>
      </c>
      <c r="J27" s="27">
        <v>79870</v>
      </c>
      <c r="K27" s="2" t="s">
        <v>1333</v>
      </c>
      <c r="L27" s="2"/>
      <c r="M27" s="2" t="s">
        <v>2859</v>
      </c>
      <c r="N27" s="2" t="s">
        <v>2859</v>
      </c>
      <c r="O27" s="14" t="s">
        <v>2859</v>
      </c>
      <c r="V27" t="s">
        <v>2846</v>
      </c>
      <c r="W27" t="s">
        <v>1538</v>
      </c>
      <c r="X27" t="s">
        <v>2859</v>
      </c>
    </row>
    <row r="28" spans="1:24" ht="18.399999999999999" customHeight="1" x14ac:dyDescent="0.15">
      <c r="A28" s="13" t="s">
        <v>777</v>
      </c>
      <c r="B28" s="2" t="s">
        <v>1093</v>
      </c>
      <c r="C28" s="2" t="s">
        <v>589</v>
      </c>
      <c r="D28" s="2" t="s">
        <v>2286</v>
      </c>
      <c r="E28" s="27">
        <v>29300</v>
      </c>
      <c r="F28" s="27">
        <v>29520</v>
      </c>
      <c r="G28" s="2" t="s">
        <v>1077</v>
      </c>
      <c r="H28" s="2"/>
      <c r="I28" s="2" t="s">
        <v>2859</v>
      </c>
      <c r="J28" s="27">
        <v>29300</v>
      </c>
      <c r="K28" s="2" t="s">
        <v>771</v>
      </c>
      <c r="L28" s="2"/>
      <c r="M28" s="2" t="s">
        <v>2859</v>
      </c>
      <c r="N28" s="2" t="s">
        <v>2859</v>
      </c>
      <c r="O28" s="14" t="s">
        <v>2859</v>
      </c>
      <c r="V28" t="s">
        <v>2835</v>
      </c>
      <c r="W28" t="s">
        <v>777</v>
      </c>
      <c r="X28" t="s">
        <v>2859</v>
      </c>
    </row>
    <row r="29" spans="1:24" ht="18.399999999999999" customHeight="1" x14ac:dyDescent="0.15">
      <c r="A29" s="13" t="s">
        <v>199</v>
      </c>
      <c r="B29" s="2" t="s">
        <v>1093</v>
      </c>
      <c r="C29" s="2" t="s">
        <v>538</v>
      </c>
      <c r="D29" s="2" t="s">
        <v>2286</v>
      </c>
      <c r="E29" s="27">
        <v>51240</v>
      </c>
      <c r="F29" s="27">
        <v>51240</v>
      </c>
      <c r="G29" s="2" t="s">
        <v>1077</v>
      </c>
      <c r="H29" s="2"/>
      <c r="I29" s="2" t="s">
        <v>2859</v>
      </c>
      <c r="J29" s="2"/>
      <c r="K29" s="2" t="s">
        <v>2859</v>
      </c>
      <c r="L29" s="2"/>
      <c r="M29" s="2" t="s">
        <v>2859</v>
      </c>
      <c r="N29" s="2" t="s">
        <v>2859</v>
      </c>
      <c r="O29" s="14" t="s">
        <v>2859</v>
      </c>
      <c r="V29" t="s">
        <v>677</v>
      </c>
      <c r="W29" t="s">
        <v>199</v>
      </c>
      <c r="X29" t="s">
        <v>2859</v>
      </c>
    </row>
    <row r="30" spans="1:24" ht="18.399999999999999" customHeight="1" x14ac:dyDescent="0.15">
      <c r="A30" s="13" t="s">
        <v>834</v>
      </c>
      <c r="B30" s="2" t="s">
        <v>1093</v>
      </c>
      <c r="C30" s="2" t="s">
        <v>2047</v>
      </c>
      <c r="D30" s="2" t="s">
        <v>2286</v>
      </c>
      <c r="E30" s="27">
        <v>14880</v>
      </c>
      <c r="F30" s="27">
        <v>14880</v>
      </c>
      <c r="G30" s="2" t="s">
        <v>1077</v>
      </c>
      <c r="H30" s="2"/>
      <c r="I30" s="2" t="s">
        <v>2859</v>
      </c>
      <c r="J30" s="2"/>
      <c r="K30" s="2" t="s">
        <v>2859</v>
      </c>
      <c r="L30" s="2"/>
      <c r="M30" s="2" t="s">
        <v>2859</v>
      </c>
      <c r="N30" s="2" t="s">
        <v>2859</v>
      </c>
      <c r="O30" s="14" t="s">
        <v>2859</v>
      </c>
      <c r="V30" t="s">
        <v>677</v>
      </c>
      <c r="W30" t="s">
        <v>199</v>
      </c>
      <c r="X30" t="s">
        <v>2859</v>
      </c>
    </row>
    <row r="31" spans="1:24" ht="18.399999999999999" customHeight="1" x14ac:dyDescent="0.15">
      <c r="A31" s="13" t="s">
        <v>1561</v>
      </c>
      <c r="B31" s="2" t="s">
        <v>1911</v>
      </c>
      <c r="C31" s="2" t="s">
        <v>2859</v>
      </c>
      <c r="D31" s="2" t="s">
        <v>316</v>
      </c>
      <c r="E31" s="27">
        <v>4300</v>
      </c>
      <c r="F31" s="27">
        <v>5000</v>
      </c>
      <c r="G31" s="2" t="s">
        <v>1408</v>
      </c>
      <c r="H31" s="2"/>
      <c r="I31" s="2" t="s">
        <v>2859</v>
      </c>
      <c r="J31" s="27">
        <v>4300</v>
      </c>
      <c r="K31" s="2" t="s">
        <v>1282</v>
      </c>
      <c r="L31" s="2"/>
      <c r="M31" s="2" t="s">
        <v>2859</v>
      </c>
      <c r="N31" s="2" t="s">
        <v>2859</v>
      </c>
      <c r="O31" s="14" t="s">
        <v>2859</v>
      </c>
      <c r="U31" t="s">
        <v>2511</v>
      </c>
      <c r="V31" t="s">
        <v>2859</v>
      </c>
      <c r="W31" t="s">
        <v>1561</v>
      </c>
      <c r="X31" t="s">
        <v>2859</v>
      </c>
    </row>
    <row r="32" spans="1:24" ht="18.399999999999999" customHeight="1" x14ac:dyDescent="0.15">
      <c r="A32" s="13" t="s">
        <v>321</v>
      </c>
      <c r="B32" s="2" t="s">
        <v>1513</v>
      </c>
      <c r="C32" s="2" t="s">
        <v>2813</v>
      </c>
      <c r="D32" s="2" t="s">
        <v>316</v>
      </c>
      <c r="E32" s="27">
        <v>3300</v>
      </c>
      <c r="F32" s="2"/>
      <c r="G32" s="2" t="s">
        <v>2859</v>
      </c>
      <c r="H32" s="27">
        <v>3300</v>
      </c>
      <c r="I32" s="2" t="s">
        <v>2725</v>
      </c>
      <c r="J32" s="2"/>
      <c r="K32" s="2" t="s">
        <v>2859</v>
      </c>
      <c r="L32" s="2"/>
      <c r="M32" s="2" t="s">
        <v>2859</v>
      </c>
      <c r="N32" s="2" t="s">
        <v>2859</v>
      </c>
      <c r="O32" s="14" t="s">
        <v>2859</v>
      </c>
      <c r="U32" t="s">
        <v>2511</v>
      </c>
      <c r="V32" t="s">
        <v>2859</v>
      </c>
      <c r="W32" t="s">
        <v>321</v>
      </c>
      <c r="X32" t="s">
        <v>2859</v>
      </c>
    </row>
    <row r="33" spans="1:24" ht="18.399999999999999" customHeight="1" x14ac:dyDescent="0.15">
      <c r="A33" s="13" t="s">
        <v>1928</v>
      </c>
      <c r="B33" s="2" t="s">
        <v>976</v>
      </c>
      <c r="C33" s="2" t="s">
        <v>467</v>
      </c>
      <c r="D33" s="2" t="s">
        <v>2814</v>
      </c>
      <c r="E33" s="27">
        <v>2435</v>
      </c>
      <c r="F33" s="27">
        <v>4050</v>
      </c>
      <c r="G33" s="2" t="s">
        <v>1196</v>
      </c>
      <c r="H33" s="2"/>
      <c r="I33" s="2" t="s">
        <v>2859</v>
      </c>
      <c r="J33" s="27">
        <v>2435</v>
      </c>
      <c r="K33" s="2" t="s">
        <v>1282</v>
      </c>
      <c r="L33" s="2"/>
      <c r="M33" s="2" t="s">
        <v>2859</v>
      </c>
      <c r="N33" s="2" t="s">
        <v>2859</v>
      </c>
      <c r="O33" s="14" t="s">
        <v>2859</v>
      </c>
      <c r="U33" t="s">
        <v>2511</v>
      </c>
      <c r="V33" t="s">
        <v>2859</v>
      </c>
      <c r="W33" t="s">
        <v>1928</v>
      </c>
      <c r="X33" t="s">
        <v>2859</v>
      </c>
    </row>
    <row r="34" spans="1:24" ht="18.399999999999999" customHeight="1" x14ac:dyDescent="0.15">
      <c r="A34" s="13" t="s">
        <v>1807</v>
      </c>
      <c r="B34" s="2" t="s">
        <v>761</v>
      </c>
      <c r="C34" s="2" t="s">
        <v>2824</v>
      </c>
      <c r="D34" s="2" t="s">
        <v>2090</v>
      </c>
      <c r="E34" s="27">
        <v>2700</v>
      </c>
      <c r="F34" s="27">
        <v>2700</v>
      </c>
      <c r="G34" s="2" t="s">
        <v>1484</v>
      </c>
      <c r="H34" s="2"/>
      <c r="I34" s="2" t="s">
        <v>2859</v>
      </c>
      <c r="J34" s="2"/>
      <c r="K34" s="2" t="s">
        <v>2859</v>
      </c>
      <c r="L34" s="2"/>
      <c r="M34" s="2" t="s">
        <v>2859</v>
      </c>
      <c r="N34" s="2" t="s">
        <v>2859</v>
      </c>
      <c r="O34" s="14" t="s">
        <v>2859</v>
      </c>
      <c r="U34" t="s">
        <v>2511</v>
      </c>
      <c r="V34" t="s">
        <v>2859</v>
      </c>
      <c r="W34" t="s">
        <v>1788</v>
      </c>
      <c r="X34" t="s">
        <v>2859</v>
      </c>
    </row>
    <row r="35" spans="1:24" ht="18.399999999999999" customHeight="1" x14ac:dyDescent="0.15">
      <c r="A35" s="13" t="s">
        <v>192</v>
      </c>
      <c r="B35" s="2" t="s">
        <v>753</v>
      </c>
      <c r="C35" s="2" t="s">
        <v>975</v>
      </c>
      <c r="D35" s="2" t="s">
        <v>2096</v>
      </c>
      <c r="E35" s="27">
        <v>350000</v>
      </c>
      <c r="F35" s="27">
        <v>350000</v>
      </c>
      <c r="G35" s="2" t="s">
        <v>178</v>
      </c>
      <c r="H35" s="2"/>
      <c r="I35" s="2" t="s">
        <v>2859</v>
      </c>
      <c r="J35" s="2"/>
      <c r="K35" s="2" t="s">
        <v>2859</v>
      </c>
      <c r="L35" s="2"/>
      <c r="M35" s="2" t="s">
        <v>2859</v>
      </c>
      <c r="N35" s="2" t="s">
        <v>2859</v>
      </c>
      <c r="O35" s="14" t="s">
        <v>2859</v>
      </c>
      <c r="U35" t="s">
        <v>2511</v>
      </c>
      <c r="V35" t="s">
        <v>2502</v>
      </c>
      <c r="W35" t="s">
        <v>192</v>
      </c>
      <c r="X35" t="s">
        <v>2859</v>
      </c>
    </row>
    <row r="36" spans="1:24" ht="18.399999999999999" customHeight="1" x14ac:dyDescent="0.15">
      <c r="A36" s="13" t="s">
        <v>1726</v>
      </c>
      <c r="B36" s="2" t="s">
        <v>1000</v>
      </c>
      <c r="C36" s="2" t="s">
        <v>151</v>
      </c>
      <c r="D36" s="2" t="s">
        <v>2090</v>
      </c>
      <c r="E36" s="27">
        <v>91005</v>
      </c>
      <c r="F36" s="2"/>
      <c r="G36" s="2" t="s">
        <v>2859</v>
      </c>
      <c r="H36" s="2"/>
      <c r="I36" s="2" t="s">
        <v>2859</v>
      </c>
      <c r="J36" s="27">
        <v>91005</v>
      </c>
      <c r="K36" s="2" t="s">
        <v>1333</v>
      </c>
      <c r="L36" s="2"/>
      <c r="M36" s="2" t="s">
        <v>2859</v>
      </c>
      <c r="N36" s="2" t="s">
        <v>2859</v>
      </c>
      <c r="O36" s="14" t="s">
        <v>2859</v>
      </c>
      <c r="U36" t="s">
        <v>2511</v>
      </c>
      <c r="V36" t="s">
        <v>2859</v>
      </c>
      <c r="W36" t="s">
        <v>1726</v>
      </c>
      <c r="X36" t="s">
        <v>2859</v>
      </c>
    </row>
    <row r="37" spans="1:24" ht="18.399999999999999" customHeight="1" x14ac:dyDescent="0.15">
      <c r="A37" s="13" t="s">
        <v>770</v>
      </c>
      <c r="B37" s="2" t="s">
        <v>1000</v>
      </c>
      <c r="C37" s="2" t="s">
        <v>151</v>
      </c>
      <c r="D37" s="2" t="s">
        <v>2636</v>
      </c>
      <c r="E37" s="27">
        <v>36220</v>
      </c>
      <c r="F37" s="2"/>
      <c r="G37" s="2" t="s">
        <v>2859</v>
      </c>
      <c r="H37" s="2"/>
      <c r="I37" s="2" t="s">
        <v>2859</v>
      </c>
      <c r="J37" s="27">
        <v>36220</v>
      </c>
      <c r="K37" s="2" t="s">
        <v>1333</v>
      </c>
      <c r="L37" s="2"/>
      <c r="M37" s="2" t="s">
        <v>2859</v>
      </c>
      <c r="N37" s="2" t="s">
        <v>2859</v>
      </c>
      <c r="O37" s="14" t="s">
        <v>2859</v>
      </c>
      <c r="V37" t="s">
        <v>2859</v>
      </c>
      <c r="W37" t="s">
        <v>1726</v>
      </c>
      <c r="X37" t="s">
        <v>2859</v>
      </c>
    </row>
    <row r="38" spans="1:24" ht="18.399999999999999" customHeight="1" x14ac:dyDescent="0.15">
      <c r="A38" s="13" t="s">
        <v>331</v>
      </c>
      <c r="B38" s="2" t="s">
        <v>1000</v>
      </c>
      <c r="C38" s="2" t="s">
        <v>1088</v>
      </c>
      <c r="D38" s="2" t="s">
        <v>2636</v>
      </c>
      <c r="E38" s="27">
        <v>42420</v>
      </c>
      <c r="F38" s="2"/>
      <c r="G38" s="2" t="s">
        <v>2859</v>
      </c>
      <c r="H38" s="2"/>
      <c r="I38" s="2" t="s">
        <v>2859</v>
      </c>
      <c r="J38" s="27">
        <v>42420</v>
      </c>
      <c r="K38" s="2" t="s">
        <v>1333</v>
      </c>
      <c r="L38" s="2"/>
      <c r="M38" s="2" t="s">
        <v>2859</v>
      </c>
      <c r="N38" s="2" t="s">
        <v>2859</v>
      </c>
      <c r="O38" s="14" t="s">
        <v>2859</v>
      </c>
      <c r="V38" t="s">
        <v>2859</v>
      </c>
      <c r="W38" t="s">
        <v>1726</v>
      </c>
      <c r="X38" t="s">
        <v>2859</v>
      </c>
    </row>
    <row r="39" spans="1:24" ht="18.399999999999999" customHeight="1" x14ac:dyDescent="0.15">
      <c r="A39" s="13" t="s">
        <v>220</v>
      </c>
      <c r="B39" s="2" t="s">
        <v>1000</v>
      </c>
      <c r="C39" s="2" t="s">
        <v>79</v>
      </c>
      <c r="D39" s="2" t="s">
        <v>2636</v>
      </c>
      <c r="E39" s="27">
        <v>69300</v>
      </c>
      <c r="F39" s="2"/>
      <c r="G39" s="2" t="s">
        <v>2859</v>
      </c>
      <c r="H39" s="2"/>
      <c r="I39" s="2" t="s">
        <v>2859</v>
      </c>
      <c r="J39" s="27">
        <v>69300</v>
      </c>
      <c r="K39" s="2" t="s">
        <v>1333</v>
      </c>
      <c r="L39" s="2"/>
      <c r="M39" s="2" t="s">
        <v>2859</v>
      </c>
      <c r="N39" s="2" t="s">
        <v>2859</v>
      </c>
      <c r="O39" s="14" t="s">
        <v>2859</v>
      </c>
      <c r="V39" t="s">
        <v>2859</v>
      </c>
      <c r="W39" t="s">
        <v>1726</v>
      </c>
      <c r="X39" t="s">
        <v>2859</v>
      </c>
    </row>
    <row r="40" spans="1:24" ht="18.399999999999999" customHeight="1" x14ac:dyDescent="0.15">
      <c r="A40" s="13" t="s">
        <v>1097</v>
      </c>
      <c r="B40" s="2" t="s">
        <v>2773</v>
      </c>
      <c r="C40" s="2" t="s">
        <v>40</v>
      </c>
      <c r="D40" s="2" t="s">
        <v>1632</v>
      </c>
      <c r="E40" s="27">
        <v>54770</v>
      </c>
      <c r="F40" s="2"/>
      <c r="G40" s="2" t="s">
        <v>2859</v>
      </c>
      <c r="H40" s="2"/>
      <c r="I40" s="2" t="s">
        <v>2859</v>
      </c>
      <c r="J40" s="27">
        <v>54770</v>
      </c>
      <c r="K40" s="2" t="s">
        <v>1333</v>
      </c>
      <c r="L40" s="2"/>
      <c r="M40" s="2" t="s">
        <v>2859</v>
      </c>
      <c r="N40" s="2" t="s">
        <v>2859</v>
      </c>
      <c r="O40" s="14" t="s">
        <v>2859</v>
      </c>
      <c r="V40" t="s">
        <v>2859</v>
      </c>
      <c r="W40" t="s">
        <v>1097</v>
      </c>
      <c r="X40" t="s">
        <v>2859</v>
      </c>
    </row>
    <row r="41" spans="1:24" ht="18.399999999999999" customHeight="1" x14ac:dyDescent="0.15">
      <c r="A41" s="13" t="s">
        <v>1818</v>
      </c>
      <c r="B41" s="2" t="s">
        <v>2773</v>
      </c>
      <c r="C41" s="2" t="s">
        <v>1933</v>
      </c>
      <c r="D41" s="2" t="s">
        <v>1632</v>
      </c>
      <c r="E41" s="27">
        <v>75210</v>
      </c>
      <c r="F41" s="2"/>
      <c r="G41" s="2" t="s">
        <v>2859</v>
      </c>
      <c r="H41" s="2"/>
      <c r="I41" s="2" t="s">
        <v>2859</v>
      </c>
      <c r="J41" s="27">
        <v>75210</v>
      </c>
      <c r="K41" s="2" t="s">
        <v>1333</v>
      </c>
      <c r="L41" s="2"/>
      <c r="M41" s="2" t="s">
        <v>2859</v>
      </c>
      <c r="N41" s="2" t="s">
        <v>2859</v>
      </c>
      <c r="O41" s="14" t="s">
        <v>2859</v>
      </c>
      <c r="V41" t="s">
        <v>2859</v>
      </c>
      <c r="W41" t="s">
        <v>2703</v>
      </c>
      <c r="X41" t="s">
        <v>2859</v>
      </c>
    </row>
    <row r="42" spans="1:24" ht="18.399999999999999" customHeight="1" x14ac:dyDescent="0.15">
      <c r="A42" s="13" t="s">
        <v>563</v>
      </c>
      <c r="B42" s="2" t="s">
        <v>2773</v>
      </c>
      <c r="C42" s="2" t="s">
        <v>1471</v>
      </c>
      <c r="D42" s="2" t="s">
        <v>1632</v>
      </c>
      <c r="E42" s="27">
        <v>95980</v>
      </c>
      <c r="F42" s="2"/>
      <c r="G42" s="2" t="s">
        <v>2859</v>
      </c>
      <c r="H42" s="2"/>
      <c r="I42" s="2" t="s">
        <v>2859</v>
      </c>
      <c r="J42" s="27">
        <v>95980</v>
      </c>
      <c r="K42" s="2" t="s">
        <v>1333</v>
      </c>
      <c r="L42" s="2"/>
      <c r="M42" s="2" t="s">
        <v>2859</v>
      </c>
      <c r="N42" s="2" t="s">
        <v>2859</v>
      </c>
      <c r="O42" s="14" t="s">
        <v>2859</v>
      </c>
      <c r="V42" t="s">
        <v>2859</v>
      </c>
      <c r="W42" t="s">
        <v>2703</v>
      </c>
      <c r="X42" t="s">
        <v>2859</v>
      </c>
    </row>
    <row r="43" spans="1:24" ht="18.399999999999999" customHeight="1" x14ac:dyDescent="0.15">
      <c r="A43" s="13" t="s">
        <v>598</v>
      </c>
      <c r="B43" s="2" t="s">
        <v>2773</v>
      </c>
      <c r="C43" s="2" t="s">
        <v>2836</v>
      </c>
      <c r="D43" s="2" t="s">
        <v>1632</v>
      </c>
      <c r="E43" s="27">
        <v>315150</v>
      </c>
      <c r="F43" s="2"/>
      <c r="G43" s="2" t="s">
        <v>2859</v>
      </c>
      <c r="H43" s="2"/>
      <c r="I43" s="2" t="s">
        <v>2859</v>
      </c>
      <c r="J43" s="27">
        <v>315150</v>
      </c>
      <c r="K43" s="2" t="s">
        <v>1333</v>
      </c>
      <c r="L43" s="2"/>
      <c r="M43" s="2" t="s">
        <v>2859</v>
      </c>
      <c r="N43" s="2" t="s">
        <v>2859</v>
      </c>
      <c r="O43" s="14" t="s">
        <v>2859</v>
      </c>
      <c r="V43" t="s">
        <v>2859</v>
      </c>
      <c r="W43" t="s">
        <v>2450</v>
      </c>
      <c r="X43" t="s">
        <v>2859</v>
      </c>
    </row>
    <row r="44" spans="1:24" ht="18.399999999999999" customHeight="1" x14ac:dyDescent="0.15">
      <c r="A44" s="13" t="s">
        <v>1483</v>
      </c>
      <c r="B44" s="2" t="s">
        <v>302</v>
      </c>
      <c r="C44" s="2" t="s">
        <v>40</v>
      </c>
      <c r="D44" s="2" t="s">
        <v>2286</v>
      </c>
      <c r="E44" s="27">
        <v>2520</v>
      </c>
      <c r="F44" s="27">
        <v>2520</v>
      </c>
      <c r="G44" s="2" t="s">
        <v>2230</v>
      </c>
      <c r="H44" s="2"/>
      <c r="I44" s="2" t="s">
        <v>2859</v>
      </c>
      <c r="J44" s="2"/>
      <c r="K44" s="2" t="s">
        <v>2859</v>
      </c>
      <c r="L44" s="2"/>
      <c r="M44" s="2" t="s">
        <v>2859</v>
      </c>
      <c r="N44" s="2" t="s">
        <v>2859</v>
      </c>
      <c r="O44" s="14" t="s">
        <v>2859</v>
      </c>
      <c r="V44" t="s">
        <v>885</v>
      </c>
      <c r="W44" t="s">
        <v>1483</v>
      </c>
      <c r="X44" t="s">
        <v>2859</v>
      </c>
    </row>
    <row r="45" spans="1:24" ht="18.399999999999999" customHeight="1" x14ac:dyDescent="0.15">
      <c r="A45" s="13" t="s">
        <v>1163</v>
      </c>
      <c r="B45" s="2" t="s">
        <v>302</v>
      </c>
      <c r="C45" s="2" t="s">
        <v>1933</v>
      </c>
      <c r="D45" s="2" t="s">
        <v>2286</v>
      </c>
      <c r="E45" s="27">
        <v>3150</v>
      </c>
      <c r="F45" s="27">
        <v>3150</v>
      </c>
      <c r="G45" s="2" t="s">
        <v>2230</v>
      </c>
      <c r="H45" s="2"/>
      <c r="I45" s="2" t="s">
        <v>2859</v>
      </c>
      <c r="J45" s="2"/>
      <c r="K45" s="2" t="s">
        <v>2859</v>
      </c>
      <c r="L45" s="2"/>
      <c r="M45" s="2" t="s">
        <v>2859</v>
      </c>
      <c r="N45" s="2" t="s">
        <v>2859</v>
      </c>
      <c r="O45" s="14" t="s">
        <v>2859</v>
      </c>
      <c r="V45" t="s">
        <v>885</v>
      </c>
      <c r="W45" t="s">
        <v>1483</v>
      </c>
      <c r="X45" t="s">
        <v>2859</v>
      </c>
    </row>
    <row r="46" spans="1:24" ht="18.399999999999999" customHeight="1" x14ac:dyDescent="0.15">
      <c r="A46" s="13" t="s">
        <v>1438</v>
      </c>
      <c r="B46" s="2" t="s">
        <v>302</v>
      </c>
      <c r="C46" s="2" t="s">
        <v>1471</v>
      </c>
      <c r="D46" s="2" t="s">
        <v>2286</v>
      </c>
      <c r="E46" s="27">
        <v>3680</v>
      </c>
      <c r="F46" s="27">
        <v>3680</v>
      </c>
      <c r="G46" s="2" t="s">
        <v>2230</v>
      </c>
      <c r="H46" s="2"/>
      <c r="I46" s="2" t="s">
        <v>2859</v>
      </c>
      <c r="J46" s="2"/>
      <c r="K46" s="2" t="s">
        <v>2859</v>
      </c>
      <c r="L46" s="2"/>
      <c r="M46" s="2" t="s">
        <v>2859</v>
      </c>
      <c r="N46" s="2" t="s">
        <v>2859</v>
      </c>
      <c r="O46" s="14" t="s">
        <v>2859</v>
      </c>
      <c r="V46" t="s">
        <v>1529</v>
      </c>
      <c r="W46" t="s">
        <v>2472</v>
      </c>
      <c r="X46" t="s">
        <v>2859</v>
      </c>
    </row>
    <row r="47" spans="1:24" ht="18.399999999999999" customHeight="1" x14ac:dyDescent="0.15">
      <c r="A47" s="13" t="s">
        <v>1840</v>
      </c>
      <c r="B47" s="2" t="s">
        <v>302</v>
      </c>
      <c r="C47" s="2" t="s">
        <v>2838</v>
      </c>
      <c r="D47" s="2" t="s">
        <v>2286</v>
      </c>
      <c r="E47" s="27">
        <v>7980</v>
      </c>
      <c r="F47" s="27">
        <v>7980</v>
      </c>
      <c r="G47" s="2" t="s">
        <v>2230</v>
      </c>
      <c r="H47" s="2"/>
      <c r="I47" s="2" t="s">
        <v>2859</v>
      </c>
      <c r="J47" s="2"/>
      <c r="K47" s="2" t="s">
        <v>2859</v>
      </c>
      <c r="L47" s="2"/>
      <c r="M47" s="2" t="s">
        <v>2859</v>
      </c>
      <c r="N47" s="2" t="s">
        <v>2859</v>
      </c>
      <c r="O47" s="14" t="s">
        <v>2859</v>
      </c>
      <c r="V47" t="s">
        <v>2074</v>
      </c>
      <c r="W47" t="s">
        <v>453</v>
      </c>
      <c r="X47" t="s">
        <v>2859</v>
      </c>
    </row>
    <row r="48" spans="1:24" ht="18.399999999999999" customHeight="1" x14ac:dyDescent="0.15">
      <c r="A48" s="13" t="s">
        <v>2729</v>
      </c>
      <c r="B48" s="2" t="s">
        <v>793</v>
      </c>
      <c r="C48" s="2" t="s">
        <v>1338</v>
      </c>
      <c r="D48" s="2" t="s">
        <v>2090</v>
      </c>
      <c r="E48" s="27">
        <v>2101</v>
      </c>
      <c r="F48" s="27">
        <v>2280</v>
      </c>
      <c r="G48" s="2" t="s">
        <v>2075</v>
      </c>
      <c r="H48" s="2"/>
      <c r="I48" s="2" t="s">
        <v>2859</v>
      </c>
      <c r="J48" s="27">
        <v>2101</v>
      </c>
      <c r="K48" s="2" t="s">
        <v>2565</v>
      </c>
      <c r="L48" s="2"/>
      <c r="M48" s="2" t="s">
        <v>2859</v>
      </c>
      <c r="N48" s="2" t="s">
        <v>2859</v>
      </c>
      <c r="O48" s="14" t="s">
        <v>2859</v>
      </c>
      <c r="V48" t="s">
        <v>2859</v>
      </c>
      <c r="W48" t="s">
        <v>1493</v>
      </c>
      <c r="X48" t="s">
        <v>2859</v>
      </c>
    </row>
    <row r="49" spans="1:24" ht="18.399999999999999" customHeight="1" x14ac:dyDescent="0.15">
      <c r="A49" s="13" t="s">
        <v>1711</v>
      </c>
      <c r="B49" s="2" t="s">
        <v>2558</v>
      </c>
      <c r="C49" s="2" t="s">
        <v>2492</v>
      </c>
      <c r="D49" s="2" t="s">
        <v>1086</v>
      </c>
      <c r="E49" s="27">
        <v>6000</v>
      </c>
      <c r="F49" s="27">
        <v>6000</v>
      </c>
      <c r="G49" s="2" t="s">
        <v>2752</v>
      </c>
      <c r="H49" s="2"/>
      <c r="I49" s="2" t="s">
        <v>2859</v>
      </c>
      <c r="J49" s="2"/>
      <c r="K49" s="2" t="s">
        <v>2859</v>
      </c>
      <c r="L49" s="2"/>
      <c r="M49" s="2" t="s">
        <v>2859</v>
      </c>
      <c r="N49" s="2" t="s">
        <v>2859</v>
      </c>
      <c r="O49" s="14" t="s">
        <v>2859</v>
      </c>
      <c r="V49" t="s">
        <v>2859</v>
      </c>
      <c r="W49" t="s">
        <v>1711</v>
      </c>
      <c r="X49" t="s">
        <v>2859</v>
      </c>
    </row>
    <row r="50" spans="1:24" ht="18.399999999999999" customHeight="1" x14ac:dyDescent="0.15">
      <c r="A50" s="13" t="s">
        <v>2051</v>
      </c>
      <c r="B50" s="2" t="s">
        <v>93</v>
      </c>
      <c r="C50" s="2" t="s">
        <v>2859</v>
      </c>
      <c r="D50" s="2" t="s">
        <v>316</v>
      </c>
      <c r="E50" s="27">
        <v>4167</v>
      </c>
      <c r="F50" s="2"/>
      <c r="G50" s="2" t="s">
        <v>2859</v>
      </c>
      <c r="H50" s="27">
        <v>4167</v>
      </c>
      <c r="I50" s="2" t="s">
        <v>700</v>
      </c>
      <c r="J50" s="2"/>
      <c r="K50" s="2" t="s">
        <v>2859</v>
      </c>
      <c r="L50" s="2"/>
      <c r="M50" s="2" t="s">
        <v>2859</v>
      </c>
      <c r="N50" s="2" t="s">
        <v>2859</v>
      </c>
      <c r="O50" s="14" t="s">
        <v>2859</v>
      </c>
      <c r="V50" t="s">
        <v>1365</v>
      </c>
      <c r="W50" t="s">
        <v>2058</v>
      </c>
      <c r="X50" t="s">
        <v>2859</v>
      </c>
    </row>
    <row r="51" spans="1:24" ht="18.399999999999999" customHeight="1" x14ac:dyDescent="0.15">
      <c r="A51" s="13" t="s">
        <v>556</v>
      </c>
      <c r="B51" s="2" t="s">
        <v>1370</v>
      </c>
      <c r="C51" s="2" t="s">
        <v>1380</v>
      </c>
      <c r="D51" s="2" t="s">
        <v>1937</v>
      </c>
      <c r="E51" s="27">
        <v>4146858</v>
      </c>
      <c r="F51" s="27">
        <v>4300000</v>
      </c>
      <c r="G51" s="2" t="s">
        <v>1668</v>
      </c>
      <c r="H51" s="2"/>
      <c r="I51" s="2" t="s">
        <v>2859</v>
      </c>
      <c r="J51" s="2"/>
      <c r="K51" s="2" t="s">
        <v>2859</v>
      </c>
      <c r="L51" s="27">
        <v>4146858</v>
      </c>
      <c r="M51" s="2" t="s">
        <v>2859</v>
      </c>
      <c r="N51" s="2" t="s">
        <v>2859</v>
      </c>
      <c r="O51" s="14" t="s">
        <v>2859</v>
      </c>
      <c r="V51" t="s">
        <v>1098</v>
      </c>
      <c r="W51" t="s">
        <v>556</v>
      </c>
      <c r="X51" t="s">
        <v>2859</v>
      </c>
    </row>
    <row r="52" spans="1:24" ht="18.399999999999999" customHeight="1" x14ac:dyDescent="0.15">
      <c r="A52" s="13" t="s">
        <v>2269</v>
      </c>
      <c r="B52" s="2" t="s">
        <v>1370</v>
      </c>
      <c r="C52" s="2" t="s">
        <v>642</v>
      </c>
      <c r="D52" s="2" t="s">
        <v>1937</v>
      </c>
      <c r="E52" s="27">
        <v>4740150</v>
      </c>
      <c r="F52" s="27">
        <v>4900000</v>
      </c>
      <c r="G52" s="2" t="s">
        <v>1668</v>
      </c>
      <c r="H52" s="2"/>
      <c r="I52" s="2" t="s">
        <v>2859</v>
      </c>
      <c r="J52" s="2"/>
      <c r="K52" s="2" t="s">
        <v>2859</v>
      </c>
      <c r="L52" s="27">
        <v>4740150</v>
      </c>
      <c r="M52" s="2" t="s">
        <v>2859</v>
      </c>
      <c r="N52" s="2" t="s">
        <v>2859</v>
      </c>
      <c r="O52" s="14" t="s">
        <v>2859</v>
      </c>
      <c r="V52" t="s">
        <v>1572</v>
      </c>
      <c r="W52" t="s">
        <v>2269</v>
      </c>
      <c r="X52" t="s">
        <v>2859</v>
      </c>
    </row>
    <row r="53" spans="1:24" ht="18.399999999999999" customHeight="1" x14ac:dyDescent="0.15">
      <c r="A53" s="13" t="s">
        <v>2327</v>
      </c>
      <c r="B53" s="2" t="s">
        <v>2547</v>
      </c>
      <c r="C53" s="2" t="s">
        <v>808</v>
      </c>
      <c r="D53" s="2" t="s">
        <v>2814</v>
      </c>
      <c r="E53" s="27">
        <v>7098</v>
      </c>
      <c r="F53" s="27">
        <v>7098</v>
      </c>
      <c r="G53" s="2" t="s">
        <v>2540</v>
      </c>
      <c r="H53" s="2"/>
      <c r="I53" s="2" t="s">
        <v>2859</v>
      </c>
      <c r="J53" s="2"/>
      <c r="K53" s="2" t="s">
        <v>2859</v>
      </c>
      <c r="L53" s="2"/>
      <c r="M53" s="2" t="s">
        <v>2859</v>
      </c>
      <c r="N53" s="2" t="s">
        <v>2859</v>
      </c>
      <c r="O53" s="14" t="s">
        <v>2859</v>
      </c>
      <c r="V53" t="s">
        <v>801</v>
      </c>
      <c r="W53" t="s">
        <v>2327</v>
      </c>
      <c r="X53" t="s">
        <v>2859</v>
      </c>
    </row>
    <row r="54" spans="1:24" ht="18.399999999999999" customHeight="1" x14ac:dyDescent="0.15">
      <c r="A54" s="13" t="s">
        <v>685</v>
      </c>
      <c r="B54" s="2" t="s">
        <v>1206</v>
      </c>
      <c r="C54" s="2" t="s">
        <v>159</v>
      </c>
      <c r="D54" s="2" t="s">
        <v>2814</v>
      </c>
      <c r="E54" s="27">
        <v>5778</v>
      </c>
      <c r="F54" s="27">
        <v>5778</v>
      </c>
      <c r="G54" s="2" t="s">
        <v>2268</v>
      </c>
      <c r="H54" s="2"/>
      <c r="I54" s="2" t="s">
        <v>2859</v>
      </c>
      <c r="J54" s="2"/>
      <c r="K54" s="2" t="s">
        <v>2859</v>
      </c>
      <c r="L54" s="2"/>
      <c r="M54" s="2" t="s">
        <v>2859</v>
      </c>
      <c r="N54" s="2" t="s">
        <v>2859</v>
      </c>
      <c r="O54" s="14" t="s">
        <v>2859</v>
      </c>
      <c r="V54" t="s">
        <v>2859</v>
      </c>
      <c r="W54" t="s">
        <v>685</v>
      </c>
      <c r="X54" t="s">
        <v>2859</v>
      </c>
    </row>
    <row r="55" spans="1:24" ht="18.399999999999999" customHeight="1" x14ac:dyDescent="0.15">
      <c r="A55" s="13" t="s">
        <v>2464</v>
      </c>
      <c r="B55" s="2" t="s">
        <v>2597</v>
      </c>
      <c r="C55" s="2" t="s">
        <v>1676</v>
      </c>
      <c r="D55" s="2" t="s">
        <v>1417</v>
      </c>
      <c r="E55" s="27">
        <v>2700</v>
      </c>
      <c r="F55" s="27">
        <v>3111</v>
      </c>
      <c r="G55" s="2" t="s">
        <v>742</v>
      </c>
      <c r="H55" s="2"/>
      <c r="I55" s="2" t="s">
        <v>2859</v>
      </c>
      <c r="J55" s="27">
        <v>2700</v>
      </c>
      <c r="K55" s="2" t="s">
        <v>1282</v>
      </c>
      <c r="L55" s="2"/>
      <c r="M55" s="2" t="s">
        <v>2859</v>
      </c>
      <c r="N55" s="2" t="s">
        <v>2859</v>
      </c>
      <c r="O55" s="14" t="s">
        <v>2859</v>
      </c>
      <c r="V55" t="s">
        <v>588</v>
      </c>
      <c r="W55" t="s">
        <v>2683</v>
      </c>
      <c r="X55" t="s">
        <v>2859</v>
      </c>
    </row>
    <row r="56" spans="1:24" ht="18.399999999999999" customHeight="1" x14ac:dyDescent="0.15">
      <c r="A56" s="13" t="s">
        <v>1562</v>
      </c>
      <c r="B56" s="2" t="s">
        <v>1659</v>
      </c>
      <c r="C56" s="2" t="s">
        <v>2780</v>
      </c>
      <c r="D56" s="2" t="s">
        <v>2814</v>
      </c>
      <c r="E56" s="27">
        <v>4844</v>
      </c>
      <c r="F56" s="2"/>
      <c r="G56" s="2" t="s">
        <v>2859</v>
      </c>
      <c r="H56" s="2"/>
      <c r="I56" s="2" t="s">
        <v>2859</v>
      </c>
      <c r="J56" s="27">
        <v>4844</v>
      </c>
      <c r="K56" s="2" t="s">
        <v>1282</v>
      </c>
      <c r="L56" s="2"/>
      <c r="M56" s="2" t="s">
        <v>2859</v>
      </c>
      <c r="N56" s="2" t="s">
        <v>2859</v>
      </c>
      <c r="O56" s="14" t="s">
        <v>2859</v>
      </c>
      <c r="V56" t="s">
        <v>2859</v>
      </c>
      <c r="W56" t="s">
        <v>1562</v>
      </c>
      <c r="X56" t="s">
        <v>2859</v>
      </c>
    </row>
    <row r="57" spans="1:24" ht="18.399999999999999" customHeight="1" x14ac:dyDescent="0.15">
      <c r="A57" s="13" t="s">
        <v>663</v>
      </c>
      <c r="B57" s="2" t="s">
        <v>1958</v>
      </c>
      <c r="C57" s="2" t="s">
        <v>446</v>
      </c>
      <c r="D57" s="2" t="s">
        <v>2090</v>
      </c>
      <c r="E57" s="27">
        <v>12172</v>
      </c>
      <c r="F57" s="2"/>
      <c r="G57" s="2" t="s">
        <v>2859</v>
      </c>
      <c r="H57" s="2"/>
      <c r="I57" s="2" t="s">
        <v>2859</v>
      </c>
      <c r="J57" s="27">
        <v>12172</v>
      </c>
      <c r="K57" s="2" t="s">
        <v>1282</v>
      </c>
      <c r="L57" s="2"/>
      <c r="M57" s="2" t="s">
        <v>2859</v>
      </c>
      <c r="N57" s="2" t="s">
        <v>2859</v>
      </c>
      <c r="O57" s="14" t="s">
        <v>2859</v>
      </c>
      <c r="V57" t="s">
        <v>2859</v>
      </c>
      <c r="W57" t="s">
        <v>663</v>
      </c>
      <c r="X57" t="s">
        <v>2859</v>
      </c>
    </row>
    <row r="58" spans="1:24" ht="18.399999999999999" customHeight="1" x14ac:dyDescent="0.15">
      <c r="A58" s="13" t="s">
        <v>1368</v>
      </c>
      <c r="B58" s="2" t="s">
        <v>2719</v>
      </c>
      <c r="C58" s="2" t="s">
        <v>1121</v>
      </c>
      <c r="D58" s="2" t="s">
        <v>1086</v>
      </c>
      <c r="E58" s="27">
        <v>1000</v>
      </c>
      <c r="F58" s="27">
        <v>1000</v>
      </c>
      <c r="G58" s="2" t="s">
        <v>1608</v>
      </c>
      <c r="H58" s="2"/>
      <c r="I58" s="2" t="s">
        <v>2859</v>
      </c>
      <c r="J58" s="2"/>
      <c r="K58" s="2" t="s">
        <v>2859</v>
      </c>
      <c r="L58" s="2"/>
      <c r="M58" s="2" t="s">
        <v>2859</v>
      </c>
      <c r="N58" s="2" t="s">
        <v>2859</v>
      </c>
      <c r="O58" s="14" t="s">
        <v>2859</v>
      </c>
      <c r="V58" t="s">
        <v>2859</v>
      </c>
      <c r="W58" t="s">
        <v>1466</v>
      </c>
      <c r="X58" t="s">
        <v>2859</v>
      </c>
    </row>
    <row r="59" spans="1:24" ht="18.399999999999999" customHeight="1" x14ac:dyDescent="0.15">
      <c r="A59" s="13" t="s">
        <v>471</v>
      </c>
      <c r="B59" s="2" t="s">
        <v>2719</v>
      </c>
      <c r="C59" s="2" t="s">
        <v>1874</v>
      </c>
      <c r="D59" s="2" t="s">
        <v>1086</v>
      </c>
      <c r="E59" s="27">
        <v>36940</v>
      </c>
      <c r="F59" s="27">
        <v>36940</v>
      </c>
      <c r="G59" s="2" t="s">
        <v>1819</v>
      </c>
      <c r="H59" s="2"/>
      <c r="I59" s="2" t="s">
        <v>2859</v>
      </c>
      <c r="J59" s="2"/>
      <c r="K59" s="2" t="s">
        <v>2859</v>
      </c>
      <c r="L59" s="2"/>
      <c r="M59" s="2" t="s">
        <v>2859</v>
      </c>
      <c r="N59" s="2" t="s">
        <v>2859</v>
      </c>
      <c r="O59" s="14" t="s">
        <v>2859</v>
      </c>
      <c r="V59" t="s">
        <v>2859</v>
      </c>
      <c r="W59" t="s">
        <v>1466</v>
      </c>
      <c r="X59" t="s">
        <v>2859</v>
      </c>
    </row>
    <row r="60" spans="1:24" ht="18.399999999999999" customHeight="1" x14ac:dyDescent="0.15">
      <c r="A60" s="13" t="s">
        <v>2657</v>
      </c>
      <c r="B60" s="2" t="s">
        <v>2719</v>
      </c>
      <c r="C60" s="2" t="s">
        <v>328</v>
      </c>
      <c r="D60" s="2" t="s">
        <v>1086</v>
      </c>
      <c r="E60" s="27">
        <v>78250</v>
      </c>
      <c r="F60" s="27">
        <v>78250</v>
      </c>
      <c r="G60" s="2" t="s">
        <v>1819</v>
      </c>
      <c r="H60" s="2"/>
      <c r="I60" s="2" t="s">
        <v>2859</v>
      </c>
      <c r="J60" s="2"/>
      <c r="K60" s="2" t="s">
        <v>2859</v>
      </c>
      <c r="L60" s="2"/>
      <c r="M60" s="2" t="s">
        <v>2859</v>
      </c>
      <c r="N60" s="2" t="s">
        <v>2859</v>
      </c>
      <c r="O60" s="14" t="s">
        <v>2859</v>
      </c>
      <c r="V60" t="s">
        <v>2859</v>
      </c>
      <c r="W60" t="s">
        <v>1466</v>
      </c>
      <c r="X60" t="s">
        <v>2859</v>
      </c>
    </row>
    <row r="61" spans="1:24" ht="18.399999999999999" customHeight="1" x14ac:dyDescent="0.15">
      <c r="A61" s="13" t="s">
        <v>1956</v>
      </c>
      <c r="B61" s="2" t="s">
        <v>1708</v>
      </c>
      <c r="C61" s="2" t="s">
        <v>2382</v>
      </c>
      <c r="D61" s="2" t="s">
        <v>2038</v>
      </c>
      <c r="E61" s="27">
        <v>217</v>
      </c>
      <c r="F61" s="27">
        <v>320</v>
      </c>
      <c r="G61" s="2" t="s">
        <v>1025</v>
      </c>
      <c r="H61" s="2"/>
      <c r="I61" s="2" t="s">
        <v>2859</v>
      </c>
      <c r="J61" s="27">
        <v>217</v>
      </c>
      <c r="K61" s="2" t="s">
        <v>1282</v>
      </c>
      <c r="L61" s="2"/>
      <c r="M61" s="2" t="s">
        <v>2859</v>
      </c>
      <c r="N61" s="2" t="s">
        <v>2859</v>
      </c>
      <c r="O61" s="14" t="s">
        <v>2859</v>
      </c>
      <c r="V61" t="s">
        <v>2859</v>
      </c>
      <c r="W61" t="s">
        <v>1956</v>
      </c>
      <c r="X61" t="s">
        <v>2859</v>
      </c>
    </row>
    <row r="62" spans="1:24" ht="18.399999999999999" customHeight="1" x14ac:dyDescent="0.15">
      <c r="A62" s="13" t="s">
        <v>1205</v>
      </c>
      <c r="B62" s="2" t="s">
        <v>1559</v>
      </c>
      <c r="C62" s="2" t="s">
        <v>1207</v>
      </c>
      <c r="D62" s="2" t="s">
        <v>2286</v>
      </c>
      <c r="E62" s="27">
        <v>152000</v>
      </c>
      <c r="F62" s="27">
        <v>152000</v>
      </c>
      <c r="G62" s="2" t="s">
        <v>1238</v>
      </c>
      <c r="H62" s="2"/>
      <c r="I62" s="2" t="s">
        <v>2859</v>
      </c>
      <c r="J62" s="2"/>
      <c r="K62" s="2" t="s">
        <v>2859</v>
      </c>
      <c r="L62" s="2"/>
      <c r="M62" s="2" t="s">
        <v>2859</v>
      </c>
      <c r="N62" s="2" t="s">
        <v>2859</v>
      </c>
      <c r="O62" s="14" t="s">
        <v>2859</v>
      </c>
      <c r="V62" t="s">
        <v>2859</v>
      </c>
      <c r="W62" t="s">
        <v>2859</v>
      </c>
      <c r="X62" t="s">
        <v>2859</v>
      </c>
    </row>
    <row r="63" spans="1:24" ht="18.399999999999999" customHeight="1" x14ac:dyDescent="0.15">
      <c r="A63" s="13" t="s">
        <v>2213</v>
      </c>
      <c r="B63" s="2" t="s">
        <v>1731</v>
      </c>
      <c r="C63" s="2" t="s">
        <v>1135</v>
      </c>
      <c r="D63" s="2" t="s">
        <v>316</v>
      </c>
      <c r="E63" s="27">
        <v>3726</v>
      </c>
      <c r="F63" s="27">
        <v>3726</v>
      </c>
      <c r="G63" s="2" t="s">
        <v>253</v>
      </c>
      <c r="H63" s="2"/>
      <c r="I63" s="2" t="s">
        <v>2859</v>
      </c>
      <c r="J63" s="2"/>
      <c r="K63" s="2" t="s">
        <v>2859</v>
      </c>
      <c r="L63" s="2"/>
      <c r="M63" s="2" t="s">
        <v>2859</v>
      </c>
      <c r="N63" s="2" t="s">
        <v>2859</v>
      </c>
      <c r="O63" s="14" t="s">
        <v>2859</v>
      </c>
      <c r="V63" t="s">
        <v>2104</v>
      </c>
      <c r="W63" t="s">
        <v>2213</v>
      </c>
      <c r="X63" t="s">
        <v>2859</v>
      </c>
    </row>
    <row r="64" spans="1:24" ht="18.399999999999999" customHeight="1" x14ac:dyDescent="0.15">
      <c r="A64" s="13" t="s">
        <v>2651</v>
      </c>
      <c r="B64" s="2" t="s">
        <v>2010</v>
      </c>
      <c r="C64" s="2" t="s">
        <v>1149</v>
      </c>
      <c r="D64" s="2" t="s">
        <v>316</v>
      </c>
      <c r="E64" s="27">
        <v>1982</v>
      </c>
      <c r="F64" s="27">
        <v>2418.8200000000002</v>
      </c>
      <c r="G64" s="2" t="s">
        <v>2231</v>
      </c>
      <c r="H64" s="2"/>
      <c r="I64" s="2" t="s">
        <v>2859</v>
      </c>
      <c r="J64" s="27">
        <v>1982</v>
      </c>
      <c r="K64" s="2" t="s">
        <v>771</v>
      </c>
      <c r="L64" s="2"/>
      <c r="M64" s="2" t="s">
        <v>2859</v>
      </c>
      <c r="N64" s="2" t="s">
        <v>2859</v>
      </c>
      <c r="O64" s="14" t="s">
        <v>2859</v>
      </c>
      <c r="V64" t="s">
        <v>2859</v>
      </c>
      <c r="W64" t="s">
        <v>2651</v>
      </c>
      <c r="X64" t="s">
        <v>2859</v>
      </c>
    </row>
    <row r="65" spans="1:24" ht="18.399999999999999" customHeight="1" x14ac:dyDescent="0.15">
      <c r="A65" s="13" t="s">
        <v>883</v>
      </c>
      <c r="B65" s="2" t="s">
        <v>1929</v>
      </c>
      <c r="C65" s="2" t="s">
        <v>1758</v>
      </c>
      <c r="D65" s="2" t="s">
        <v>1188</v>
      </c>
      <c r="E65" s="27">
        <v>150</v>
      </c>
      <c r="F65" s="27">
        <v>150</v>
      </c>
      <c r="G65" s="2" t="s">
        <v>2455</v>
      </c>
      <c r="H65" s="2"/>
      <c r="I65" s="2" t="s">
        <v>2859</v>
      </c>
      <c r="J65" s="2"/>
      <c r="K65" s="2" t="s">
        <v>2859</v>
      </c>
      <c r="L65" s="2"/>
      <c r="M65" s="2" t="s">
        <v>2859</v>
      </c>
      <c r="N65" s="2" t="s">
        <v>2859</v>
      </c>
      <c r="O65" s="14" t="s">
        <v>2859</v>
      </c>
      <c r="V65" t="s">
        <v>2859</v>
      </c>
      <c r="W65" t="s">
        <v>1618</v>
      </c>
      <c r="X65" t="s">
        <v>2859</v>
      </c>
    </row>
    <row r="66" spans="1:24" ht="18.399999999999999" customHeight="1" x14ac:dyDescent="0.15">
      <c r="A66" s="13" t="s">
        <v>526</v>
      </c>
      <c r="B66" s="2" t="s">
        <v>1463</v>
      </c>
      <c r="C66" s="2" t="s">
        <v>2390</v>
      </c>
      <c r="D66" s="2" t="s">
        <v>1558</v>
      </c>
      <c r="E66" s="27">
        <v>36000</v>
      </c>
      <c r="F66" s="2"/>
      <c r="G66" s="2" t="s">
        <v>2859</v>
      </c>
      <c r="H66" s="2"/>
      <c r="I66" s="2" t="s">
        <v>2859</v>
      </c>
      <c r="J66" s="27">
        <v>36000</v>
      </c>
      <c r="K66" s="2" t="s">
        <v>1333</v>
      </c>
      <c r="L66" s="2"/>
      <c r="M66" s="2" t="s">
        <v>2859</v>
      </c>
      <c r="N66" s="2" t="s">
        <v>392</v>
      </c>
      <c r="O66" s="14" t="s">
        <v>502</v>
      </c>
      <c r="V66" t="s">
        <v>2859</v>
      </c>
      <c r="W66" t="s">
        <v>2859</v>
      </c>
      <c r="X66" t="s">
        <v>2859</v>
      </c>
    </row>
    <row r="67" spans="1:24" ht="18.399999999999999" customHeight="1" x14ac:dyDescent="0.15">
      <c r="A67" s="13" t="s">
        <v>939</v>
      </c>
      <c r="B67" s="2" t="s">
        <v>438</v>
      </c>
      <c r="C67" s="2" t="s">
        <v>470</v>
      </c>
      <c r="D67" s="2" t="s">
        <v>2286</v>
      </c>
      <c r="E67" s="27">
        <v>170000</v>
      </c>
      <c r="F67" s="27">
        <v>170000</v>
      </c>
      <c r="G67" s="2" t="s">
        <v>178</v>
      </c>
      <c r="H67" s="2"/>
      <c r="I67" s="2" t="s">
        <v>2859</v>
      </c>
      <c r="J67" s="2"/>
      <c r="K67" s="2" t="s">
        <v>2859</v>
      </c>
      <c r="L67" s="2"/>
      <c r="M67" s="2" t="s">
        <v>2859</v>
      </c>
      <c r="N67" s="2" t="s">
        <v>2859</v>
      </c>
      <c r="O67" s="14" t="s">
        <v>2859</v>
      </c>
      <c r="V67" t="s">
        <v>2859</v>
      </c>
      <c r="W67" t="s">
        <v>198</v>
      </c>
      <c r="X67" t="s">
        <v>2859</v>
      </c>
    </row>
    <row r="68" spans="1:24" ht="18.399999999999999" customHeight="1" x14ac:dyDescent="0.15">
      <c r="A68" s="13" t="s">
        <v>2034</v>
      </c>
      <c r="B68" s="2" t="s">
        <v>1507</v>
      </c>
      <c r="C68" s="2" t="s">
        <v>582</v>
      </c>
      <c r="D68" s="2" t="s">
        <v>2286</v>
      </c>
      <c r="E68" s="27">
        <v>50000</v>
      </c>
      <c r="F68" s="27">
        <v>50000</v>
      </c>
      <c r="G68" s="2" t="s">
        <v>2630</v>
      </c>
      <c r="H68" s="2"/>
      <c r="I68" s="2" t="s">
        <v>2859</v>
      </c>
      <c r="J68" s="2"/>
      <c r="K68" s="2" t="s">
        <v>2859</v>
      </c>
      <c r="L68" s="2"/>
      <c r="M68" s="2" t="s">
        <v>2859</v>
      </c>
      <c r="N68" s="2" t="s">
        <v>2859</v>
      </c>
      <c r="O68" s="14" t="s">
        <v>2859</v>
      </c>
      <c r="V68" t="s">
        <v>2859</v>
      </c>
      <c r="W68" t="s">
        <v>198</v>
      </c>
      <c r="X68" t="s">
        <v>2859</v>
      </c>
    </row>
    <row r="69" spans="1:24" ht="18.399999999999999" customHeight="1" x14ac:dyDescent="0.15">
      <c r="A69" s="13" t="s">
        <v>2336</v>
      </c>
      <c r="B69" s="2" t="s">
        <v>2803</v>
      </c>
      <c r="C69" s="2" t="s">
        <v>414</v>
      </c>
      <c r="D69" s="2" t="s">
        <v>2038</v>
      </c>
      <c r="E69" s="27">
        <v>31200</v>
      </c>
      <c r="F69" s="2"/>
      <c r="G69" s="2" t="s">
        <v>2859</v>
      </c>
      <c r="H69" s="27">
        <v>31200</v>
      </c>
      <c r="I69" s="2" t="s">
        <v>2607</v>
      </c>
      <c r="J69" s="2"/>
      <c r="K69" s="2" t="s">
        <v>2859</v>
      </c>
      <c r="L69" s="2"/>
      <c r="M69" s="2" t="s">
        <v>2859</v>
      </c>
      <c r="N69" s="2" t="s">
        <v>2859</v>
      </c>
      <c r="O69" s="14" t="s">
        <v>2859</v>
      </c>
      <c r="V69" t="s">
        <v>2859</v>
      </c>
      <c r="W69" t="s">
        <v>2859</v>
      </c>
      <c r="X69" t="s">
        <v>2859</v>
      </c>
    </row>
    <row r="70" spans="1:24" ht="18.399999999999999" customHeight="1" x14ac:dyDescent="0.15">
      <c r="A70" s="13" t="s">
        <v>2841</v>
      </c>
      <c r="B70" s="2" t="s">
        <v>2736</v>
      </c>
      <c r="C70" s="2" t="s">
        <v>2550</v>
      </c>
      <c r="D70" s="2" t="s">
        <v>2286</v>
      </c>
      <c r="E70" s="27">
        <v>1713</v>
      </c>
      <c r="F70" s="2"/>
      <c r="G70" s="2" t="s">
        <v>2859</v>
      </c>
      <c r="H70" s="2"/>
      <c r="I70" s="2" t="s">
        <v>2859</v>
      </c>
      <c r="J70" s="2"/>
      <c r="K70" s="2" t="s">
        <v>2859</v>
      </c>
      <c r="L70" s="27">
        <v>1713</v>
      </c>
      <c r="M70" s="2" t="s">
        <v>2859</v>
      </c>
      <c r="N70" s="2" t="s">
        <v>2859</v>
      </c>
      <c r="O70" s="14" t="s">
        <v>2859</v>
      </c>
      <c r="V70" t="s">
        <v>2859</v>
      </c>
      <c r="W70" t="s">
        <v>2859</v>
      </c>
      <c r="X70" t="s">
        <v>2859</v>
      </c>
    </row>
    <row r="71" spans="1:24" ht="18.399999999999999" customHeight="1" x14ac:dyDescent="0.15">
      <c r="A71" s="13" t="s">
        <v>1072</v>
      </c>
      <c r="B71" s="2" t="s">
        <v>2736</v>
      </c>
      <c r="C71" s="2" t="s">
        <v>805</v>
      </c>
      <c r="D71" s="2" t="s">
        <v>2286</v>
      </c>
      <c r="E71" s="27">
        <v>1713</v>
      </c>
      <c r="F71" s="2"/>
      <c r="G71" s="2" t="s">
        <v>2859</v>
      </c>
      <c r="H71" s="2"/>
      <c r="I71" s="2" t="s">
        <v>2859</v>
      </c>
      <c r="J71" s="2"/>
      <c r="K71" s="2" t="s">
        <v>2859</v>
      </c>
      <c r="L71" s="27">
        <v>1713</v>
      </c>
      <c r="M71" s="2" t="s">
        <v>2859</v>
      </c>
      <c r="N71" s="2" t="s">
        <v>2859</v>
      </c>
      <c r="O71" s="14" t="s">
        <v>2859</v>
      </c>
      <c r="V71" t="s">
        <v>2859</v>
      </c>
      <c r="W71" t="s">
        <v>2859</v>
      </c>
      <c r="X71" t="s">
        <v>2859</v>
      </c>
    </row>
    <row r="72" spans="1:24" ht="18.399999999999999" customHeight="1" x14ac:dyDescent="0.15">
      <c r="A72" s="13" t="s">
        <v>1281</v>
      </c>
      <c r="B72" s="2" t="s">
        <v>102</v>
      </c>
      <c r="C72" s="2" t="s">
        <v>977</v>
      </c>
      <c r="D72" s="2" t="s">
        <v>2286</v>
      </c>
      <c r="E72" s="27">
        <v>214</v>
      </c>
      <c r="F72" s="2"/>
      <c r="G72" s="2" t="s">
        <v>2859</v>
      </c>
      <c r="H72" s="27">
        <v>221</v>
      </c>
      <c r="I72" s="2" t="s">
        <v>2765</v>
      </c>
      <c r="J72" s="27">
        <v>214</v>
      </c>
      <c r="K72" s="2" t="s">
        <v>2859</v>
      </c>
      <c r="L72" s="2"/>
      <c r="M72" s="2" t="s">
        <v>2859</v>
      </c>
      <c r="N72" s="2" t="s">
        <v>2859</v>
      </c>
      <c r="O72" s="14" t="s">
        <v>2859</v>
      </c>
      <c r="V72" t="s">
        <v>2859</v>
      </c>
      <c r="W72" t="s">
        <v>2859</v>
      </c>
      <c r="X72" t="s">
        <v>2859</v>
      </c>
    </row>
    <row r="73" spans="1:24" ht="18.399999999999999" customHeight="1" x14ac:dyDescent="0.15">
      <c r="A73" s="13" t="s">
        <v>2596</v>
      </c>
      <c r="B73" s="2" t="s">
        <v>2355</v>
      </c>
      <c r="C73" s="2" t="s">
        <v>2859</v>
      </c>
      <c r="D73" s="2" t="s">
        <v>1558</v>
      </c>
      <c r="E73" s="27">
        <v>2000</v>
      </c>
      <c r="F73" s="2"/>
      <c r="G73" s="2" t="s">
        <v>2859</v>
      </c>
      <c r="H73" s="27">
        <v>2000</v>
      </c>
      <c r="I73" s="2" t="s">
        <v>1994</v>
      </c>
      <c r="J73" s="2"/>
      <c r="K73" s="2" t="s">
        <v>2859</v>
      </c>
      <c r="L73" s="2"/>
      <c r="M73" s="2" t="s">
        <v>2859</v>
      </c>
      <c r="N73" s="2" t="s">
        <v>2859</v>
      </c>
      <c r="O73" s="14" t="s">
        <v>2859</v>
      </c>
      <c r="V73" t="s">
        <v>2859</v>
      </c>
      <c r="W73" t="s">
        <v>2859</v>
      </c>
      <c r="X73" t="s">
        <v>2859</v>
      </c>
    </row>
    <row r="74" spans="1:24" ht="18.399999999999999" customHeight="1" x14ac:dyDescent="0.15">
      <c r="A74" s="13" t="s">
        <v>99</v>
      </c>
      <c r="B74" s="2" t="s">
        <v>1254</v>
      </c>
      <c r="C74" s="2" t="s">
        <v>999</v>
      </c>
      <c r="D74" s="2" t="s">
        <v>2286</v>
      </c>
      <c r="E74" s="27">
        <v>4200000</v>
      </c>
      <c r="F74" s="2"/>
      <c r="G74" s="2" t="s">
        <v>2859</v>
      </c>
      <c r="H74" s="27">
        <v>4200000</v>
      </c>
      <c r="I74" s="2" t="s">
        <v>640</v>
      </c>
      <c r="J74" s="2"/>
      <c r="K74" s="2" t="s">
        <v>2859</v>
      </c>
      <c r="L74" s="2"/>
      <c r="M74" s="2" t="s">
        <v>2859</v>
      </c>
      <c r="N74" s="2" t="s">
        <v>2859</v>
      </c>
      <c r="O74" s="14" t="s">
        <v>2859</v>
      </c>
      <c r="V74" t="s">
        <v>2859</v>
      </c>
      <c r="W74" t="s">
        <v>198</v>
      </c>
      <c r="X74" t="s">
        <v>2859</v>
      </c>
    </row>
    <row r="75" spans="1:24" ht="18.399999999999999" customHeight="1" thickBot="1" x14ac:dyDescent="0.2">
      <c r="A75" s="15" t="s">
        <v>2513</v>
      </c>
      <c r="B75" s="16" t="s">
        <v>2538</v>
      </c>
      <c r="C75" s="16" t="s">
        <v>2859</v>
      </c>
      <c r="D75" s="16" t="s">
        <v>577</v>
      </c>
      <c r="E75" s="28">
        <v>6</v>
      </c>
      <c r="F75" s="16"/>
      <c r="G75" s="16" t="s">
        <v>2859</v>
      </c>
      <c r="H75" s="16"/>
      <c r="I75" s="16" t="s">
        <v>2859</v>
      </c>
      <c r="J75" s="16"/>
      <c r="K75" s="16" t="s">
        <v>2859</v>
      </c>
      <c r="L75" s="16"/>
      <c r="M75" s="16" t="s">
        <v>2859</v>
      </c>
      <c r="N75" s="16" t="s">
        <v>2859</v>
      </c>
      <c r="O75" s="17" t="s">
        <v>2859</v>
      </c>
      <c r="V75" t="s">
        <v>2859</v>
      </c>
      <c r="W75" t="s">
        <v>2859</v>
      </c>
      <c r="X75" t="s">
        <v>2859</v>
      </c>
    </row>
  </sheetData>
  <mergeCells count="11">
    <mergeCell ref="F2:G2"/>
    <mergeCell ref="A2:A3"/>
    <mergeCell ref="B2:B3"/>
    <mergeCell ref="C2:C3"/>
    <mergeCell ref="D2:D3"/>
    <mergeCell ref="E2:E3"/>
    <mergeCell ref="H2:I2"/>
    <mergeCell ref="J2:K2"/>
    <mergeCell ref="L2:M2"/>
    <mergeCell ref="N2:N3"/>
    <mergeCell ref="O2:O3"/>
  </mergeCells>
  <phoneticPr fontId="5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7"/>
  <sheetViews>
    <sheetView topLeftCell="A13" workbookViewId="0">
      <selection activeCell="F8" sqref="F8"/>
    </sheetView>
  </sheetViews>
  <sheetFormatPr defaultRowHeight="18.399999999999999" customHeight="1" x14ac:dyDescent="0.15"/>
  <cols>
    <col min="1" max="1" width="25" customWidth="1"/>
    <col min="2" max="2" width="10" customWidth="1"/>
    <col min="3" max="3" width="25" customWidth="1"/>
    <col min="4" max="4" width="30" customWidth="1"/>
    <col min="5" max="5" width="70" customWidth="1"/>
  </cols>
  <sheetData>
    <row r="1" spans="1:5" ht="18.399999999999999" customHeight="1" thickBot="1" x14ac:dyDescent="0.2">
      <c r="A1" t="s">
        <v>2134</v>
      </c>
    </row>
    <row r="2" spans="1:5" ht="18.399999999999999" customHeight="1" thickBot="1" x14ac:dyDescent="0.2">
      <c r="A2" s="18" t="s">
        <v>255</v>
      </c>
      <c r="B2" s="19" t="s">
        <v>2167</v>
      </c>
      <c r="C2" s="19" t="s">
        <v>483</v>
      </c>
      <c r="D2" s="24" t="s">
        <v>630</v>
      </c>
      <c r="E2" s="20" t="s">
        <v>70</v>
      </c>
    </row>
    <row r="3" spans="1:5" ht="18.399999999999999" customHeight="1" x14ac:dyDescent="0.15">
      <c r="A3" s="13" t="s">
        <v>2056</v>
      </c>
      <c r="B3" s="2" t="s">
        <v>2817</v>
      </c>
      <c r="C3" s="2">
        <v>1208</v>
      </c>
      <c r="D3" s="25" t="s">
        <v>1039</v>
      </c>
      <c r="E3" s="14" t="s">
        <v>2466</v>
      </c>
    </row>
    <row r="4" spans="1:5" ht="18.399999999999999" customHeight="1" x14ac:dyDescent="0.15">
      <c r="A4" s="13" t="s">
        <v>1270</v>
      </c>
      <c r="B4" s="2" t="s">
        <v>2817</v>
      </c>
      <c r="C4" s="2">
        <v>50</v>
      </c>
      <c r="D4" s="25" t="s">
        <v>2106</v>
      </c>
      <c r="E4" s="14" t="s">
        <v>1318</v>
      </c>
    </row>
    <row r="5" spans="1:5" ht="18.399999999999999" customHeight="1" x14ac:dyDescent="0.15">
      <c r="A5" s="13" t="s">
        <v>1353</v>
      </c>
      <c r="B5" s="2" t="s">
        <v>2817</v>
      </c>
      <c r="C5" s="2">
        <v>20</v>
      </c>
      <c r="D5" s="25" t="s">
        <v>181</v>
      </c>
      <c r="E5" s="14" t="s">
        <v>1318</v>
      </c>
    </row>
    <row r="6" spans="1:5" ht="18.399999999999999" customHeight="1" x14ac:dyDescent="0.15">
      <c r="A6" s="13" t="s">
        <v>2009</v>
      </c>
      <c r="B6" s="2" t="s">
        <v>2817</v>
      </c>
      <c r="C6" s="2">
        <v>0</v>
      </c>
      <c r="D6" s="25" t="s">
        <v>1522</v>
      </c>
      <c r="E6" s="14" t="s">
        <v>1318</v>
      </c>
    </row>
    <row r="7" spans="1:5" ht="18.399999999999999" customHeight="1" x14ac:dyDescent="0.15">
      <c r="A7" s="13" t="s">
        <v>290</v>
      </c>
      <c r="B7" s="2" t="s">
        <v>2817</v>
      </c>
      <c r="C7" s="2">
        <v>30</v>
      </c>
      <c r="D7" s="25" t="s">
        <v>1406</v>
      </c>
      <c r="E7" s="14" t="s">
        <v>1318</v>
      </c>
    </row>
    <row r="8" spans="1:5" ht="18.399999999999999" customHeight="1" x14ac:dyDescent="0.15">
      <c r="A8" s="13" t="s">
        <v>847</v>
      </c>
      <c r="B8" s="2" t="s">
        <v>2817</v>
      </c>
      <c r="C8" s="2">
        <v>30</v>
      </c>
      <c r="D8" s="25" t="s">
        <v>296</v>
      </c>
      <c r="E8" s="14" t="s">
        <v>2466</v>
      </c>
    </row>
    <row r="9" spans="1:5" ht="18.399999999999999" customHeight="1" x14ac:dyDescent="0.15">
      <c r="A9" s="13" t="s">
        <v>1364</v>
      </c>
      <c r="B9" s="2" t="s">
        <v>2817</v>
      </c>
      <c r="C9" s="2">
        <v>59</v>
      </c>
      <c r="D9" s="25" t="s">
        <v>650</v>
      </c>
      <c r="E9" s="14" t="s">
        <v>1318</v>
      </c>
    </row>
    <row r="10" spans="1:5" ht="18.399999999999999" customHeight="1" x14ac:dyDescent="0.15">
      <c r="A10" s="13" t="s">
        <v>747</v>
      </c>
      <c r="B10" s="2" t="s">
        <v>2817</v>
      </c>
      <c r="C10" s="2">
        <v>100</v>
      </c>
      <c r="D10" s="25" t="s">
        <v>1842</v>
      </c>
      <c r="E10" s="14" t="s">
        <v>1318</v>
      </c>
    </row>
    <row r="11" spans="1:5" ht="18.399999999999999" customHeight="1" x14ac:dyDescent="0.15">
      <c r="A11" s="13" t="s">
        <v>2694</v>
      </c>
      <c r="B11" s="2" t="s">
        <v>2817</v>
      </c>
      <c r="C11" s="2">
        <v>100</v>
      </c>
      <c r="D11" s="25" t="s">
        <v>720</v>
      </c>
      <c r="E11" s="14" t="s">
        <v>1318</v>
      </c>
    </row>
    <row r="12" spans="1:5" ht="18.399999999999999" customHeight="1" x14ac:dyDescent="0.15">
      <c r="A12" s="13" t="s">
        <v>1993</v>
      </c>
      <c r="B12" s="2" t="s">
        <v>2817</v>
      </c>
      <c r="C12" s="2">
        <v>70</v>
      </c>
      <c r="D12" s="25" t="s">
        <v>1039</v>
      </c>
      <c r="E12" s="14" t="s">
        <v>2466</v>
      </c>
    </row>
    <row r="13" spans="1:5" ht="18.399999999999999" customHeight="1" x14ac:dyDescent="0.15">
      <c r="A13" s="13" t="s">
        <v>152</v>
      </c>
      <c r="B13" s="2" t="s">
        <v>2817</v>
      </c>
      <c r="C13" s="2">
        <v>4.99</v>
      </c>
      <c r="D13" s="25" t="s">
        <v>2727</v>
      </c>
      <c r="E13" s="14" t="s">
        <v>1318</v>
      </c>
    </row>
    <row r="14" spans="1:5" ht="18.399999999999999" customHeight="1" x14ac:dyDescent="0.15">
      <c r="A14" s="13" t="s">
        <v>2098</v>
      </c>
      <c r="B14" s="2" t="s">
        <v>2817</v>
      </c>
      <c r="C14" s="2">
        <v>4</v>
      </c>
      <c r="D14" s="25" t="s">
        <v>1039</v>
      </c>
      <c r="E14" s="14" t="s">
        <v>2466</v>
      </c>
    </row>
    <row r="15" spans="1:5" ht="18.399999999999999" customHeight="1" x14ac:dyDescent="0.15">
      <c r="A15" s="13" t="s">
        <v>1827</v>
      </c>
      <c r="B15" s="2" t="s">
        <v>2817</v>
      </c>
      <c r="C15" s="2">
        <v>0</v>
      </c>
      <c r="D15" s="25" t="s">
        <v>862</v>
      </c>
      <c r="E15" s="14" t="s">
        <v>1318</v>
      </c>
    </row>
    <row r="16" spans="1:5" ht="18.399999999999999" customHeight="1" x14ac:dyDescent="0.15">
      <c r="A16" s="13" t="s">
        <v>1060</v>
      </c>
      <c r="B16" s="2" t="s">
        <v>2817</v>
      </c>
      <c r="C16" s="2">
        <v>0</v>
      </c>
      <c r="D16" s="25" t="s">
        <v>200</v>
      </c>
      <c r="E16" s="14" t="s">
        <v>1318</v>
      </c>
    </row>
    <row r="17" spans="1:5" ht="18.399999999999999" customHeight="1" x14ac:dyDescent="0.15">
      <c r="A17" s="13" t="s">
        <v>105</v>
      </c>
      <c r="B17" s="2" t="s">
        <v>2817</v>
      </c>
      <c r="C17" s="2">
        <v>0</v>
      </c>
      <c r="D17" s="25" t="s">
        <v>542</v>
      </c>
      <c r="E17" s="14" t="s">
        <v>1318</v>
      </c>
    </row>
    <row r="18" spans="1:5" ht="18.399999999999999" customHeight="1" x14ac:dyDescent="0.15">
      <c r="A18" s="13" t="s">
        <v>2678</v>
      </c>
      <c r="B18" s="2" t="s">
        <v>2817</v>
      </c>
      <c r="C18" s="2">
        <v>0</v>
      </c>
      <c r="D18" s="25" t="s">
        <v>2206</v>
      </c>
      <c r="E18" s="14" t="s">
        <v>1318</v>
      </c>
    </row>
    <row r="19" spans="1:5" ht="18.399999999999999" customHeight="1" x14ac:dyDescent="0.15">
      <c r="A19" s="13" t="s">
        <v>2088</v>
      </c>
      <c r="B19" s="2" t="s">
        <v>2817</v>
      </c>
      <c r="C19" s="2">
        <v>50</v>
      </c>
      <c r="D19" s="25" t="s">
        <v>1907</v>
      </c>
      <c r="E19" s="14" t="s">
        <v>1318</v>
      </c>
    </row>
    <row r="20" spans="1:5" ht="18.399999999999999" customHeight="1" x14ac:dyDescent="0.15">
      <c r="A20" s="13" t="s">
        <v>1605</v>
      </c>
      <c r="B20" s="2" t="s">
        <v>2817</v>
      </c>
      <c r="C20" s="2">
        <v>0</v>
      </c>
      <c r="D20" s="25" t="s">
        <v>1457</v>
      </c>
      <c r="E20" s="14" t="s">
        <v>1318</v>
      </c>
    </row>
    <row r="21" spans="1:5" ht="18.399999999999999" customHeight="1" x14ac:dyDescent="0.15">
      <c r="A21" s="13" t="s">
        <v>1320</v>
      </c>
      <c r="B21" s="2" t="s">
        <v>2817</v>
      </c>
      <c r="C21" s="2">
        <v>74</v>
      </c>
      <c r="D21" s="25" t="s">
        <v>1123</v>
      </c>
      <c r="E21" s="14" t="s">
        <v>1318</v>
      </c>
    </row>
    <row r="22" spans="1:5" ht="18.399999999999999" customHeight="1" x14ac:dyDescent="0.15">
      <c r="A22" s="13" t="s">
        <v>185</v>
      </c>
      <c r="B22" s="2" t="s">
        <v>2817</v>
      </c>
      <c r="C22" s="2">
        <v>56</v>
      </c>
      <c r="D22" s="25" t="s">
        <v>693</v>
      </c>
      <c r="E22" s="14" t="s">
        <v>1318</v>
      </c>
    </row>
    <row r="23" spans="1:5" ht="18.399999999999999" customHeight="1" x14ac:dyDescent="0.15">
      <c r="A23" s="13" t="s">
        <v>0</v>
      </c>
      <c r="B23" s="2" t="s">
        <v>2817</v>
      </c>
      <c r="C23" s="2">
        <v>9</v>
      </c>
      <c r="D23" s="25" t="s">
        <v>679</v>
      </c>
      <c r="E23" s="14" t="s">
        <v>1318</v>
      </c>
    </row>
    <row r="24" spans="1:5" ht="18.399999999999999" customHeight="1" x14ac:dyDescent="0.15">
      <c r="A24" s="13" t="s">
        <v>2428</v>
      </c>
      <c r="B24" s="2" t="s">
        <v>2817</v>
      </c>
      <c r="C24" s="2">
        <v>80.2</v>
      </c>
      <c r="D24" s="25" t="s">
        <v>91</v>
      </c>
      <c r="E24" s="14" t="s">
        <v>1318</v>
      </c>
    </row>
    <row r="25" spans="1:5" ht="18.399999999999999" customHeight="1" x14ac:dyDescent="0.15">
      <c r="A25" s="13" t="s">
        <v>1002</v>
      </c>
      <c r="B25" s="2" t="s">
        <v>2817</v>
      </c>
      <c r="C25" s="2">
        <v>59</v>
      </c>
      <c r="D25" s="25" t="s">
        <v>1341</v>
      </c>
      <c r="E25" s="14" t="s">
        <v>1318</v>
      </c>
    </row>
    <row r="26" spans="1:5" ht="18.399999999999999" customHeight="1" x14ac:dyDescent="0.15">
      <c r="A26" s="13" t="s">
        <v>477</v>
      </c>
      <c r="B26" s="2" t="s">
        <v>2817</v>
      </c>
      <c r="C26" s="2">
        <v>100</v>
      </c>
      <c r="D26" s="25" t="s">
        <v>1265</v>
      </c>
      <c r="E26" s="14" t="s">
        <v>1318</v>
      </c>
    </row>
    <row r="27" spans="1:5" ht="18.399999999999999" customHeight="1" x14ac:dyDescent="0.15">
      <c r="A27" s="13" t="s">
        <v>2315</v>
      </c>
      <c r="B27" s="2" t="s">
        <v>2817</v>
      </c>
      <c r="C27" s="2">
        <v>0.2</v>
      </c>
      <c r="D27" s="25" t="s">
        <v>1283</v>
      </c>
      <c r="E27" s="14" t="s">
        <v>2466</v>
      </c>
    </row>
    <row r="28" spans="1:5" ht="18.399999999999999" customHeight="1" x14ac:dyDescent="0.15">
      <c r="A28" s="13" t="s">
        <v>2406</v>
      </c>
      <c r="B28" s="2" t="s">
        <v>2817</v>
      </c>
      <c r="C28" s="2">
        <v>0.15</v>
      </c>
      <c r="D28" s="25" t="s">
        <v>1070</v>
      </c>
      <c r="E28" s="14" t="s">
        <v>2466</v>
      </c>
    </row>
    <row r="29" spans="1:5" ht="18.399999999999999" customHeight="1" x14ac:dyDescent="0.15">
      <c r="A29" s="13" t="s">
        <v>81</v>
      </c>
      <c r="B29" s="2" t="s">
        <v>2817</v>
      </c>
      <c r="C29" s="2">
        <v>1.5</v>
      </c>
      <c r="D29" s="25" t="s">
        <v>1039</v>
      </c>
      <c r="E29" s="14" t="s">
        <v>2466</v>
      </c>
    </row>
    <row r="30" spans="1:5" ht="18.399999999999999" customHeight="1" x14ac:dyDescent="0.15">
      <c r="A30" s="13" t="s">
        <v>2680</v>
      </c>
      <c r="B30" s="2" t="s">
        <v>2817</v>
      </c>
      <c r="C30" s="2">
        <v>1.4</v>
      </c>
      <c r="D30" s="25" t="s">
        <v>2853</v>
      </c>
      <c r="E30" s="14" t="s">
        <v>1318</v>
      </c>
    </row>
    <row r="31" spans="1:5" ht="18.399999999999999" customHeight="1" x14ac:dyDescent="0.15">
      <c r="A31" s="13" t="s">
        <v>2419</v>
      </c>
      <c r="B31" s="2" t="s">
        <v>2817</v>
      </c>
      <c r="C31" s="2">
        <v>0</v>
      </c>
      <c r="D31" s="25" t="s">
        <v>901</v>
      </c>
      <c r="E31" s="14" t="s">
        <v>1318</v>
      </c>
    </row>
    <row r="32" spans="1:5" ht="18.399999999999999" customHeight="1" x14ac:dyDescent="0.15">
      <c r="A32" s="13" t="s">
        <v>2350</v>
      </c>
      <c r="B32" s="2" t="s">
        <v>2817</v>
      </c>
      <c r="C32" s="2">
        <v>0</v>
      </c>
      <c r="D32" s="25" t="s">
        <v>143</v>
      </c>
      <c r="E32" s="14" t="s">
        <v>1318</v>
      </c>
    </row>
    <row r="33" spans="1:5" ht="18.399999999999999" customHeight="1" x14ac:dyDescent="0.15">
      <c r="A33" s="13" t="s">
        <v>1967</v>
      </c>
      <c r="B33" s="2" t="s">
        <v>2817</v>
      </c>
      <c r="C33" s="2">
        <v>10.4</v>
      </c>
      <c r="D33" s="25" t="s">
        <v>2468</v>
      </c>
      <c r="E33" s="14" t="s">
        <v>1318</v>
      </c>
    </row>
    <row r="34" spans="1:5" ht="18.399999999999999" customHeight="1" x14ac:dyDescent="0.15">
      <c r="A34" s="13" t="s">
        <v>928</v>
      </c>
      <c r="B34" s="2" t="s">
        <v>2817</v>
      </c>
      <c r="C34" s="2">
        <v>1</v>
      </c>
      <c r="D34" s="25" t="s">
        <v>768</v>
      </c>
      <c r="E34" s="14" t="s">
        <v>930</v>
      </c>
    </row>
    <row r="35" spans="1:5" ht="18.399999999999999" customHeight="1" x14ac:dyDescent="0.15">
      <c r="A35" s="13" t="s">
        <v>2197</v>
      </c>
      <c r="B35" s="2" t="s">
        <v>2817</v>
      </c>
      <c r="C35" s="2">
        <v>1.5</v>
      </c>
      <c r="D35" s="25" t="s">
        <v>1039</v>
      </c>
      <c r="E35" s="14" t="s">
        <v>2466</v>
      </c>
    </row>
    <row r="36" spans="1:5" ht="18.399999999999999" customHeight="1" x14ac:dyDescent="0.15">
      <c r="A36" s="13" t="s">
        <v>2247</v>
      </c>
      <c r="B36" s="2" t="s">
        <v>2817</v>
      </c>
      <c r="C36" s="2">
        <v>1.0386</v>
      </c>
      <c r="D36" s="25" t="s">
        <v>1039</v>
      </c>
      <c r="E36" s="14" t="s">
        <v>2466</v>
      </c>
    </row>
    <row r="37" spans="1:5" ht="18.399999999999999" customHeight="1" x14ac:dyDescent="0.15">
      <c r="A37" s="13" t="s">
        <v>982</v>
      </c>
      <c r="B37" s="2" t="s">
        <v>2817</v>
      </c>
      <c r="C37" s="2">
        <v>1108</v>
      </c>
      <c r="D37" s="25" t="s">
        <v>1039</v>
      </c>
      <c r="E37" s="14" t="s">
        <v>2466</v>
      </c>
    </row>
    <row r="38" spans="1:5" ht="18.399999999999999" customHeight="1" x14ac:dyDescent="0.15">
      <c r="A38" s="13" t="s">
        <v>263</v>
      </c>
      <c r="B38" s="2" t="s">
        <v>2817</v>
      </c>
      <c r="C38" s="2">
        <v>9</v>
      </c>
      <c r="D38" s="25" t="s">
        <v>1183</v>
      </c>
      <c r="E38" s="14" t="s">
        <v>1318</v>
      </c>
    </row>
    <row r="39" spans="1:5" ht="18.399999999999999" customHeight="1" x14ac:dyDescent="0.15">
      <c r="A39" s="13" t="s">
        <v>1243</v>
      </c>
      <c r="B39" s="2" t="s">
        <v>2817</v>
      </c>
      <c r="C39" s="2">
        <v>1.2E-2</v>
      </c>
      <c r="D39" s="25" t="s">
        <v>1224</v>
      </c>
      <c r="E39" s="14" t="s">
        <v>2466</v>
      </c>
    </row>
    <row r="40" spans="1:5" ht="18.399999999999999" customHeight="1" x14ac:dyDescent="0.15">
      <c r="A40" s="13" t="s">
        <v>1202</v>
      </c>
      <c r="B40" s="2" t="s">
        <v>2817</v>
      </c>
      <c r="C40" s="2">
        <v>0.01</v>
      </c>
      <c r="D40" s="25" t="s">
        <v>569</v>
      </c>
      <c r="E40" s="14" t="s">
        <v>2466</v>
      </c>
    </row>
    <row r="41" spans="1:5" ht="18.399999999999999" customHeight="1" x14ac:dyDescent="0.15">
      <c r="A41" s="13" t="s">
        <v>1691</v>
      </c>
      <c r="B41" s="2" t="s">
        <v>2817</v>
      </c>
      <c r="C41" s="2">
        <v>100</v>
      </c>
      <c r="D41" s="25" t="s">
        <v>1759</v>
      </c>
      <c r="E41" s="14" t="s">
        <v>1318</v>
      </c>
    </row>
    <row r="42" spans="1:5" ht="18.399999999999999" customHeight="1" x14ac:dyDescent="0.15">
      <c r="A42" s="13" t="s">
        <v>1744</v>
      </c>
      <c r="B42" s="2" t="s">
        <v>2817</v>
      </c>
      <c r="C42" s="2">
        <v>0.43880000000000002</v>
      </c>
      <c r="D42" s="25" t="s">
        <v>1039</v>
      </c>
      <c r="E42" s="14" t="s">
        <v>2466</v>
      </c>
    </row>
    <row r="43" spans="1:5" ht="18.399999999999999" customHeight="1" x14ac:dyDescent="0.15">
      <c r="A43" s="13" t="s">
        <v>2705</v>
      </c>
      <c r="B43" s="2" t="s">
        <v>2817</v>
      </c>
      <c r="C43" s="2">
        <v>1138.5999999999999</v>
      </c>
      <c r="D43" s="25" t="s">
        <v>1039</v>
      </c>
      <c r="E43" s="14" t="s">
        <v>2617</v>
      </c>
    </row>
    <row r="44" spans="1:5" ht="18.399999999999999" customHeight="1" x14ac:dyDescent="0.15">
      <c r="A44" s="13" t="s">
        <v>1859</v>
      </c>
      <c r="B44" s="2" t="s">
        <v>2817</v>
      </c>
      <c r="C44" s="2">
        <v>1088</v>
      </c>
      <c r="D44" s="25" t="s">
        <v>1039</v>
      </c>
      <c r="E44" s="14" t="s">
        <v>2466</v>
      </c>
    </row>
    <row r="45" spans="1:5" ht="18.399999999999999" customHeight="1" x14ac:dyDescent="0.15">
      <c r="A45" s="13" t="s">
        <v>1012</v>
      </c>
      <c r="B45" s="2" t="s">
        <v>2817</v>
      </c>
      <c r="C45" s="2">
        <v>10.37</v>
      </c>
      <c r="D45" s="25" t="s">
        <v>983</v>
      </c>
      <c r="E45" s="14" t="s">
        <v>2466</v>
      </c>
    </row>
    <row r="46" spans="1:5" ht="18.399999999999999" customHeight="1" x14ac:dyDescent="0.15">
      <c r="A46" s="13" t="s">
        <v>545</v>
      </c>
      <c r="B46" s="2" t="s">
        <v>2817</v>
      </c>
      <c r="C46" s="2">
        <v>100</v>
      </c>
      <c r="D46" s="25" t="s">
        <v>1698</v>
      </c>
      <c r="E46" s="14" t="s">
        <v>1318</v>
      </c>
    </row>
    <row r="47" spans="1:5" ht="18.399999999999999" customHeight="1" thickBot="1" x14ac:dyDescent="0.2">
      <c r="A47" s="15" t="s">
        <v>2621</v>
      </c>
      <c r="B47" s="16" t="s">
        <v>2817</v>
      </c>
      <c r="C47" s="16">
        <v>100</v>
      </c>
      <c r="D47" s="26" t="s">
        <v>2530</v>
      </c>
      <c r="E47" s="17" t="s">
        <v>1318</v>
      </c>
    </row>
  </sheetData>
  <phoneticPr fontId="5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0"/>
  <sheetViews>
    <sheetView showFormulas="1" workbookViewId="0">
      <selection activeCell="F8" sqref="F8"/>
    </sheetView>
  </sheetViews>
  <sheetFormatPr defaultRowHeight="18.399999999999999" customHeight="1" x14ac:dyDescent="0.15"/>
  <cols>
    <col min="1" max="1" width="15" customWidth="1"/>
    <col min="2" max="2" width="5" customWidth="1"/>
    <col min="3" max="4" width="20" customWidth="1"/>
  </cols>
  <sheetData>
    <row r="1" spans="1:4" ht="18.399999999999999" customHeight="1" thickBot="1" x14ac:dyDescent="0.2">
      <c r="A1" t="s">
        <v>2586</v>
      </c>
    </row>
    <row r="2" spans="1:4" ht="18.399999999999999" customHeight="1" thickBot="1" x14ac:dyDescent="0.2">
      <c r="A2" s="18" t="s">
        <v>255</v>
      </c>
      <c r="B2" s="19" t="s">
        <v>2167</v>
      </c>
      <c r="C2" s="19" t="s">
        <v>483</v>
      </c>
      <c r="D2" s="21" t="s">
        <v>630</v>
      </c>
    </row>
    <row r="3" spans="1:4" ht="18.399999999999999" customHeight="1" x14ac:dyDescent="0.15">
      <c r="A3" s="13" t="s">
        <v>1882</v>
      </c>
      <c r="B3" s="2" t="s">
        <v>950</v>
      </c>
      <c r="C3" s="2" t="s">
        <v>2717</v>
      </c>
      <c r="D3" s="22" t="s">
        <v>2859</v>
      </c>
    </row>
    <row r="4" spans="1:4" ht="18.399999999999999" customHeight="1" x14ac:dyDescent="0.15">
      <c r="A4" s="13" t="s">
        <v>1776</v>
      </c>
      <c r="B4" s="2" t="s">
        <v>2817</v>
      </c>
      <c r="C4" s="2">
        <v>1289</v>
      </c>
      <c r="D4" s="22" t="s">
        <v>1230</v>
      </c>
    </row>
    <row r="5" spans="1:4" ht="18.399999999999999" customHeight="1" x14ac:dyDescent="0.15">
      <c r="A5" s="13" t="s">
        <v>567</v>
      </c>
      <c r="B5" s="2" t="s">
        <v>2817</v>
      </c>
      <c r="C5" s="2">
        <v>1289</v>
      </c>
      <c r="D5" s="22" t="s">
        <v>2438</v>
      </c>
    </row>
    <row r="6" spans="1:4" ht="18.399999999999999" customHeight="1" x14ac:dyDescent="0.15">
      <c r="A6" s="13" t="s">
        <v>332</v>
      </c>
      <c r="B6" s="2" t="s">
        <v>2817</v>
      </c>
      <c r="C6" s="2">
        <v>9.15</v>
      </c>
      <c r="D6" s="22" t="s">
        <v>2338</v>
      </c>
    </row>
    <row r="7" spans="1:4" ht="18.399999999999999" customHeight="1" x14ac:dyDescent="0.15">
      <c r="A7" s="13" t="s">
        <v>730</v>
      </c>
      <c r="B7" s="2" t="s">
        <v>2817</v>
      </c>
      <c r="C7" s="2">
        <v>0</v>
      </c>
      <c r="D7" s="22" t="s">
        <v>1694</v>
      </c>
    </row>
    <row r="8" spans="1:4" ht="18.399999999999999" customHeight="1" x14ac:dyDescent="0.15">
      <c r="A8" s="13" t="s">
        <v>1349</v>
      </c>
      <c r="B8" s="2" t="s">
        <v>2817</v>
      </c>
      <c r="C8" s="2">
        <v>0</v>
      </c>
      <c r="D8" s="22" t="s">
        <v>2556</v>
      </c>
    </row>
    <row r="9" spans="1:4" ht="18.399999999999999" customHeight="1" x14ac:dyDescent="0.15">
      <c r="A9" s="13" t="s">
        <v>462</v>
      </c>
      <c r="B9" s="2" t="s">
        <v>2817</v>
      </c>
      <c r="C9" s="2">
        <v>0</v>
      </c>
      <c r="D9" s="22" t="s">
        <v>1258</v>
      </c>
    </row>
    <row r="10" spans="1:4" ht="18.399999999999999" customHeight="1" x14ac:dyDescent="0.15">
      <c r="A10" s="13" t="s">
        <v>2071</v>
      </c>
      <c r="B10" s="2" t="s">
        <v>950</v>
      </c>
      <c r="C10" s="2" t="s">
        <v>22</v>
      </c>
      <c r="D10" s="22" t="s">
        <v>2133</v>
      </c>
    </row>
    <row r="11" spans="1:4" ht="18.399999999999999" customHeight="1" x14ac:dyDescent="0.15">
      <c r="A11" s="13" t="s">
        <v>21</v>
      </c>
      <c r="B11" s="2" t="s">
        <v>950</v>
      </c>
      <c r="C11" s="2" t="s">
        <v>22</v>
      </c>
      <c r="D11" s="22" t="s">
        <v>601</v>
      </c>
    </row>
    <row r="12" spans="1:4" ht="18.399999999999999" customHeight="1" x14ac:dyDescent="0.15">
      <c r="A12" s="13" t="s">
        <v>1677</v>
      </c>
      <c r="B12" s="2" t="s">
        <v>950</v>
      </c>
      <c r="C12" s="2" t="s">
        <v>1495</v>
      </c>
      <c r="D12" s="22" t="s">
        <v>2050</v>
      </c>
    </row>
    <row r="13" spans="1:4" ht="18.399999999999999" customHeight="1" x14ac:dyDescent="0.15">
      <c r="A13" s="13" t="s">
        <v>123</v>
      </c>
      <c r="B13" s="2" t="s">
        <v>2817</v>
      </c>
      <c r="C13" s="2">
        <v>1.25</v>
      </c>
      <c r="D13" s="22" t="s">
        <v>2328</v>
      </c>
    </row>
    <row r="14" spans="1:4" ht="18.399999999999999" customHeight="1" x14ac:dyDescent="0.15">
      <c r="A14" s="13" t="s">
        <v>1709</v>
      </c>
      <c r="B14" s="2" t="s">
        <v>2817</v>
      </c>
      <c r="C14" s="2">
        <v>1.071</v>
      </c>
      <c r="D14" s="22" t="s">
        <v>1015</v>
      </c>
    </row>
    <row r="15" spans="1:4" ht="18.399999999999999" customHeight="1" x14ac:dyDescent="0.15">
      <c r="A15" s="13" t="s">
        <v>1449</v>
      </c>
      <c r="B15" s="2" t="s">
        <v>950</v>
      </c>
      <c r="C15" s="2" t="s">
        <v>2511</v>
      </c>
      <c r="D15" s="22" t="s">
        <v>1865</v>
      </c>
    </row>
    <row r="16" spans="1:4" ht="18.399999999999999" customHeight="1" x14ac:dyDescent="0.15">
      <c r="A16" s="13" t="s">
        <v>1879</v>
      </c>
      <c r="B16" s="2" t="s">
        <v>950</v>
      </c>
      <c r="C16" s="2" t="s">
        <v>803</v>
      </c>
      <c r="D16" s="22" t="s">
        <v>1946</v>
      </c>
    </row>
    <row r="17" spans="1:4" ht="18.399999999999999" customHeight="1" x14ac:dyDescent="0.15">
      <c r="A17" s="13" t="s">
        <v>536</v>
      </c>
      <c r="B17" s="2" t="s">
        <v>950</v>
      </c>
      <c r="C17" s="2" t="s">
        <v>2511</v>
      </c>
      <c r="D17" s="22" t="s">
        <v>486</v>
      </c>
    </row>
    <row r="18" spans="1:4" ht="18.399999999999999" customHeight="1" x14ac:dyDescent="0.15">
      <c r="A18" s="13" t="s">
        <v>1080</v>
      </c>
      <c r="B18" s="2" t="s">
        <v>950</v>
      </c>
      <c r="C18" s="7">
        <f t="shared" ref="C18:C23" si="0">25/20 * 16/12 * 1/8</f>
        <v>0.20833333333333334</v>
      </c>
      <c r="D18" s="22" t="s">
        <v>2669</v>
      </c>
    </row>
    <row r="19" spans="1:4" ht="18.399999999999999" customHeight="1" x14ac:dyDescent="0.15">
      <c r="A19" s="13" t="s">
        <v>2598</v>
      </c>
      <c r="B19" s="2" t="s">
        <v>950</v>
      </c>
      <c r="C19" s="7">
        <f t="shared" si="0"/>
        <v>0.20833333333333334</v>
      </c>
      <c r="D19" s="22" t="s">
        <v>852</v>
      </c>
    </row>
    <row r="20" spans="1:4" ht="18.399999999999999" customHeight="1" x14ac:dyDescent="0.15">
      <c r="A20" s="13" t="s">
        <v>239</v>
      </c>
      <c r="B20" s="2" t="s">
        <v>950</v>
      </c>
      <c r="C20" s="7">
        <f t="shared" si="0"/>
        <v>0.20833333333333334</v>
      </c>
      <c r="D20" s="22" t="s">
        <v>1954</v>
      </c>
    </row>
    <row r="21" spans="1:4" ht="18.399999999999999" customHeight="1" x14ac:dyDescent="0.15">
      <c r="A21" s="13" t="s">
        <v>969</v>
      </c>
      <c r="B21" s="2" t="s">
        <v>950</v>
      </c>
      <c r="C21" s="7">
        <f t="shared" si="0"/>
        <v>0.20833333333333334</v>
      </c>
      <c r="D21" s="22" t="s">
        <v>1229</v>
      </c>
    </row>
    <row r="22" spans="1:4" ht="18.399999999999999" customHeight="1" x14ac:dyDescent="0.15">
      <c r="A22" s="13" t="s">
        <v>2645</v>
      </c>
      <c r="B22" s="2" t="s">
        <v>950</v>
      </c>
      <c r="C22" s="7">
        <f t="shared" si="0"/>
        <v>0.20833333333333334</v>
      </c>
      <c r="D22" s="22" t="s">
        <v>2151</v>
      </c>
    </row>
    <row r="23" spans="1:4" ht="18.399999999999999" customHeight="1" x14ac:dyDescent="0.15">
      <c r="A23" s="13" t="s">
        <v>1382</v>
      </c>
      <c r="B23" s="2" t="s">
        <v>950</v>
      </c>
      <c r="C23" s="7">
        <f t="shared" si="0"/>
        <v>0.20833333333333334</v>
      </c>
      <c r="D23" s="22" t="s">
        <v>184</v>
      </c>
    </row>
    <row r="24" spans="1:4" ht="18.399999999999999" customHeight="1" x14ac:dyDescent="0.15">
      <c r="A24" s="13" t="s">
        <v>2207</v>
      </c>
      <c r="B24" s="2" t="s">
        <v>2817</v>
      </c>
      <c r="C24" s="2">
        <v>1</v>
      </c>
      <c r="D24" s="22" t="s">
        <v>1486</v>
      </c>
    </row>
    <row r="25" spans="1:4" ht="18.399999999999999" customHeight="1" x14ac:dyDescent="0.15">
      <c r="A25" s="13" t="s">
        <v>1414</v>
      </c>
      <c r="B25" s="2" t="s">
        <v>2817</v>
      </c>
      <c r="C25" s="2">
        <v>1.5</v>
      </c>
      <c r="D25" s="22" t="s">
        <v>2648</v>
      </c>
    </row>
    <row r="26" spans="1:4" ht="18.399999999999999" customHeight="1" x14ac:dyDescent="0.15">
      <c r="A26" s="13" t="s">
        <v>2631</v>
      </c>
      <c r="B26" s="2" t="s">
        <v>2817</v>
      </c>
      <c r="C26" s="2">
        <v>1.1599999999999999</v>
      </c>
      <c r="D26" s="22" t="s">
        <v>2759</v>
      </c>
    </row>
    <row r="27" spans="1:4" ht="18.399999999999999" customHeight="1" x14ac:dyDescent="0.15">
      <c r="A27" s="13" t="s">
        <v>2816</v>
      </c>
      <c r="B27" s="2" t="s">
        <v>2817</v>
      </c>
      <c r="C27" s="2">
        <v>1.6</v>
      </c>
      <c r="D27" s="22" t="s">
        <v>731</v>
      </c>
    </row>
    <row r="28" spans="1:4" ht="18.399999999999999" customHeight="1" x14ac:dyDescent="0.15">
      <c r="A28" s="13" t="s">
        <v>702</v>
      </c>
      <c r="B28" s="2" t="s">
        <v>2817</v>
      </c>
      <c r="C28" s="2">
        <v>1.6</v>
      </c>
      <c r="D28" s="22" t="s">
        <v>461</v>
      </c>
    </row>
    <row r="29" spans="1:4" ht="18.399999999999999" customHeight="1" x14ac:dyDescent="0.15">
      <c r="A29" s="13" t="s">
        <v>2401</v>
      </c>
      <c r="B29" s="2" t="s">
        <v>2817</v>
      </c>
      <c r="C29" s="2">
        <v>1.6</v>
      </c>
      <c r="D29" s="22" t="s">
        <v>1867</v>
      </c>
    </row>
    <row r="30" spans="1:4" ht="18.399999999999999" customHeight="1" x14ac:dyDescent="0.15">
      <c r="A30" s="13" t="s">
        <v>1310</v>
      </c>
      <c r="B30" s="2" t="s">
        <v>2817</v>
      </c>
      <c r="C30" s="2">
        <v>1.94</v>
      </c>
      <c r="D30" s="22" t="s">
        <v>1880</v>
      </c>
    </row>
    <row r="31" spans="1:4" ht="18.399999999999999" customHeight="1" x14ac:dyDescent="0.15">
      <c r="A31" s="13" t="s">
        <v>2549</v>
      </c>
      <c r="B31" s="2" t="s">
        <v>2817</v>
      </c>
      <c r="C31" s="2">
        <v>1.94</v>
      </c>
      <c r="D31" s="22" t="s">
        <v>2132</v>
      </c>
    </row>
    <row r="32" spans="1:4" ht="18.399999999999999" customHeight="1" x14ac:dyDescent="0.15">
      <c r="A32" s="13" t="s">
        <v>991</v>
      </c>
      <c r="B32" s="2" t="s">
        <v>2817</v>
      </c>
      <c r="C32" s="2">
        <v>1.94</v>
      </c>
      <c r="D32" s="22" t="s">
        <v>464</v>
      </c>
    </row>
    <row r="33" spans="1:4" ht="18.399999999999999" customHeight="1" x14ac:dyDescent="0.15">
      <c r="A33" s="13" t="s">
        <v>625</v>
      </c>
      <c r="B33" s="2" t="s">
        <v>2817</v>
      </c>
      <c r="C33" s="2">
        <v>1</v>
      </c>
      <c r="D33" s="22" t="s">
        <v>678</v>
      </c>
    </row>
    <row r="34" spans="1:4" ht="18.399999999999999" customHeight="1" x14ac:dyDescent="0.15">
      <c r="A34" s="13" t="s">
        <v>1918</v>
      </c>
      <c r="B34" s="2" t="s">
        <v>2817</v>
      </c>
      <c r="C34" s="2">
        <v>1</v>
      </c>
      <c r="D34" s="22" t="s">
        <v>984</v>
      </c>
    </row>
    <row r="35" spans="1:4" ht="18.399999999999999" customHeight="1" x14ac:dyDescent="0.15">
      <c r="A35" s="13" t="s">
        <v>238</v>
      </c>
      <c r="B35" s="2" t="s">
        <v>2817</v>
      </c>
      <c r="C35" s="2">
        <v>1</v>
      </c>
      <c r="D35" s="22" t="s">
        <v>1663</v>
      </c>
    </row>
    <row r="36" spans="1:4" ht="18.399999999999999" customHeight="1" x14ac:dyDescent="0.15">
      <c r="A36" s="13" t="s">
        <v>1923</v>
      </c>
      <c r="B36" s="2" t="s">
        <v>950</v>
      </c>
      <c r="C36" s="2" t="s">
        <v>803</v>
      </c>
      <c r="D36" s="22" t="s">
        <v>206</v>
      </c>
    </row>
    <row r="37" spans="1:4" ht="18.399999999999999" customHeight="1" x14ac:dyDescent="0.15">
      <c r="A37" s="13" t="s">
        <v>1485</v>
      </c>
      <c r="B37" s="2" t="s">
        <v>950</v>
      </c>
      <c r="C37" s="2" t="s">
        <v>803</v>
      </c>
      <c r="D37" s="22" t="s">
        <v>201</v>
      </c>
    </row>
    <row r="38" spans="1:4" ht="18.399999999999999" customHeight="1" x14ac:dyDescent="0.15">
      <c r="A38" s="13" t="s">
        <v>315</v>
      </c>
      <c r="B38" s="2" t="s">
        <v>950</v>
      </c>
      <c r="C38" s="2" t="s">
        <v>2511</v>
      </c>
      <c r="D38" s="22" t="s">
        <v>110</v>
      </c>
    </row>
    <row r="39" spans="1:4" ht="18.399999999999999" customHeight="1" x14ac:dyDescent="0.15">
      <c r="A39" s="13" t="s">
        <v>2270</v>
      </c>
      <c r="B39" s="2" t="s">
        <v>2817</v>
      </c>
      <c r="C39" s="2">
        <v>1.1100000000000001</v>
      </c>
      <c r="D39" s="22" t="s">
        <v>2532</v>
      </c>
    </row>
    <row r="40" spans="1:4" ht="18.399999999999999" customHeight="1" x14ac:dyDescent="0.15">
      <c r="A40" s="13" t="s">
        <v>1024</v>
      </c>
      <c r="B40" s="2" t="s">
        <v>2817</v>
      </c>
      <c r="C40" s="2">
        <v>1.1200000000000001</v>
      </c>
      <c r="D40" s="22" t="s">
        <v>882</v>
      </c>
    </row>
    <row r="41" spans="1:4" ht="18.399999999999999" customHeight="1" x14ac:dyDescent="0.15">
      <c r="A41" s="13" t="s">
        <v>2658</v>
      </c>
      <c r="B41" s="2" t="s">
        <v>950</v>
      </c>
      <c r="C41" s="2" t="s">
        <v>2738</v>
      </c>
      <c r="D41" s="22" t="s">
        <v>2426</v>
      </c>
    </row>
    <row r="42" spans="1:4" ht="18.399999999999999" customHeight="1" x14ac:dyDescent="0.15">
      <c r="A42" s="13" t="s">
        <v>2178</v>
      </c>
      <c r="B42" s="2" t="s">
        <v>950</v>
      </c>
      <c r="C42" s="2" t="s">
        <v>803</v>
      </c>
      <c r="D42" s="22" t="s">
        <v>2523</v>
      </c>
    </row>
    <row r="43" spans="1:4" ht="18.399999999999999" customHeight="1" x14ac:dyDescent="0.15">
      <c r="A43" s="13" t="s">
        <v>1089</v>
      </c>
      <c r="B43" s="2" t="s">
        <v>950</v>
      </c>
      <c r="C43" s="2" t="s">
        <v>2511</v>
      </c>
      <c r="D43" s="22" t="s">
        <v>1419</v>
      </c>
    </row>
    <row r="44" spans="1:4" ht="18.399999999999999" customHeight="1" x14ac:dyDescent="0.15">
      <c r="A44" s="13" t="s">
        <v>2112</v>
      </c>
      <c r="B44" s="2" t="s">
        <v>950</v>
      </c>
      <c r="C44" s="2" t="s">
        <v>2511</v>
      </c>
      <c r="D44" s="22" t="s">
        <v>2859</v>
      </c>
    </row>
    <row r="45" spans="1:4" ht="18.399999999999999" customHeight="1" x14ac:dyDescent="0.15">
      <c r="A45" s="13" t="s">
        <v>1145</v>
      </c>
      <c r="B45" s="2" t="s">
        <v>950</v>
      </c>
      <c r="C45" s="2" t="s">
        <v>2859</v>
      </c>
      <c r="D45" s="22" t="s">
        <v>2859</v>
      </c>
    </row>
    <row r="46" spans="1:4" ht="18.399999999999999" customHeight="1" x14ac:dyDescent="0.15">
      <c r="A46" s="13" t="s">
        <v>835</v>
      </c>
      <c r="B46" s="2" t="s">
        <v>950</v>
      </c>
      <c r="C46" s="2" t="s">
        <v>2859</v>
      </c>
      <c r="D46" s="22" t="s">
        <v>2859</v>
      </c>
    </row>
    <row r="47" spans="1:4" ht="18.399999999999999" customHeight="1" x14ac:dyDescent="0.15">
      <c r="A47" s="13" t="s">
        <v>1574</v>
      </c>
      <c r="B47" s="2" t="s">
        <v>2817</v>
      </c>
      <c r="C47" s="2">
        <v>0</v>
      </c>
      <c r="D47" s="22" t="s">
        <v>786</v>
      </c>
    </row>
    <row r="48" spans="1:4" ht="18.399999999999999" customHeight="1" x14ac:dyDescent="0.15">
      <c r="A48" s="13" t="s">
        <v>265</v>
      </c>
      <c r="B48" s="2" t="s">
        <v>2817</v>
      </c>
      <c r="C48" s="2">
        <v>0</v>
      </c>
      <c r="D48" s="22" t="s">
        <v>1876</v>
      </c>
    </row>
    <row r="49" spans="1:4" ht="18.399999999999999" customHeight="1" x14ac:dyDescent="0.15">
      <c r="A49" s="13" t="s">
        <v>415</v>
      </c>
      <c r="B49" s="2" t="s">
        <v>950</v>
      </c>
      <c r="C49" s="2" t="s">
        <v>1413</v>
      </c>
      <c r="D49" s="22" t="s">
        <v>2859</v>
      </c>
    </row>
    <row r="50" spans="1:4" ht="18.399999999999999" customHeight="1" thickBot="1" x14ac:dyDescent="0.2">
      <c r="A50" s="15" t="s">
        <v>343</v>
      </c>
      <c r="B50" s="16" t="s">
        <v>950</v>
      </c>
      <c r="C50" s="16" t="s">
        <v>2511</v>
      </c>
      <c r="D50" s="23" t="s">
        <v>2859</v>
      </c>
    </row>
  </sheetData>
  <phoneticPr fontId="5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 지정된 범위</vt:lpstr>
      </vt:variant>
      <vt:variant>
        <vt:i4>31</vt:i4>
      </vt:variant>
    </vt:vector>
  </HeadingPairs>
  <TitlesOfParts>
    <vt:vector size="58" baseType="lpstr">
      <vt:lpstr>갑지</vt:lpstr>
      <vt:lpstr>토목원가계산서</vt:lpstr>
      <vt:lpstr>내역서</vt:lpstr>
      <vt:lpstr>일위대가목록(신규)</vt:lpstr>
      <vt:lpstr>일위대가_호표(신규)</vt:lpstr>
      <vt:lpstr>일위대가_산근 (신규)</vt:lpstr>
      <vt:lpstr>중기사용료목록 (신규)</vt:lpstr>
      <vt:lpstr>중기사용료 (신규)</vt:lpstr>
      <vt:lpstr>중기기초자료 (신규)</vt:lpstr>
      <vt:lpstr>노임 (신규)</vt:lpstr>
      <vt:lpstr>자재 (신규)</vt:lpstr>
      <vt:lpstr>자재조서 (신규)</vt:lpstr>
      <vt:lpstr>전역변수 (신규)</vt:lpstr>
      <vt:lpstr>중기전역변수 (신규)</vt:lpstr>
      <vt:lpstr>노임</vt:lpstr>
      <vt:lpstr>일위대가목록</vt:lpstr>
      <vt:lpstr>일위대가_호표</vt:lpstr>
      <vt:lpstr>일위대가_별표</vt:lpstr>
      <vt:lpstr>일위대가_산근</vt:lpstr>
      <vt:lpstr>중기사용료목록</vt:lpstr>
      <vt:lpstr>중기사용료</vt:lpstr>
      <vt:lpstr>중기기초자료</vt:lpstr>
      <vt:lpstr>자재</vt:lpstr>
      <vt:lpstr>경비</vt:lpstr>
      <vt:lpstr>자재조서</vt:lpstr>
      <vt:lpstr>전역변수</vt:lpstr>
      <vt:lpstr>중기전역변수</vt:lpstr>
      <vt:lpstr>갑지!Print_Area</vt:lpstr>
      <vt:lpstr>내역서!Print_Area</vt:lpstr>
      <vt:lpstr>일위대가_산근!Print_Area</vt:lpstr>
      <vt:lpstr>'일위대가_산근 (신규)'!Print_Area</vt:lpstr>
      <vt:lpstr>'일위대가_호표(신규)'!Print_Area</vt:lpstr>
      <vt:lpstr>'일위대가목록(신규)'!Print_Area</vt:lpstr>
      <vt:lpstr>토목원가계산서!Print_Area</vt:lpstr>
      <vt:lpstr>갑지!Print_Titles</vt:lpstr>
      <vt:lpstr>경비!Print_Titles</vt:lpstr>
      <vt:lpstr>내역서!Print_Titles</vt:lpstr>
      <vt:lpstr>노임!Print_Titles</vt:lpstr>
      <vt:lpstr>'노임 (신규)'!Print_Titles</vt:lpstr>
      <vt:lpstr>일위대가_별표!Print_Titles</vt:lpstr>
      <vt:lpstr>일위대가_산근!Print_Titles</vt:lpstr>
      <vt:lpstr>'일위대가_산근 (신규)'!Print_Titles</vt:lpstr>
      <vt:lpstr>일위대가_호표!Print_Titles</vt:lpstr>
      <vt:lpstr>'일위대가_호표(신규)'!Print_Titles</vt:lpstr>
      <vt:lpstr>일위대가목록!Print_Titles</vt:lpstr>
      <vt:lpstr>'일위대가목록(신규)'!Print_Titles</vt:lpstr>
      <vt:lpstr>자재!Print_Titles</vt:lpstr>
      <vt:lpstr>'자재 (신규)'!Print_Titles</vt:lpstr>
      <vt:lpstr>자재조서!Print_Titles</vt:lpstr>
      <vt:lpstr>'자재조서 (신규)'!Print_Titles</vt:lpstr>
      <vt:lpstr>전역변수!Print_Titles</vt:lpstr>
      <vt:lpstr>'전역변수 (신규)'!Print_Titles</vt:lpstr>
      <vt:lpstr>중기기초자료!Print_Titles</vt:lpstr>
      <vt:lpstr>'중기기초자료 (신규)'!Print_Titles</vt:lpstr>
      <vt:lpstr>중기사용료!Print_Titles</vt:lpstr>
      <vt:lpstr>'중기사용료목록 (신규)'!Print_Titles</vt:lpstr>
      <vt:lpstr>중기전역변수!Print_Titles</vt:lpstr>
      <vt:lpstr>'중기전역변수 (신규)'!Print_Titles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Jeonghun Lee</cp:lastModifiedBy>
  <cp:lastPrinted>2025-06-19T22:54:37Z</cp:lastPrinted>
  <dcterms:created xsi:type="dcterms:W3CDTF">2024-09-03T05:53:57Z</dcterms:created>
  <dcterms:modified xsi:type="dcterms:W3CDTF">2026-08-18T06:59:42Z</dcterms:modified>
</cp:coreProperties>
</file>